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eepti E Drive Data\DeeptiP_US_Ops\Important_Data\VBeyond\2026_US &amp; UK Ops\Incentive Portal\06 July\"/>
    </mc:Choice>
  </mc:AlternateContent>
  <xr:revisionPtr revIDLastSave="0" documentId="8_{225471FD-7EDF-4D5B-A32C-382DD21D8706}" xr6:coauthVersionLast="47" xr6:coauthVersionMax="47" xr10:uidLastSave="{00000000-0000-0000-0000-000000000000}"/>
  <bookViews>
    <workbookView xWindow="-108" yWindow="-108" windowWidth="23256" windowHeight="12456" xr2:uid="{C4325DA9-02B3-477B-9DCD-E1FF8BF00E89}"/>
  </bookViews>
  <sheets>
    <sheet name="Mavericks - Recruiters" sheetId="1" r:id="rId1"/>
  </sheets>
  <externalReferences>
    <externalReference r:id="rId2"/>
  </externalReferences>
  <definedNames>
    <definedName name="TeamName">'[1]Basic EMP Data - 2026'!$B$4:$B$250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936" i="1" l="1"/>
  <c r="O936" i="1" s="1"/>
  <c r="N935" i="1"/>
  <c r="O935" i="1" s="1"/>
  <c r="N934" i="1"/>
  <c r="O934" i="1" s="1"/>
  <c r="N933" i="1"/>
  <c r="O933" i="1" s="1"/>
  <c r="N932" i="1"/>
  <c r="O932" i="1" s="1"/>
  <c r="N931" i="1"/>
  <c r="O931" i="1" s="1"/>
  <c r="N930" i="1"/>
  <c r="O930" i="1" s="1"/>
  <c r="N929" i="1"/>
  <c r="O929" i="1" s="1"/>
  <c r="N928" i="1"/>
  <c r="O928" i="1" s="1"/>
  <c r="N927" i="1"/>
  <c r="O927" i="1" s="1"/>
  <c r="N926" i="1"/>
  <c r="O926" i="1" s="1"/>
  <c r="N925" i="1"/>
  <c r="O925" i="1" s="1"/>
  <c r="N924" i="1"/>
  <c r="O924" i="1" s="1"/>
  <c r="N923" i="1"/>
  <c r="O923" i="1" s="1"/>
  <c r="N922" i="1"/>
  <c r="O922" i="1" s="1"/>
  <c r="N921" i="1"/>
  <c r="O921" i="1" s="1"/>
  <c r="N920" i="1"/>
  <c r="O920" i="1" s="1"/>
  <c r="N919" i="1"/>
  <c r="O919" i="1" s="1"/>
  <c r="B918" i="1" a="1"/>
  <c r="B918" i="1" s="1"/>
  <c r="N918" i="1" s="1"/>
  <c r="A918" i="1"/>
  <c r="J916" i="1" a="1"/>
  <c r="J916" i="1" s="1"/>
  <c r="H916" i="1"/>
  <c r="F916" i="1"/>
  <c r="B916" i="1"/>
  <c r="E916" i="1" s="1"/>
  <c r="N911" i="1"/>
  <c r="O911" i="1" s="1"/>
  <c r="O910" i="1"/>
  <c r="N910" i="1"/>
  <c r="O909" i="1"/>
  <c r="N909" i="1"/>
  <c r="N908" i="1"/>
  <c r="O908" i="1" s="1"/>
  <c r="N907" i="1"/>
  <c r="O907" i="1" s="1"/>
  <c r="O906" i="1"/>
  <c r="N906" i="1"/>
  <c r="O905" i="1"/>
  <c r="N905" i="1"/>
  <c r="N904" i="1"/>
  <c r="O904" i="1" s="1"/>
  <c r="N903" i="1"/>
  <c r="O903" i="1" s="1"/>
  <c r="O902" i="1"/>
  <c r="N902" i="1"/>
  <c r="O901" i="1"/>
  <c r="N901" i="1"/>
  <c r="N900" i="1"/>
  <c r="O900" i="1" s="1"/>
  <c r="N899" i="1"/>
  <c r="O899" i="1" s="1"/>
  <c r="O898" i="1"/>
  <c r="N898" i="1"/>
  <c r="O897" i="1"/>
  <c r="N897" i="1"/>
  <c r="N896" i="1"/>
  <c r="O896" i="1" s="1"/>
  <c r="N895" i="1"/>
  <c r="O895" i="1" s="1"/>
  <c r="O894" i="1"/>
  <c r="N894" i="1"/>
  <c r="B893" i="1" a="1"/>
  <c r="B893" i="1" s="1"/>
  <c r="N893" i="1" s="1"/>
  <c r="A893" i="1"/>
  <c r="J891" i="1" a="1"/>
  <c r="J891" i="1" s="1"/>
  <c r="H891" i="1"/>
  <c r="F891" i="1"/>
  <c r="G891" i="1" s="1"/>
  <c r="I891" i="1" s="1" a="1"/>
  <c r="I891" i="1" s="1"/>
  <c r="E891" i="1"/>
  <c r="B891" i="1"/>
  <c r="D891" i="1" s="1"/>
  <c r="N887" i="1"/>
  <c r="O887" i="1" s="1"/>
  <c r="O886" i="1"/>
  <c r="N886" i="1"/>
  <c r="N885" i="1"/>
  <c r="O885" i="1" s="1"/>
  <c r="N884" i="1"/>
  <c r="O884" i="1" s="1"/>
  <c r="N883" i="1"/>
  <c r="O883" i="1" s="1"/>
  <c r="O882" i="1"/>
  <c r="N882" i="1"/>
  <c r="N881" i="1"/>
  <c r="O881" i="1" s="1"/>
  <c r="N880" i="1"/>
  <c r="O880" i="1" s="1"/>
  <c r="N879" i="1"/>
  <c r="O879" i="1" s="1"/>
  <c r="O878" i="1"/>
  <c r="N878" i="1"/>
  <c r="N877" i="1"/>
  <c r="O877" i="1" s="1"/>
  <c r="N876" i="1"/>
  <c r="O876" i="1" s="1"/>
  <c r="N875" i="1"/>
  <c r="O875" i="1" s="1"/>
  <c r="O874" i="1"/>
  <c r="N874" i="1"/>
  <c r="N873" i="1"/>
  <c r="O873" i="1" s="1"/>
  <c r="N872" i="1"/>
  <c r="O872" i="1" s="1"/>
  <c r="N871" i="1"/>
  <c r="O871" i="1" s="1"/>
  <c r="O870" i="1"/>
  <c r="N870" i="1"/>
  <c r="B869" i="1" a="1"/>
  <c r="B869" i="1" s="1"/>
  <c r="N869" i="1" s="1"/>
  <c r="A869" i="1"/>
  <c r="J867" i="1" a="1"/>
  <c r="J867" i="1" s="1"/>
  <c r="H867" i="1"/>
  <c r="E867" i="1"/>
  <c r="B867" i="1"/>
  <c r="F867" i="1" s="1"/>
  <c r="G867" i="1" s="1"/>
  <c r="I867" i="1" s="1" a="1"/>
  <c r="I867" i="1" s="1"/>
  <c r="O862" i="1"/>
  <c r="N862" i="1"/>
  <c r="O861" i="1"/>
  <c r="N861" i="1"/>
  <c r="N860" i="1"/>
  <c r="O860" i="1" s="1"/>
  <c r="N859" i="1"/>
  <c r="O859" i="1" s="1"/>
  <c r="O858" i="1"/>
  <c r="N858" i="1"/>
  <c r="O857" i="1"/>
  <c r="N857" i="1"/>
  <c r="N856" i="1"/>
  <c r="O856" i="1" s="1"/>
  <c r="N855" i="1"/>
  <c r="O855" i="1" s="1"/>
  <c r="O854" i="1"/>
  <c r="N854" i="1"/>
  <c r="O853" i="1"/>
  <c r="N853" i="1"/>
  <c r="N852" i="1"/>
  <c r="O852" i="1" s="1"/>
  <c r="N851" i="1"/>
  <c r="O851" i="1" s="1"/>
  <c r="O850" i="1"/>
  <c r="N850" i="1"/>
  <c r="O849" i="1"/>
  <c r="N849" i="1"/>
  <c r="N848" i="1"/>
  <c r="O848" i="1" s="1"/>
  <c r="N847" i="1"/>
  <c r="O847" i="1" s="1"/>
  <c r="O846" i="1"/>
  <c r="N846" i="1"/>
  <c r="O845" i="1"/>
  <c r="N845" i="1"/>
  <c r="B844" i="1" a="1"/>
  <c r="A844" i="1"/>
  <c r="H842" i="1"/>
  <c r="E842" i="1"/>
  <c r="B842" i="1"/>
  <c r="F842" i="1" s="1"/>
  <c r="G842" i="1" s="1"/>
  <c r="I842" i="1" s="1" a="1"/>
  <c r="I842" i="1" s="1"/>
  <c r="O838" i="1"/>
  <c r="N838" i="1"/>
  <c r="O837" i="1"/>
  <c r="N837" i="1"/>
  <c r="N836" i="1"/>
  <c r="O836" i="1" s="1"/>
  <c r="N835" i="1"/>
  <c r="O835" i="1" s="1"/>
  <c r="O834" i="1"/>
  <c r="N834" i="1"/>
  <c r="O833" i="1"/>
  <c r="N833" i="1"/>
  <c r="N832" i="1"/>
  <c r="O832" i="1" s="1"/>
  <c r="N831" i="1"/>
  <c r="O831" i="1" s="1"/>
  <c r="O830" i="1"/>
  <c r="N830" i="1"/>
  <c r="O829" i="1"/>
  <c r="N829" i="1"/>
  <c r="N828" i="1"/>
  <c r="O828" i="1" s="1"/>
  <c r="N827" i="1"/>
  <c r="O827" i="1" s="1"/>
  <c r="O826" i="1"/>
  <c r="N826" i="1"/>
  <c r="O825" i="1"/>
  <c r="N825" i="1"/>
  <c r="N824" i="1"/>
  <c r="O824" i="1" s="1"/>
  <c r="N823" i="1"/>
  <c r="O823" i="1" s="1"/>
  <c r="O822" i="1"/>
  <c r="N822" i="1"/>
  <c r="O821" i="1"/>
  <c r="N821" i="1"/>
  <c r="B820" i="1" a="1"/>
  <c r="A820" i="1"/>
  <c r="H818" i="1"/>
  <c r="F818" i="1"/>
  <c r="E818" i="1"/>
  <c r="G818" i="1" s="1"/>
  <c r="I818" i="1" s="1" a="1"/>
  <c r="I818" i="1" s="1"/>
  <c r="D818" i="1"/>
  <c r="B818" i="1"/>
  <c r="O814" i="1"/>
  <c r="N814" i="1"/>
  <c r="N813" i="1"/>
  <c r="O813" i="1" s="1"/>
  <c r="N812" i="1"/>
  <c r="O812" i="1" s="1"/>
  <c r="O811" i="1"/>
  <c r="N811" i="1"/>
  <c r="O810" i="1"/>
  <c r="N810" i="1"/>
  <c r="N809" i="1"/>
  <c r="O809" i="1" s="1"/>
  <c r="N808" i="1"/>
  <c r="O808" i="1" s="1"/>
  <c r="O807" i="1"/>
  <c r="N807" i="1"/>
  <c r="O806" i="1"/>
  <c r="N806" i="1"/>
  <c r="N805" i="1"/>
  <c r="O805" i="1" s="1"/>
  <c r="N804" i="1"/>
  <c r="O804" i="1" s="1"/>
  <c r="O803" i="1"/>
  <c r="N803" i="1"/>
  <c r="O802" i="1"/>
  <c r="N802" i="1"/>
  <c r="N801" i="1"/>
  <c r="O801" i="1" s="1"/>
  <c r="N800" i="1"/>
  <c r="O800" i="1" s="1"/>
  <c r="O799" i="1"/>
  <c r="N799" i="1"/>
  <c r="O798" i="1"/>
  <c r="N798" i="1"/>
  <c r="N797" i="1"/>
  <c r="O797" i="1" s="1"/>
  <c r="B796" i="1" a="1"/>
  <c r="A796" i="1"/>
  <c r="H794" i="1"/>
  <c r="E794" i="1"/>
  <c r="D794" i="1"/>
  <c r="B794" i="1"/>
  <c r="F794" i="1" s="1"/>
  <c r="G794" i="1" s="1"/>
  <c r="I794" i="1" s="1" a="1"/>
  <c r="I794" i="1" s="1"/>
  <c r="O790" i="1"/>
  <c r="N790" i="1"/>
  <c r="O789" i="1"/>
  <c r="N789" i="1"/>
  <c r="N788" i="1"/>
  <c r="O788" i="1" s="1"/>
  <c r="O787" i="1"/>
  <c r="N787" i="1"/>
  <c r="O786" i="1"/>
  <c r="N786" i="1"/>
  <c r="O785" i="1"/>
  <c r="N785" i="1"/>
  <c r="N784" i="1"/>
  <c r="O784" i="1" s="1"/>
  <c r="O783" i="1"/>
  <c r="N783" i="1"/>
  <c r="O782" i="1"/>
  <c r="N782" i="1"/>
  <c r="O781" i="1"/>
  <c r="N781" i="1"/>
  <c r="N780" i="1"/>
  <c r="O780" i="1" s="1"/>
  <c r="O779" i="1"/>
  <c r="N779" i="1"/>
  <c r="O778" i="1"/>
  <c r="N778" i="1"/>
  <c r="O777" i="1"/>
  <c r="N777" i="1"/>
  <c r="N776" i="1"/>
  <c r="O776" i="1" s="1"/>
  <c r="O775" i="1"/>
  <c r="N775" i="1"/>
  <c r="O774" i="1"/>
  <c r="N774" i="1"/>
  <c r="O773" i="1"/>
  <c r="N773" i="1"/>
  <c r="B772" i="1" a="1"/>
  <c r="B772" i="1" s="1"/>
  <c r="N772" i="1" s="1"/>
  <c r="A772" i="1"/>
  <c r="J770" i="1"/>
  <c r="J770" i="1" a="1"/>
  <c r="H770" i="1"/>
  <c r="F770" i="1"/>
  <c r="E770" i="1"/>
  <c r="G770" i="1" s="1"/>
  <c r="I770" i="1" s="1" a="1"/>
  <c r="I770" i="1" s="1"/>
  <c r="D770" i="1"/>
  <c r="B770" i="1"/>
  <c r="N766" i="1"/>
  <c r="O766" i="1" s="1"/>
  <c r="N765" i="1"/>
  <c r="O765" i="1" s="1"/>
  <c r="N764" i="1"/>
  <c r="O764" i="1" s="1"/>
  <c r="O763" i="1"/>
  <c r="N763" i="1"/>
  <c r="N762" i="1"/>
  <c r="O762" i="1" s="1"/>
  <c r="N761" i="1"/>
  <c r="O761" i="1" s="1"/>
  <c r="N760" i="1"/>
  <c r="O760" i="1" s="1"/>
  <c r="O759" i="1"/>
  <c r="N759" i="1"/>
  <c r="N758" i="1"/>
  <c r="O758" i="1" s="1"/>
  <c r="N757" i="1"/>
  <c r="O757" i="1" s="1"/>
  <c r="N756" i="1"/>
  <c r="O756" i="1" s="1"/>
  <c r="O755" i="1"/>
  <c r="N755" i="1"/>
  <c r="N754" i="1"/>
  <c r="O754" i="1" s="1"/>
  <c r="N753" i="1"/>
  <c r="O753" i="1" s="1"/>
  <c r="N752" i="1"/>
  <c r="O752" i="1" s="1"/>
  <c r="O751" i="1"/>
  <c r="N751" i="1"/>
  <c r="N750" i="1"/>
  <c r="O750" i="1" s="1"/>
  <c r="N749" i="1"/>
  <c r="O749" i="1" s="1"/>
  <c r="B748" i="1" a="1"/>
  <c r="B748" i="1" s="1"/>
  <c r="N748" i="1" s="1"/>
  <c r="A748" i="1"/>
  <c r="J746" i="1"/>
  <c r="J746" i="1" a="1"/>
  <c r="H746" i="1"/>
  <c r="D746" i="1"/>
  <c r="B746" i="1"/>
  <c r="F746" i="1" s="1"/>
  <c r="O742" i="1"/>
  <c r="N742" i="1"/>
  <c r="O741" i="1"/>
  <c r="N741" i="1"/>
  <c r="N740" i="1"/>
  <c r="O740" i="1" s="1"/>
  <c r="O739" i="1"/>
  <c r="N739" i="1"/>
  <c r="O738" i="1"/>
  <c r="N738" i="1"/>
  <c r="O737" i="1"/>
  <c r="N737" i="1"/>
  <c r="N736" i="1"/>
  <c r="O736" i="1" s="1"/>
  <c r="O735" i="1"/>
  <c r="N735" i="1"/>
  <c r="O734" i="1"/>
  <c r="N734" i="1"/>
  <c r="O733" i="1"/>
  <c r="N733" i="1"/>
  <c r="N732" i="1"/>
  <c r="O732" i="1" s="1"/>
  <c r="O731" i="1"/>
  <c r="N731" i="1"/>
  <c r="O730" i="1"/>
  <c r="N730" i="1"/>
  <c r="O729" i="1"/>
  <c r="N729" i="1"/>
  <c r="N728" i="1"/>
  <c r="O728" i="1" s="1"/>
  <c r="O727" i="1"/>
  <c r="N727" i="1"/>
  <c r="O726" i="1"/>
  <c r="N726" i="1"/>
  <c r="O725" i="1"/>
  <c r="N725" i="1"/>
  <c r="B724" i="1" a="1"/>
  <c r="B724" i="1" s="1"/>
  <c r="N724" i="1" s="1"/>
  <c r="A724" i="1"/>
  <c r="J722" i="1" a="1"/>
  <c r="J722" i="1" s="1"/>
  <c r="H722" i="1"/>
  <c r="B722" i="1"/>
  <c r="F722" i="1" s="1"/>
  <c r="N718" i="1"/>
  <c r="O718" i="1" s="1"/>
  <c r="O717" i="1"/>
  <c r="N717" i="1"/>
  <c r="N716" i="1"/>
  <c r="O716" i="1" s="1"/>
  <c r="N715" i="1"/>
  <c r="O715" i="1" s="1"/>
  <c r="N714" i="1"/>
  <c r="O714" i="1" s="1"/>
  <c r="O713" i="1"/>
  <c r="N713" i="1"/>
  <c r="N712" i="1"/>
  <c r="O712" i="1" s="1"/>
  <c r="N711" i="1"/>
  <c r="O711" i="1" s="1"/>
  <c r="N710" i="1"/>
  <c r="O710" i="1" s="1"/>
  <c r="O709" i="1"/>
  <c r="N709" i="1"/>
  <c r="N708" i="1"/>
  <c r="O708" i="1" s="1"/>
  <c r="N707" i="1"/>
  <c r="O707" i="1" s="1"/>
  <c r="N706" i="1"/>
  <c r="O706" i="1" s="1"/>
  <c r="O705" i="1"/>
  <c r="N705" i="1"/>
  <c r="N704" i="1"/>
  <c r="O704" i="1" s="1"/>
  <c r="N703" i="1"/>
  <c r="O703" i="1" s="1"/>
  <c r="B700" i="1" a="1"/>
  <c r="N701" i="1" s="1"/>
  <c r="O701" i="1" s="1"/>
  <c r="A700" i="1"/>
  <c r="H698" i="1"/>
  <c r="F698" i="1"/>
  <c r="G698" i="1" s="1"/>
  <c r="I698" i="1" s="1" a="1"/>
  <c r="I698" i="1" s="1"/>
  <c r="E698" i="1"/>
  <c r="D698" i="1"/>
  <c r="B698" i="1"/>
  <c r="O694" i="1"/>
  <c r="N694" i="1"/>
  <c r="O693" i="1"/>
  <c r="N693" i="1"/>
  <c r="N692" i="1"/>
  <c r="O692" i="1" s="1"/>
  <c r="O691" i="1"/>
  <c r="N691" i="1"/>
  <c r="O690" i="1"/>
  <c r="N690" i="1"/>
  <c r="O689" i="1"/>
  <c r="N689" i="1"/>
  <c r="N688" i="1"/>
  <c r="O688" i="1" s="1"/>
  <c r="O687" i="1"/>
  <c r="N687" i="1"/>
  <c r="O686" i="1"/>
  <c r="N686" i="1"/>
  <c r="O685" i="1"/>
  <c r="N685" i="1"/>
  <c r="N684" i="1"/>
  <c r="O684" i="1" s="1"/>
  <c r="O683" i="1"/>
  <c r="N683" i="1"/>
  <c r="O682" i="1"/>
  <c r="N682" i="1"/>
  <c r="O681" i="1"/>
  <c r="N681" i="1"/>
  <c r="N680" i="1"/>
  <c r="O680" i="1" s="1"/>
  <c r="O679" i="1"/>
  <c r="N679" i="1"/>
  <c r="O678" i="1"/>
  <c r="N678" i="1"/>
  <c r="O677" i="1"/>
  <c r="N677" i="1"/>
  <c r="B676" i="1" a="1"/>
  <c r="B676" i="1" s="1"/>
  <c r="N676" i="1" s="1"/>
  <c r="A676" i="1"/>
  <c r="J674" i="1" a="1"/>
  <c r="J674" i="1" s="1"/>
  <c r="H674" i="1"/>
  <c r="E674" i="1"/>
  <c r="B674" i="1"/>
  <c r="F674" i="1" s="1"/>
  <c r="G674" i="1" s="1"/>
  <c r="I674" i="1" s="1" a="1"/>
  <c r="I674" i="1" s="1"/>
  <c r="O670" i="1"/>
  <c r="N670" i="1"/>
  <c r="O669" i="1"/>
  <c r="N669" i="1"/>
  <c r="N668" i="1"/>
  <c r="O668" i="1" s="1"/>
  <c r="N667" i="1"/>
  <c r="O667" i="1" s="1"/>
  <c r="O666" i="1"/>
  <c r="N666" i="1"/>
  <c r="O665" i="1"/>
  <c r="N665" i="1"/>
  <c r="N664" i="1"/>
  <c r="O664" i="1" s="1"/>
  <c r="N663" i="1"/>
  <c r="O663" i="1" s="1"/>
  <c r="O662" i="1"/>
  <c r="N662" i="1"/>
  <c r="O661" i="1"/>
  <c r="N661" i="1"/>
  <c r="N660" i="1"/>
  <c r="O660" i="1" s="1"/>
  <c r="N659" i="1"/>
  <c r="O659" i="1" s="1"/>
  <c r="O658" i="1"/>
  <c r="N658" i="1"/>
  <c r="O657" i="1"/>
  <c r="N657" i="1"/>
  <c r="N656" i="1"/>
  <c r="O656" i="1" s="1"/>
  <c r="N655" i="1"/>
  <c r="O655" i="1" s="1"/>
  <c r="O654" i="1"/>
  <c r="N654" i="1"/>
  <c r="O653" i="1"/>
  <c r="N653" i="1"/>
  <c r="B652" i="1" a="1"/>
  <c r="B652" i="1" s="1"/>
  <c r="N652" i="1" s="1"/>
  <c r="A652" i="1"/>
  <c r="J650" i="1"/>
  <c r="J650" i="1" a="1"/>
  <c r="H650" i="1"/>
  <c r="G650" i="1"/>
  <c r="I650" i="1" s="1" a="1"/>
  <c r="I650" i="1" s="1"/>
  <c r="F650" i="1"/>
  <c r="E650" i="1"/>
  <c r="D650" i="1"/>
  <c r="B650" i="1"/>
  <c r="O646" i="1"/>
  <c r="N646" i="1"/>
  <c r="O645" i="1"/>
  <c r="N645" i="1"/>
  <c r="N644" i="1"/>
  <c r="O644" i="1" s="1"/>
  <c r="O643" i="1"/>
  <c r="N643" i="1"/>
  <c r="O642" i="1"/>
  <c r="N642" i="1"/>
  <c r="O641" i="1"/>
  <c r="N641" i="1"/>
  <c r="N640" i="1"/>
  <c r="O640" i="1" s="1"/>
  <c r="O639" i="1"/>
  <c r="N639" i="1"/>
  <c r="O638" i="1"/>
  <c r="N638" i="1"/>
  <c r="O637" i="1"/>
  <c r="N637" i="1"/>
  <c r="N636" i="1"/>
  <c r="O636" i="1" s="1"/>
  <c r="O635" i="1"/>
  <c r="N635" i="1"/>
  <c r="O634" i="1"/>
  <c r="N634" i="1"/>
  <c r="O633" i="1"/>
  <c r="N633" i="1"/>
  <c r="N632" i="1"/>
  <c r="O632" i="1" s="1"/>
  <c r="O631" i="1"/>
  <c r="N631" i="1"/>
  <c r="O630" i="1"/>
  <c r="N630" i="1"/>
  <c r="O629" i="1"/>
  <c r="N629" i="1"/>
  <c r="B628" i="1" a="1"/>
  <c r="B628" i="1" s="1"/>
  <c r="N628" i="1" s="1"/>
  <c r="A628" i="1"/>
  <c r="J626" i="1"/>
  <c r="J626" i="1" a="1"/>
  <c r="H626" i="1"/>
  <c r="E626" i="1"/>
  <c r="D626" i="1"/>
  <c r="B626" i="1"/>
  <c r="F626" i="1" s="1"/>
  <c r="G626" i="1" s="1"/>
  <c r="I626" i="1" s="1" a="1"/>
  <c r="I626" i="1" s="1"/>
  <c r="O622" i="1"/>
  <c r="N622" i="1"/>
  <c r="N621" i="1"/>
  <c r="O621" i="1" s="1"/>
  <c r="N620" i="1"/>
  <c r="O620" i="1" s="1"/>
  <c r="O619" i="1"/>
  <c r="N619" i="1"/>
  <c r="O618" i="1"/>
  <c r="N618" i="1"/>
  <c r="N617" i="1"/>
  <c r="O617" i="1" s="1"/>
  <c r="N616" i="1"/>
  <c r="O616" i="1" s="1"/>
  <c r="O615" i="1"/>
  <c r="N615" i="1"/>
  <c r="O614" i="1"/>
  <c r="N614" i="1"/>
  <c r="N613" i="1"/>
  <c r="O613" i="1" s="1"/>
  <c r="N612" i="1"/>
  <c r="O612" i="1" s="1"/>
  <c r="O611" i="1"/>
  <c r="N611" i="1"/>
  <c r="O610" i="1"/>
  <c r="N610" i="1"/>
  <c r="N609" i="1"/>
  <c r="O609" i="1" s="1"/>
  <c r="N608" i="1"/>
  <c r="O608" i="1" s="1"/>
  <c r="O607" i="1"/>
  <c r="N607" i="1"/>
  <c r="O606" i="1"/>
  <c r="N606" i="1"/>
  <c r="N605" i="1"/>
  <c r="O605" i="1" s="1"/>
  <c r="N604" i="1"/>
  <c r="K602" i="1" s="1"/>
  <c r="B604" i="1"/>
  <c r="B604" i="1" a="1"/>
  <c r="A604" i="1"/>
  <c r="J602" i="1"/>
  <c r="J602" i="1" a="1"/>
  <c r="H602" i="1"/>
  <c r="E602" i="1"/>
  <c r="D602" i="1"/>
  <c r="B602" i="1"/>
  <c r="F602" i="1" s="1"/>
  <c r="G602" i="1" s="1"/>
  <c r="I602" i="1" s="1" a="1"/>
  <c r="I602" i="1" s="1"/>
  <c r="O598" i="1"/>
  <c r="N598" i="1"/>
  <c r="O597" i="1"/>
  <c r="N597" i="1"/>
  <c r="N596" i="1"/>
  <c r="O596" i="1" s="1"/>
  <c r="O595" i="1"/>
  <c r="N595" i="1"/>
  <c r="O594" i="1"/>
  <c r="N594" i="1"/>
  <c r="O593" i="1"/>
  <c r="N593" i="1"/>
  <c r="N592" i="1"/>
  <c r="O592" i="1" s="1"/>
  <c r="O591" i="1"/>
  <c r="N591" i="1"/>
  <c r="O590" i="1"/>
  <c r="N590" i="1"/>
  <c r="O589" i="1"/>
  <c r="N589" i="1"/>
  <c r="N588" i="1"/>
  <c r="O588" i="1" s="1"/>
  <c r="O587" i="1"/>
  <c r="N587" i="1"/>
  <c r="O586" i="1"/>
  <c r="N586" i="1"/>
  <c r="O585" i="1"/>
  <c r="N585" i="1"/>
  <c r="N584" i="1"/>
  <c r="O584" i="1" s="1"/>
  <c r="O583" i="1"/>
  <c r="N583" i="1"/>
  <c r="O582" i="1"/>
  <c r="N582" i="1"/>
  <c r="B580" i="1"/>
  <c r="N580" i="1" s="1"/>
  <c r="K578" i="1" s="1"/>
  <c r="B580" i="1" a="1"/>
  <c r="N581" i="1" s="1"/>
  <c r="O581" i="1" s="1"/>
  <c r="A580" i="1"/>
  <c r="H578" i="1"/>
  <c r="G578" i="1"/>
  <c r="I578" i="1" s="1" a="1"/>
  <c r="I578" i="1" s="1"/>
  <c r="F578" i="1"/>
  <c r="E578" i="1"/>
  <c r="D578" i="1"/>
  <c r="B578" i="1"/>
  <c r="N557" i="1"/>
  <c r="O557" i="1" s="1"/>
  <c r="B556" i="1" a="1"/>
  <c r="B556" i="1" s="1"/>
  <c r="N556" i="1" s="1"/>
  <c r="A556" i="1"/>
  <c r="J554" i="1"/>
  <c r="J554" i="1" a="1"/>
  <c r="H554" i="1"/>
  <c r="D554" i="1"/>
  <c r="B554" i="1"/>
  <c r="F554" i="1" s="1"/>
  <c r="O550" i="1"/>
  <c r="N550" i="1"/>
  <c r="O549" i="1"/>
  <c r="N549" i="1"/>
  <c r="N548" i="1"/>
  <c r="O548" i="1" s="1"/>
  <c r="O547" i="1"/>
  <c r="N547" i="1"/>
  <c r="O546" i="1"/>
  <c r="N546" i="1"/>
  <c r="O545" i="1"/>
  <c r="N545" i="1"/>
  <c r="N544" i="1"/>
  <c r="O544" i="1" s="1"/>
  <c r="O543" i="1"/>
  <c r="N543" i="1"/>
  <c r="O542" i="1"/>
  <c r="N542" i="1"/>
  <c r="O541" i="1"/>
  <c r="N541" i="1"/>
  <c r="N540" i="1"/>
  <c r="O540" i="1" s="1"/>
  <c r="O539" i="1"/>
  <c r="N539" i="1"/>
  <c r="O538" i="1"/>
  <c r="N538" i="1"/>
  <c r="O537" i="1"/>
  <c r="N537" i="1"/>
  <c r="N536" i="1"/>
  <c r="O536" i="1" s="1"/>
  <c r="O535" i="1"/>
  <c r="N535" i="1"/>
  <c r="O534" i="1"/>
  <c r="N534" i="1"/>
  <c r="O533" i="1"/>
  <c r="N533" i="1"/>
  <c r="B532" i="1" a="1"/>
  <c r="A532" i="1"/>
  <c r="H530" i="1"/>
  <c r="F530" i="1"/>
  <c r="E530" i="1"/>
  <c r="G530" i="1" s="1"/>
  <c r="I530" i="1" s="1" a="1"/>
  <c r="I530" i="1" s="1"/>
  <c r="D530" i="1"/>
  <c r="B530" i="1"/>
  <c r="N526" i="1"/>
  <c r="O526" i="1" s="1"/>
  <c r="O525" i="1"/>
  <c r="N525" i="1"/>
  <c r="N524" i="1"/>
  <c r="O524" i="1" s="1"/>
  <c r="O523" i="1"/>
  <c r="N523" i="1"/>
  <c r="N522" i="1"/>
  <c r="O522" i="1" s="1"/>
  <c r="O521" i="1"/>
  <c r="N521" i="1"/>
  <c r="N520" i="1"/>
  <c r="O520" i="1" s="1"/>
  <c r="O519" i="1"/>
  <c r="N519" i="1"/>
  <c r="N518" i="1"/>
  <c r="O518" i="1" s="1"/>
  <c r="O517" i="1"/>
  <c r="N517" i="1"/>
  <c r="N516" i="1"/>
  <c r="O516" i="1" s="1"/>
  <c r="O515" i="1"/>
  <c r="N515" i="1"/>
  <c r="N514" i="1"/>
  <c r="O514" i="1" s="1"/>
  <c r="O513" i="1"/>
  <c r="N513" i="1"/>
  <c r="N512" i="1"/>
  <c r="O512" i="1" s="1"/>
  <c r="O511" i="1"/>
  <c r="N511" i="1"/>
  <c r="N510" i="1"/>
  <c r="O510" i="1" s="1"/>
  <c r="O509" i="1"/>
  <c r="N509" i="1"/>
  <c r="B508" i="1" a="1"/>
  <c r="B508" i="1" s="1"/>
  <c r="N508" i="1" s="1"/>
  <c r="A508" i="1"/>
  <c r="J506" i="1"/>
  <c r="J506" i="1" a="1"/>
  <c r="H506" i="1"/>
  <c r="E506" i="1"/>
  <c r="D506" i="1"/>
  <c r="B506" i="1"/>
  <c r="F506" i="1" s="1"/>
  <c r="O502" i="1"/>
  <c r="N502" i="1"/>
  <c r="O501" i="1"/>
  <c r="N501" i="1"/>
  <c r="N500" i="1"/>
  <c r="O500" i="1" s="1"/>
  <c r="O499" i="1"/>
  <c r="N499" i="1"/>
  <c r="O498" i="1"/>
  <c r="N498" i="1"/>
  <c r="O497" i="1"/>
  <c r="N497" i="1"/>
  <c r="N496" i="1"/>
  <c r="O496" i="1" s="1"/>
  <c r="O495" i="1"/>
  <c r="N495" i="1"/>
  <c r="O494" i="1"/>
  <c r="N494" i="1"/>
  <c r="O493" i="1"/>
  <c r="N493" i="1"/>
  <c r="N492" i="1"/>
  <c r="O492" i="1" s="1"/>
  <c r="O491" i="1"/>
  <c r="N491" i="1"/>
  <c r="O490" i="1"/>
  <c r="N490" i="1"/>
  <c r="O489" i="1"/>
  <c r="N489" i="1"/>
  <c r="N488" i="1"/>
  <c r="O488" i="1" s="1"/>
  <c r="O487" i="1"/>
  <c r="N487" i="1"/>
  <c r="O486" i="1"/>
  <c r="N486" i="1"/>
  <c r="O485" i="1"/>
  <c r="N485" i="1"/>
  <c r="B484" i="1" a="1"/>
  <c r="B484" i="1" s="1"/>
  <c r="N484" i="1" s="1"/>
  <c r="A484" i="1"/>
  <c r="J482" i="1" a="1"/>
  <c r="J482" i="1" s="1"/>
  <c r="H482" i="1"/>
  <c r="B482" i="1"/>
  <c r="F482" i="1" s="1"/>
  <c r="O478" i="1"/>
  <c r="N478" i="1"/>
  <c r="N477" i="1"/>
  <c r="O477" i="1" s="1"/>
  <c r="N476" i="1"/>
  <c r="O476" i="1" s="1"/>
  <c r="N475" i="1"/>
  <c r="O475" i="1" s="1"/>
  <c r="O474" i="1"/>
  <c r="N474" i="1"/>
  <c r="N473" i="1"/>
  <c r="O473" i="1" s="1"/>
  <c r="N472" i="1"/>
  <c r="O472" i="1" s="1"/>
  <c r="N471" i="1"/>
  <c r="O471" i="1" s="1"/>
  <c r="O470" i="1"/>
  <c r="N470" i="1"/>
  <c r="N469" i="1"/>
  <c r="O469" i="1" s="1"/>
  <c r="N468" i="1"/>
  <c r="O468" i="1" s="1"/>
  <c r="N467" i="1"/>
  <c r="O467" i="1" s="1"/>
  <c r="O466" i="1"/>
  <c r="N466" i="1"/>
  <c r="O465" i="1"/>
  <c r="N465" i="1"/>
  <c r="N464" i="1"/>
  <c r="O464" i="1" s="1"/>
  <c r="N463" i="1"/>
  <c r="O463" i="1" s="1"/>
  <c r="O461" i="1"/>
  <c r="N461" i="1"/>
  <c r="B460" i="1" a="1"/>
  <c r="A460" i="1"/>
  <c r="H458" i="1"/>
  <c r="F458" i="1"/>
  <c r="E458" i="1"/>
  <c r="G458" i="1" s="1"/>
  <c r="I458" i="1" s="1" a="1"/>
  <c r="I458" i="1" s="1"/>
  <c r="D458" i="1"/>
  <c r="B458" i="1"/>
  <c r="O455" i="1"/>
  <c r="N455" i="1"/>
  <c r="O454" i="1"/>
  <c r="N454" i="1"/>
  <c r="N453" i="1"/>
  <c r="O453" i="1" s="1"/>
  <c r="O452" i="1"/>
  <c r="N452" i="1"/>
  <c r="O451" i="1"/>
  <c r="N451" i="1"/>
  <c r="N450" i="1"/>
  <c r="O450" i="1" s="1"/>
  <c r="N449" i="1"/>
  <c r="O449" i="1" s="1"/>
  <c r="O448" i="1"/>
  <c r="N448" i="1"/>
  <c r="O447" i="1"/>
  <c r="N447" i="1"/>
  <c r="N446" i="1"/>
  <c r="O446" i="1" s="1"/>
  <c r="N445" i="1"/>
  <c r="O445" i="1" s="1"/>
  <c r="O444" i="1"/>
  <c r="N444" i="1"/>
  <c r="O443" i="1"/>
  <c r="N443" i="1"/>
  <c r="O442" i="1"/>
  <c r="N442" i="1"/>
  <c r="N441" i="1"/>
  <c r="O441" i="1" s="1"/>
  <c r="O440" i="1"/>
  <c r="N440" i="1"/>
  <c r="O439" i="1"/>
  <c r="N439" i="1"/>
  <c r="O438" i="1"/>
  <c r="N438" i="1"/>
  <c r="B437" i="1"/>
  <c r="N437" i="1" s="1"/>
  <c r="K435" i="1" s="1"/>
  <c r="B437" i="1" a="1"/>
  <c r="A437" i="1"/>
  <c r="H435" i="1"/>
  <c r="E435" i="1"/>
  <c r="D435" i="1"/>
  <c r="B435" i="1"/>
  <c r="F435" i="1" s="1"/>
  <c r="O431" i="1"/>
  <c r="N431" i="1"/>
  <c r="O430" i="1"/>
  <c r="N430" i="1"/>
  <c r="N429" i="1"/>
  <c r="O429" i="1" s="1"/>
  <c r="O428" i="1"/>
  <c r="N428" i="1"/>
  <c r="N427" i="1"/>
  <c r="O427" i="1" s="1"/>
  <c r="O426" i="1"/>
  <c r="N426" i="1"/>
  <c r="N425" i="1"/>
  <c r="O425" i="1" s="1"/>
  <c r="O424" i="1"/>
  <c r="N424" i="1"/>
  <c r="O423" i="1"/>
  <c r="N423" i="1"/>
  <c r="O422" i="1"/>
  <c r="N422" i="1"/>
  <c r="N421" i="1"/>
  <c r="O421" i="1" s="1"/>
  <c r="O420" i="1"/>
  <c r="N420" i="1"/>
  <c r="N419" i="1"/>
  <c r="O419" i="1" s="1"/>
  <c r="O418" i="1"/>
  <c r="N418" i="1"/>
  <c r="N417" i="1"/>
  <c r="O417" i="1" s="1"/>
  <c r="O416" i="1"/>
  <c r="N416" i="1"/>
  <c r="N415" i="1"/>
  <c r="O415" i="1" s="1"/>
  <c r="O414" i="1"/>
  <c r="N414" i="1"/>
  <c r="N413" i="1"/>
  <c r="K411" i="1" s="1"/>
  <c r="B413" i="1"/>
  <c r="B413" i="1" a="1"/>
  <c r="A413" i="1"/>
  <c r="H411" i="1"/>
  <c r="F411" i="1"/>
  <c r="G411" i="1" s="1"/>
  <c r="I411" i="1" s="1" a="1"/>
  <c r="I411" i="1" s="1"/>
  <c r="E411" i="1"/>
  <c r="D411" i="1"/>
  <c r="B411" i="1"/>
  <c r="O407" i="1"/>
  <c r="N407" i="1"/>
  <c r="O406" i="1"/>
  <c r="N406" i="1"/>
  <c r="O405" i="1"/>
  <c r="N405" i="1"/>
  <c r="O404" i="1"/>
  <c r="N404" i="1"/>
  <c r="O403" i="1"/>
  <c r="N403" i="1"/>
  <c r="O402" i="1"/>
  <c r="N402" i="1"/>
  <c r="O401" i="1"/>
  <c r="N401" i="1"/>
  <c r="O400" i="1"/>
  <c r="N400" i="1"/>
  <c r="N399" i="1"/>
  <c r="O399" i="1" s="1"/>
  <c r="O398" i="1"/>
  <c r="N398" i="1"/>
  <c r="O397" i="1"/>
  <c r="N397" i="1"/>
  <c r="O396" i="1"/>
  <c r="N396" i="1"/>
  <c r="N395" i="1"/>
  <c r="O395" i="1" s="1"/>
  <c r="O394" i="1"/>
  <c r="N394" i="1"/>
  <c r="O393" i="1"/>
  <c r="N393" i="1"/>
  <c r="O392" i="1"/>
  <c r="N392" i="1"/>
  <c r="N391" i="1"/>
  <c r="O391" i="1" s="1"/>
  <c r="O390" i="1"/>
  <c r="N390" i="1"/>
  <c r="N389" i="1"/>
  <c r="K387" i="1" s="1"/>
  <c r="B389" i="1" a="1"/>
  <c r="B389" i="1" s="1"/>
  <c r="A389" i="1"/>
  <c r="J387" i="1"/>
  <c r="L387" i="1" s="1"/>
  <c r="J387" i="1" a="1"/>
  <c r="H387" i="1"/>
  <c r="B387" i="1"/>
  <c r="D387" i="1" s="1"/>
  <c r="O383" i="1"/>
  <c r="N383" i="1"/>
  <c r="N382" i="1"/>
  <c r="O382" i="1" s="1"/>
  <c r="N381" i="1"/>
  <c r="O381" i="1" s="1"/>
  <c r="N380" i="1"/>
  <c r="O380" i="1" s="1"/>
  <c r="O379" i="1"/>
  <c r="N379" i="1"/>
  <c r="N378" i="1"/>
  <c r="O378" i="1" s="1"/>
  <c r="O377" i="1"/>
  <c r="N377" i="1"/>
  <c r="N376" i="1"/>
  <c r="O376" i="1" s="1"/>
  <c r="O375" i="1"/>
  <c r="N375" i="1"/>
  <c r="N374" i="1"/>
  <c r="O374" i="1" s="1"/>
  <c r="N373" i="1"/>
  <c r="O373" i="1" s="1"/>
  <c r="N372" i="1"/>
  <c r="O372" i="1" s="1"/>
  <c r="O371" i="1"/>
  <c r="N371" i="1"/>
  <c r="N370" i="1"/>
  <c r="O370" i="1" s="1"/>
  <c r="O369" i="1"/>
  <c r="N369" i="1"/>
  <c r="O368" i="1"/>
  <c r="N368" i="1"/>
  <c r="O367" i="1"/>
  <c r="N367" i="1"/>
  <c r="N366" i="1"/>
  <c r="O366" i="1" s="1"/>
  <c r="B365" i="1" a="1"/>
  <c r="B365" i="1" s="1"/>
  <c r="N365" i="1" s="1"/>
  <c r="A365" i="1"/>
  <c r="J363" i="1" a="1"/>
  <c r="J363" i="1" s="1"/>
  <c r="H363" i="1"/>
  <c r="B363" i="1"/>
  <c r="F363" i="1" s="1"/>
  <c r="N359" i="1"/>
  <c r="O359" i="1" s="1"/>
  <c r="O358" i="1"/>
  <c r="N358" i="1"/>
  <c r="N357" i="1"/>
  <c r="O357" i="1" s="1"/>
  <c r="N356" i="1"/>
  <c r="O356" i="1" s="1"/>
  <c r="N355" i="1"/>
  <c r="O355" i="1" s="1"/>
  <c r="O354" i="1"/>
  <c r="N354" i="1"/>
  <c r="N353" i="1"/>
  <c r="O353" i="1" s="1"/>
  <c r="O352" i="1"/>
  <c r="N352" i="1"/>
  <c r="N351" i="1"/>
  <c r="O351" i="1" s="1"/>
  <c r="N350" i="1"/>
  <c r="O350" i="1" s="1"/>
  <c r="N349" i="1"/>
  <c r="O349" i="1" s="1"/>
  <c r="N348" i="1"/>
  <c r="O348" i="1" s="1"/>
  <c r="N347" i="1"/>
  <c r="O347" i="1" s="1"/>
  <c r="N346" i="1"/>
  <c r="O346" i="1" s="1"/>
  <c r="N345" i="1"/>
  <c r="O345" i="1" s="1"/>
  <c r="O344" i="1"/>
  <c r="N344" i="1"/>
  <c r="O343" i="1"/>
  <c r="N343" i="1"/>
  <c r="N342" i="1"/>
  <c r="O342" i="1" s="1"/>
  <c r="B341" i="1" a="1"/>
  <c r="B341" i="1" s="1"/>
  <c r="N341" i="1" s="1"/>
  <c r="A341" i="1"/>
  <c r="J339" i="1"/>
  <c r="J339" i="1" a="1"/>
  <c r="H339" i="1"/>
  <c r="F339" i="1"/>
  <c r="G339" i="1" s="1"/>
  <c r="I339" i="1" s="1" a="1"/>
  <c r="I339" i="1" s="1"/>
  <c r="E339" i="1"/>
  <c r="D339" i="1"/>
  <c r="B339" i="1"/>
  <c r="N335" i="1"/>
  <c r="O335" i="1" s="1"/>
  <c r="O334" i="1"/>
  <c r="N334" i="1"/>
  <c r="O333" i="1"/>
  <c r="N333" i="1"/>
  <c r="O332" i="1"/>
  <c r="N332" i="1"/>
  <c r="N331" i="1"/>
  <c r="O331" i="1" s="1"/>
  <c r="O330" i="1"/>
  <c r="N330" i="1"/>
  <c r="O329" i="1"/>
  <c r="N329" i="1"/>
  <c r="O328" i="1"/>
  <c r="N328" i="1"/>
  <c r="N327" i="1"/>
  <c r="O327" i="1" s="1"/>
  <c r="O326" i="1"/>
  <c r="N326" i="1"/>
  <c r="O325" i="1"/>
  <c r="N325" i="1"/>
  <c r="O324" i="1"/>
  <c r="N324" i="1"/>
  <c r="N323" i="1"/>
  <c r="O323" i="1" s="1"/>
  <c r="O322" i="1"/>
  <c r="N322" i="1"/>
  <c r="O321" i="1"/>
  <c r="N321" i="1"/>
  <c r="O320" i="1"/>
  <c r="N320" i="1"/>
  <c r="N319" i="1"/>
  <c r="O319" i="1" s="1"/>
  <c r="O318" i="1"/>
  <c r="N318" i="1"/>
  <c r="O317" i="1"/>
  <c r="N317" i="1"/>
  <c r="B317" i="1"/>
  <c r="B317" i="1" a="1"/>
  <c r="A317" i="1"/>
  <c r="K315" i="1"/>
  <c r="J315" i="1" a="1"/>
  <c r="J315" i="1" s="1"/>
  <c r="L315" i="1" s="1"/>
  <c r="H315" i="1"/>
  <c r="B315" i="1"/>
  <c r="F315" i="1" s="1"/>
  <c r="O311" i="1"/>
  <c r="N311" i="1"/>
  <c r="N310" i="1"/>
  <c r="O310" i="1" s="1"/>
  <c r="N309" i="1"/>
  <c r="O309" i="1" s="1"/>
  <c r="N308" i="1"/>
  <c r="O308" i="1" s="1"/>
  <c r="O307" i="1"/>
  <c r="N307" i="1"/>
  <c r="N306" i="1"/>
  <c r="O306" i="1" s="1"/>
  <c r="N305" i="1"/>
  <c r="O305" i="1" s="1"/>
  <c r="N304" i="1"/>
  <c r="O304" i="1" s="1"/>
  <c r="O303" i="1"/>
  <c r="N303" i="1"/>
  <c r="N302" i="1"/>
  <c r="O302" i="1" s="1"/>
  <c r="N301" i="1"/>
  <c r="O301" i="1" s="1"/>
  <c r="N300" i="1"/>
  <c r="O300" i="1" s="1"/>
  <c r="O299" i="1"/>
  <c r="N299" i="1"/>
  <c r="N298" i="1"/>
  <c r="O298" i="1" s="1"/>
  <c r="N297" i="1"/>
  <c r="O297" i="1" s="1"/>
  <c r="N296" i="1"/>
  <c r="O296" i="1" s="1"/>
  <c r="O295" i="1"/>
  <c r="N295" i="1"/>
  <c r="N294" i="1"/>
  <c r="O294" i="1" s="1"/>
  <c r="B293" i="1" a="1"/>
  <c r="A293" i="1"/>
  <c r="H291" i="1"/>
  <c r="B291" i="1"/>
  <c r="D291" i="1" s="1"/>
  <c r="O287" i="1"/>
  <c r="N287" i="1"/>
  <c r="O286" i="1"/>
  <c r="N286" i="1"/>
  <c r="O285" i="1"/>
  <c r="N285" i="1"/>
  <c r="N284" i="1"/>
  <c r="O284" i="1" s="1"/>
  <c r="O283" i="1"/>
  <c r="N283" i="1"/>
  <c r="O282" i="1"/>
  <c r="N282" i="1"/>
  <c r="O281" i="1"/>
  <c r="N281" i="1"/>
  <c r="N280" i="1"/>
  <c r="O280" i="1" s="1"/>
  <c r="O279" i="1"/>
  <c r="N279" i="1"/>
  <c r="O278" i="1"/>
  <c r="N278" i="1"/>
  <c r="O277" i="1"/>
  <c r="N277" i="1"/>
  <c r="N276" i="1"/>
  <c r="O276" i="1" s="1"/>
  <c r="O275" i="1"/>
  <c r="N275" i="1"/>
  <c r="O274" i="1"/>
  <c r="N274" i="1"/>
  <c r="O273" i="1"/>
  <c r="N273" i="1"/>
  <c r="N272" i="1"/>
  <c r="O272" i="1" s="1"/>
  <c r="O271" i="1"/>
  <c r="N271" i="1"/>
  <c r="O270" i="1"/>
  <c r="N270" i="1"/>
  <c r="B269" i="1" a="1"/>
  <c r="B269" i="1" s="1"/>
  <c r="N269" i="1" s="1"/>
  <c r="O269" i="1" s="1"/>
  <c r="A269" i="1"/>
  <c r="J267" i="1"/>
  <c r="J267" i="1" a="1"/>
  <c r="H267" i="1"/>
  <c r="F267" i="1"/>
  <c r="E267" i="1"/>
  <c r="G267" i="1" s="1"/>
  <c r="I267" i="1" s="1" a="1"/>
  <c r="I267" i="1" s="1"/>
  <c r="D267" i="1"/>
  <c r="B267" i="1"/>
  <c r="N264" i="1"/>
  <c r="O264" i="1" s="1"/>
  <c r="N263" i="1"/>
  <c r="O263" i="1" s="1"/>
  <c r="N262" i="1"/>
  <c r="O262" i="1" s="1"/>
  <c r="O261" i="1"/>
  <c r="N261" i="1"/>
  <c r="N260" i="1"/>
  <c r="O260" i="1" s="1"/>
  <c r="N259" i="1"/>
  <c r="O259" i="1" s="1"/>
  <c r="N258" i="1"/>
  <c r="O258" i="1" s="1"/>
  <c r="O257" i="1"/>
  <c r="N257" i="1"/>
  <c r="N256" i="1"/>
  <c r="O256" i="1" s="1"/>
  <c r="N255" i="1"/>
  <c r="O255" i="1" s="1"/>
  <c r="N254" i="1"/>
  <c r="O254" i="1" s="1"/>
  <c r="O253" i="1"/>
  <c r="N253" i="1"/>
  <c r="N252" i="1"/>
  <c r="O252" i="1" s="1"/>
  <c r="N251" i="1"/>
  <c r="O251" i="1" s="1"/>
  <c r="N250" i="1"/>
  <c r="O250" i="1" s="1"/>
  <c r="O249" i="1"/>
  <c r="N249" i="1"/>
  <c r="N248" i="1"/>
  <c r="O248" i="1" s="1"/>
  <c r="N247" i="1"/>
  <c r="O247" i="1" s="1"/>
  <c r="N246" i="1"/>
  <c r="B246" i="1" a="1"/>
  <c r="B246" i="1" s="1"/>
  <c r="A246" i="1"/>
  <c r="J244" i="1"/>
  <c r="J244" i="1" a="1"/>
  <c r="H244" i="1"/>
  <c r="E244" i="1"/>
  <c r="D244" i="1"/>
  <c r="B244" i="1"/>
  <c r="F244" i="1" s="1"/>
  <c r="G244" i="1" s="1"/>
  <c r="I244" i="1" s="1" a="1"/>
  <c r="I244" i="1" s="1"/>
  <c r="O240" i="1"/>
  <c r="N240" i="1"/>
  <c r="O239" i="1"/>
  <c r="N239" i="1"/>
  <c r="N238" i="1"/>
  <c r="O238" i="1" s="1"/>
  <c r="O237" i="1"/>
  <c r="N237" i="1"/>
  <c r="O236" i="1"/>
  <c r="N236" i="1"/>
  <c r="O235" i="1"/>
  <c r="N235" i="1"/>
  <c r="N234" i="1"/>
  <c r="O234" i="1" s="1"/>
  <c r="O233" i="1"/>
  <c r="N233" i="1"/>
  <c r="O232" i="1"/>
  <c r="N232" i="1"/>
  <c r="O231" i="1"/>
  <c r="N231" i="1"/>
  <c r="N230" i="1"/>
  <c r="O230" i="1" s="1"/>
  <c r="O229" i="1"/>
  <c r="N229" i="1"/>
  <c r="O228" i="1"/>
  <c r="N228" i="1"/>
  <c r="O227" i="1"/>
  <c r="N227" i="1"/>
  <c r="N226" i="1"/>
  <c r="O226" i="1" s="1"/>
  <c r="B222" i="1"/>
  <c r="N222" i="1" s="1"/>
  <c r="B222" i="1" a="1"/>
  <c r="A222" i="1"/>
  <c r="H220" i="1"/>
  <c r="G220" i="1"/>
  <c r="I220" i="1" s="1" a="1"/>
  <c r="I220" i="1" s="1"/>
  <c r="F220" i="1"/>
  <c r="E220" i="1"/>
  <c r="B220" i="1"/>
  <c r="D220" i="1" s="1"/>
  <c r="N216" i="1"/>
  <c r="O216" i="1" s="1"/>
  <c r="N215" i="1"/>
  <c r="O215" i="1" s="1"/>
  <c r="N214" i="1"/>
  <c r="O214" i="1" s="1"/>
  <c r="N213" i="1"/>
  <c r="O213" i="1" s="1"/>
  <c r="N212" i="1"/>
  <c r="O212" i="1" s="1"/>
  <c r="N211" i="1"/>
  <c r="O211" i="1" s="1"/>
  <c r="N210" i="1"/>
  <c r="O210" i="1" s="1"/>
  <c r="N209" i="1"/>
  <c r="O209" i="1" s="1"/>
  <c r="N208" i="1"/>
  <c r="O208" i="1" s="1"/>
  <c r="O207" i="1"/>
  <c r="N207" i="1"/>
  <c r="N206" i="1"/>
  <c r="O206" i="1" s="1"/>
  <c r="N205" i="1"/>
  <c r="O205" i="1" s="1"/>
  <c r="N204" i="1"/>
  <c r="O204" i="1" s="1"/>
  <c r="N203" i="1"/>
  <c r="O203" i="1" s="1"/>
  <c r="N202" i="1"/>
  <c r="O202" i="1" s="1"/>
  <c r="N201" i="1"/>
  <c r="O201" i="1" s="1"/>
  <c r="N200" i="1"/>
  <c r="O200" i="1" s="1"/>
  <c r="N199" i="1"/>
  <c r="O199" i="1" s="1"/>
  <c r="B198" i="1" a="1"/>
  <c r="A198" i="1"/>
  <c r="H196" i="1"/>
  <c r="F196" i="1"/>
  <c r="G196" i="1" s="1"/>
  <c r="I196" i="1" s="1" a="1"/>
  <c r="I196" i="1" s="1"/>
  <c r="E196" i="1"/>
  <c r="D196" i="1"/>
  <c r="B196" i="1"/>
  <c r="O191" i="1"/>
  <c r="N191" i="1"/>
  <c r="N190" i="1"/>
  <c r="O190" i="1" s="1"/>
  <c r="N189" i="1"/>
  <c r="O189" i="1" s="1"/>
  <c r="O188" i="1"/>
  <c r="N188" i="1"/>
  <c r="O187" i="1"/>
  <c r="N187" i="1"/>
  <c r="N186" i="1"/>
  <c r="O186" i="1" s="1"/>
  <c r="N185" i="1"/>
  <c r="O185" i="1" s="1"/>
  <c r="O184" i="1"/>
  <c r="N184" i="1"/>
  <c r="O183" i="1"/>
  <c r="N183" i="1"/>
  <c r="N182" i="1"/>
  <c r="O182" i="1" s="1"/>
  <c r="N181" i="1"/>
  <c r="O181" i="1" s="1"/>
  <c r="O180" i="1"/>
  <c r="N180" i="1"/>
  <c r="O179" i="1"/>
  <c r="N179" i="1"/>
  <c r="N178" i="1"/>
  <c r="O178" i="1" s="1"/>
  <c r="N177" i="1"/>
  <c r="O177" i="1" s="1"/>
  <c r="O176" i="1"/>
  <c r="N176" i="1"/>
  <c r="O175" i="1"/>
  <c r="N175" i="1"/>
  <c r="N174" i="1"/>
  <c r="O174" i="1" s="1"/>
  <c r="N173" i="1"/>
  <c r="B173" i="1"/>
  <c r="B173" i="1" a="1"/>
  <c r="A173" i="1"/>
  <c r="J171" i="1" a="1"/>
  <c r="J171" i="1" s="1"/>
  <c r="H171" i="1"/>
  <c r="B171" i="1"/>
  <c r="E171" i="1" s="1"/>
  <c r="O167" i="1"/>
  <c r="N167" i="1"/>
  <c r="O166" i="1"/>
  <c r="N166" i="1"/>
  <c r="N165" i="1"/>
  <c r="O165" i="1" s="1"/>
  <c r="N164" i="1"/>
  <c r="O164" i="1" s="1"/>
  <c r="N163" i="1"/>
  <c r="O163" i="1" s="1"/>
  <c r="O162" i="1"/>
  <c r="N162" i="1"/>
  <c r="N161" i="1"/>
  <c r="O161" i="1" s="1"/>
  <c r="N160" i="1"/>
  <c r="O160" i="1" s="1"/>
  <c r="N159" i="1"/>
  <c r="O159" i="1" s="1"/>
  <c r="O158" i="1"/>
  <c r="N158" i="1"/>
  <c r="N157" i="1"/>
  <c r="O157" i="1" s="1"/>
  <c r="N156" i="1"/>
  <c r="O156" i="1" s="1"/>
  <c r="N155" i="1"/>
  <c r="O155" i="1" s="1"/>
  <c r="O154" i="1"/>
  <c r="N154" i="1"/>
  <c r="N153" i="1"/>
  <c r="O153" i="1" s="1"/>
  <c r="N152" i="1"/>
  <c r="O152" i="1" s="1"/>
  <c r="O151" i="1"/>
  <c r="N151" i="1"/>
  <c r="O150" i="1"/>
  <c r="N150" i="1"/>
  <c r="B149" i="1" a="1"/>
  <c r="B149" i="1" s="1"/>
  <c r="N149" i="1" s="1"/>
  <c r="A149" i="1"/>
  <c r="J147" i="1"/>
  <c r="J147" i="1" a="1"/>
  <c r="H147" i="1"/>
  <c r="F147" i="1"/>
  <c r="G147" i="1" s="1"/>
  <c r="I147" i="1" s="1" a="1"/>
  <c r="I147" i="1" s="1"/>
  <c r="E147" i="1"/>
  <c r="D147" i="1"/>
  <c r="B147" i="1"/>
  <c r="N143" i="1"/>
  <c r="O143" i="1" s="1"/>
  <c r="N142" i="1"/>
  <c r="O142" i="1" s="1"/>
  <c r="O141" i="1"/>
  <c r="N141" i="1"/>
  <c r="O140" i="1"/>
  <c r="N140" i="1"/>
  <c r="N139" i="1"/>
  <c r="O139" i="1" s="1"/>
  <c r="N138" i="1"/>
  <c r="O138" i="1" s="1"/>
  <c r="O137" i="1"/>
  <c r="N137" i="1"/>
  <c r="O136" i="1"/>
  <c r="N136" i="1"/>
  <c r="N135" i="1"/>
  <c r="O135" i="1" s="1"/>
  <c r="N134" i="1"/>
  <c r="O134" i="1" s="1"/>
  <c r="O133" i="1"/>
  <c r="N133" i="1"/>
  <c r="O132" i="1"/>
  <c r="N132" i="1"/>
  <c r="N131" i="1"/>
  <c r="O131" i="1" s="1"/>
  <c r="N130" i="1"/>
  <c r="O130" i="1" s="1"/>
  <c r="O129" i="1"/>
  <c r="N129" i="1"/>
  <c r="O128" i="1"/>
  <c r="N128" i="1"/>
  <c r="N127" i="1"/>
  <c r="O127" i="1" s="1"/>
  <c r="N126" i="1"/>
  <c r="O126" i="1" s="1"/>
  <c r="B125" i="1" a="1"/>
  <c r="B125" i="1" s="1"/>
  <c r="N125" i="1" s="1"/>
  <c r="A125" i="1"/>
  <c r="J123" i="1"/>
  <c r="J123" i="1" a="1"/>
  <c r="H123" i="1"/>
  <c r="D123" i="1"/>
  <c r="B123" i="1"/>
  <c r="O120" i="1"/>
  <c r="N120" i="1"/>
  <c r="O119" i="1"/>
  <c r="N119" i="1"/>
  <c r="N118" i="1"/>
  <c r="O118" i="1" s="1"/>
  <c r="N117" i="1"/>
  <c r="O117" i="1" s="1"/>
  <c r="O116" i="1"/>
  <c r="N116" i="1"/>
  <c r="O115" i="1"/>
  <c r="N115" i="1"/>
  <c r="N114" i="1"/>
  <c r="O114" i="1" s="1"/>
  <c r="O113" i="1"/>
  <c r="N113" i="1"/>
  <c r="O112" i="1"/>
  <c r="N112" i="1"/>
  <c r="O111" i="1"/>
  <c r="N111" i="1"/>
  <c r="N110" i="1"/>
  <c r="O110" i="1" s="1"/>
  <c r="O109" i="1"/>
  <c r="N109" i="1"/>
  <c r="O108" i="1"/>
  <c r="N108" i="1"/>
  <c r="O107" i="1"/>
  <c r="N107" i="1"/>
  <c r="N106" i="1"/>
  <c r="O106" i="1" s="1"/>
  <c r="B102" i="1" a="1"/>
  <c r="H100" i="1" s="1"/>
  <c r="A102" i="1"/>
  <c r="B100" i="1"/>
  <c r="D100" i="1" s="1"/>
  <c r="N96" i="1"/>
  <c r="O96" i="1" s="1"/>
  <c r="O95" i="1"/>
  <c r="N95" i="1"/>
  <c r="N94" i="1"/>
  <c r="O94" i="1" s="1"/>
  <c r="N93" i="1"/>
  <c r="O93" i="1" s="1"/>
  <c r="N92" i="1"/>
  <c r="O92" i="1" s="1"/>
  <c r="O91" i="1"/>
  <c r="N91" i="1"/>
  <c r="N90" i="1"/>
  <c r="O90" i="1" s="1"/>
  <c r="N89" i="1"/>
  <c r="O89" i="1" s="1"/>
  <c r="N88" i="1"/>
  <c r="O88" i="1" s="1"/>
  <c r="O87" i="1"/>
  <c r="N87" i="1"/>
  <c r="N86" i="1"/>
  <c r="O86" i="1" s="1"/>
  <c r="N85" i="1"/>
  <c r="O85" i="1" s="1"/>
  <c r="N84" i="1"/>
  <c r="O84" i="1" s="1"/>
  <c r="O83" i="1"/>
  <c r="N83" i="1"/>
  <c r="N82" i="1"/>
  <c r="O82" i="1" s="1"/>
  <c r="N81" i="1"/>
  <c r="O81" i="1" s="1"/>
  <c r="N80" i="1"/>
  <c r="O80" i="1" s="1"/>
  <c r="O79" i="1"/>
  <c r="N79" i="1"/>
  <c r="B78" i="1" a="1"/>
  <c r="B78" i="1" s="1"/>
  <c r="N78" i="1" s="1"/>
  <c r="O78" i="1" s="1"/>
  <c r="A78" i="1"/>
  <c r="J76" i="1"/>
  <c r="J76" i="1" a="1"/>
  <c r="H76" i="1"/>
  <c r="F76" i="1"/>
  <c r="E76" i="1"/>
  <c r="D76" i="1"/>
  <c r="B76" i="1"/>
  <c r="O72" i="1"/>
  <c r="N72" i="1"/>
  <c r="N71" i="1"/>
  <c r="O71" i="1" s="1"/>
  <c r="O70" i="1"/>
  <c r="N70" i="1"/>
  <c r="O69" i="1"/>
  <c r="N69" i="1"/>
  <c r="O68" i="1"/>
  <c r="N68" i="1"/>
  <c r="N67" i="1"/>
  <c r="O67" i="1" s="1"/>
  <c r="O66" i="1"/>
  <c r="N66" i="1"/>
  <c r="O65" i="1"/>
  <c r="N65" i="1"/>
  <c r="O64" i="1"/>
  <c r="N64" i="1"/>
  <c r="N63" i="1"/>
  <c r="O63" i="1" s="1"/>
  <c r="O62" i="1"/>
  <c r="N62" i="1"/>
  <c r="O61" i="1"/>
  <c r="N61" i="1"/>
  <c r="O60" i="1"/>
  <c r="N60" i="1"/>
  <c r="N59" i="1"/>
  <c r="O59" i="1" s="1"/>
  <c r="N58" i="1"/>
  <c r="O58" i="1" s="1"/>
  <c r="O57" i="1"/>
  <c r="N57" i="1"/>
  <c r="O56" i="1"/>
  <c r="N56" i="1"/>
  <c r="N55" i="1"/>
  <c r="O55" i="1" s="1"/>
  <c r="B54" i="1" a="1"/>
  <c r="B54" i="1" s="1"/>
  <c r="N54" i="1" s="1"/>
  <c r="A54" i="1"/>
  <c r="J52" i="1" a="1"/>
  <c r="J52" i="1" s="1"/>
  <c r="B52" i="1"/>
  <c r="O48" i="1"/>
  <c r="N48" i="1"/>
  <c r="O47" i="1"/>
  <c r="N47" i="1"/>
  <c r="N46" i="1"/>
  <c r="O46" i="1" s="1"/>
  <c r="N45" i="1"/>
  <c r="O45" i="1" s="1"/>
  <c r="O44" i="1"/>
  <c r="N44" i="1"/>
  <c r="O43" i="1"/>
  <c r="N43" i="1"/>
  <c r="N42" i="1"/>
  <c r="O42" i="1" s="1"/>
  <c r="N41" i="1"/>
  <c r="O41" i="1" s="1"/>
  <c r="O40" i="1"/>
  <c r="N40" i="1"/>
  <c r="O39" i="1"/>
  <c r="N39" i="1"/>
  <c r="N38" i="1"/>
  <c r="O38" i="1" s="1"/>
  <c r="N37" i="1"/>
  <c r="O37" i="1" s="1"/>
  <c r="O36" i="1"/>
  <c r="N36" i="1"/>
  <c r="O35" i="1"/>
  <c r="N35" i="1"/>
  <c r="N34" i="1"/>
  <c r="O34" i="1" s="1"/>
  <c r="N33" i="1"/>
  <c r="O33" i="1" s="1"/>
  <c r="O32" i="1"/>
  <c r="N32" i="1"/>
  <c r="B30" i="1" a="1"/>
  <c r="H28" i="1" s="1"/>
  <c r="A30" i="1"/>
  <c r="I28" i="1" a="1"/>
  <c r="I28" i="1" s="1"/>
  <c r="G28" i="1"/>
  <c r="F28" i="1"/>
  <c r="E28" i="1"/>
  <c r="D28" i="1"/>
  <c r="B28" i="1"/>
  <c r="N22" i="1"/>
  <c r="O22" i="1" s="1"/>
  <c r="O21" i="1"/>
  <c r="N21" i="1"/>
  <c r="N20" i="1"/>
  <c r="O20" i="1" s="1"/>
  <c r="O19" i="1"/>
  <c r="N19" i="1"/>
  <c r="N18" i="1"/>
  <c r="O18" i="1" s="1"/>
  <c r="N17" i="1"/>
  <c r="O17" i="1" s="1"/>
  <c r="N16" i="1"/>
  <c r="O16" i="1" s="1"/>
  <c r="O15" i="1"/>
  <c r="N15" i="1"/>
  <c r="N14" i="1"/>
  <c r="O14" i="1" s="1"/>
  <c r="N13" i="1"/>
  <c r="O13" i="1" s="1"/>
  <c r="N12" i="1"/>
  <c r="O12" i="1" s="1"/>
  <c r="O11" i="1"/>
  <c r="N11" i="1"/>
  <c r="N10" i="1"/>
  <c r="O10" i="1" s="1"/>
  <c r="N9" i="1"/>
  <c r="O9" i="1" s="1"/>
  <c r="N8" i="1"/>
  <c r="O8" i="1" s="1"/>
  <c r="O7" i="1"/>
  <c r="N7" i="1"/>
  <c r="N6" i="1"/>
  <c r="O6" i="1" s="1"/>
  <c r="O5" i="1"/>
  <c r="N5" i="1"/>
  <c r="B4" i="1" a="1"/>
  <c r="A4" i="1"/>
  <c r="F2" i="1"/>
  <c r="G2" i="1" s="1"/>
  <c r="I2" i="1" s="1" a="1"/>
  <c r="I2" i="1" s="1"/>
  <c r="E2" i="1"/>
  <c r="D2" i="1"/>
  <c r="B2" i="1"/>
  <c r="K52" i="1" l="1"/>
  <c r="O54" i="1"/>
  <c r="F52" i="1"/>
  <c r="G52" i="1" s="1"/>
  <c r="I52" i="1" s="1" a="1"/>
  <c r="I52" i="1" s="1"/>
  <c r="E52" i="1"/>
  <c r="D52" i="1"/>
  <c r="K123" i="1"/>
  <c r="G76" i="1"/>
  <c r="I76" i="1" s="1" a="1"/>
  <c r="I76" i="1" s="1"/>
  <c r="O125" i="1"/>
  <c r="K267" i="1"/>
  <c r="L267" i="1" s="1"/>
  <c r="L52" i="1"/>
  <c r="E123" i="1"/>
  <c r="F123" i="1"/>
  <c r="G123" i="1" s="1"/>
  <c r="I123" i="1" s="1" a="1"/>
  <c r="I123" i="1" s="1"/>
  <c r="K171" i="1"/>
  <c r="O173" i="1"/>
  <c r="O246" i="1"/>
  <c r="K244" i="1"/>
  <c r="L244" i="1" s="1"/>
  <c r="O365" i="1"/>
  <c r="K363" i="1"/>
  <c r="L363" i="1" s="1"/>
  <c r="K482" i="1"/>
  <c r="O484" i="1"/>
  <c r="O508" i="1"/>
  <c r="K506" i="1"/>
  <c r="N103" i="1"/>
  <c r="O103" i="1" s="1"/>
  <c r="N104" i="1"/>
  <c r="O104" i="1" s="1"/>
  <c r="J100" i="1" a="1"/>
  <c r="J100" i="1" s="1"/>
  <c r="J28" i="1" a="1"/>
  <c r="J28" i="1" s="1"/>
  <c r="B30" i="1"/>
  <c r="N30" i="1" s="1"/>
  <c r="O30" i="1" s="1"/>
  <c r="N31" i="1"/>
  <c r="O31" i="1" s="1"/>
  <c r="K76" i="1"/>
  <c r="L76" i="1" s="1"/>
  <c r="B102" i="1"/>
  <c r="N102" i="1" s="1"/>
  <c r="O222" i="1"/>
  <c r="N105" i="1"/>
  <c r="O105" i="1" s="1"/>
  <c r="L123" i="1"/>
  <c r="K147" i="1"/>
  <c r="L147" i="1" s="1"/>
  <c r="O149" i="1"/>
  <c r="L171" i="1"/>
  <c r="O198" i="1"/>
  <c r="O341" i="1"/>
  <c r="K339" i="1"/>
  <c r="L339" i="1" s="1"/>
  <c r="D171" i="1"/>
  <c r="H2" i="1"/>
  <c r="B4" i="1"/>
  <c r="N4" i="1" s="1"/>
  <c r="K2" i="1" s="1"/>
  <c r="E100" i="1"/>
  <c r="F171" i="1"/>
  <c r="G171" i="1" s="1"/>
  <c r="I171" i="1" s="1" a="1"/>
  <c r="I171" i="1" s="1"/>
  <c r="B198" i="1"/>
  <c r="N198" i="1" s="1"/>
  <c r="K196" i="1" s="1"/>
  <c r="N223" i="1"/>
  <c r="O223" i="1" s="1"/>
  <c r="E291" i="1"/>
  <c r="E387" i="1"/>
  <c r="O437" i="1"/>
  <c r="G506" i="1"/>
  <c r="I506" i="1" s="1" a="1"/>
  <c r="I506" i="1" s="1"/>
  <c r="F100" i="1"/>
  <c r="G100" i="1" s="1"/>
  <c r="I100" i="1" s="1" a="1"/>
  <c r="I100" i="1" s="1"/>
  <c r="F291" i="1"/>
  <c r="D363" i="1"/>
  <c r="F387" i="1"/>
  <c r="O628" i="1"/>
  <c r="K626" i="1"/>
  <c r="L626" i="1" s="1"/>
  <c r="G916" i="1"/>
  <c r="I916" i="1" s="1" a="1"/>
  <c r="I916" i="1" s="1"/>
  <c r="H52" i="1"/>
  <c r="J2" i="1" a="1"/>
  <c r="J2" i="1" s="1"/>
  <c r="J196" i="1" a="1"/>
  <c r="J196" i="1" s="1"/>
  <c r="L196" i="1" s="1"/>
  <c r="N224" i="1"/>
  <c r="O224" i="1" s="1"/>
  <c r="E363" i="1"/>
  <c r="G363" i="1" s="1"/>
  <c r="I363" i="1" s="1" a="1"/>
  <c r="I363" i="1" s="1"/>
  <c r="L602" i="1"/>
  <c r="L891" i="1"/>
  <c r="K650" i="1"/>
  <c r="L650" i="1" s="1"/>
  <c r="O652" i="1"/>
  <c r="L674" i="1"/>
  <c r="K770" i="1"/>
  <c r="L770" i="1" s="1"/>
  <c r="O772" i="1"/>
  <c r="N225" i="1"/>
  <c r="O225" i="1" s="1"/>
  <c r="B293" i="1"/>
  <c r="N293" i="1" s="1"/>
  <c r="K291" i="1" s="1"/>
  <c r="D315" i="1"/>
  <c r="O389" i="1"/>
  <c r="O413" i="1"/>
  <c r="L482" i="1"/>
  <c r="K554" i="1"/>
  <c r="L554" i="1" s="1"/>
  <c r="O556" i="1"/>
  <c r="K746" i="1"/>
  <c r="L746" i="1" s="1"/>
  <c r="O748" i="1"/>
  <c r="O893" i="1"/>
  <c r="K891" i="1"/>
  <c r="E315" i="1"/>
  <c r="G315" i="1" s="1"/>
  <c r="I315" i="1" s="1" a="1"/>
  <c r="I315" i="1" s="1"/>
  <c r="K674" i="1"/>
  <c r="O676" i="1"/>
  <c r="K722" i="1"/>
  <c r="L722" i="1" s="1"/>
  <c r="O724" i="1"/>
  <c r="K916" i="1"/>
  <c r="L916" i="1" s="1"/>
  <c r="O918" i="1"/>
  <c r="J291" i="1" a="1"/>
  <c r="J291" i="1" s="1"/>
  <c r="L506" i="1"/>
  <c r="G554" i="1"/>
  <c r="I554" i="1" s="1" a="1"/>
  <c r="I554" i="1" s="1"/>
  <c r="G746" i="1"/>
  <c r="I746" i="1" s="1" a="1"/>
  <c r="I746" i="1" s="1"/>
  <c r="K867" i="1"/>
  <c r="L867" i="1" s="1"/>
  <c r="O869" i="1"/>
  <c r="J220" i="1" a="1"/>
  <c r="J220" i="1" s="1"/>
  <c r="G435" i="1"/>
  <c r="I435" i="1" s="1" a="1"/>
  <c r="I435" i="1" s="1"/>
  <c r="B796" i="1"/>
  <c r="N796" i="1" s="1"/>
  <c r="K794" i="1" s="1"/>
  <c r="J435" i="1" a="1"/>
  <c r="J435" i="1" s="1"/>
  <c r="L435" i="1" s="1"/>
  <c r="N462" i="1"/>
  <c r="O462" i="1" s="1"/>
  <c r="N702" i="1"/>
  <c r="O702" i="1" s="1"/>
  <c r="O604" i="1"/>
  <c r="D674" i="1"/>
  <c r="E746" i="1"/>
  <c r="J794" i="1" a="1"/>
  <c r="J794" i="1" s="1"/>
  <c r="B844" i="1"/>
  <c r="N844" i="1" s="1"/>
  <c r="K842" i="1" s="1"/>
  <c r="D867" i="1"/>
  <c r="B532" i="1"/>
  <c r="N532" i="1" s="1"/>
  <c r="K530" i="1" s="1"/>
  <c r="J411" i="1" a="1"/>
  <c r="J411" i="1" s="1"/>
  <c r="L411" i="1" s="1"/>
  <c r="B460" i="1"/>
  <c r="N460" i="1" s="1"/>
  <c r="D482" i="1"/>
  <c r="E554" i="1"/>
  <c r="B700" i="1"/>
  <c r="N700" i="1" s="1"/>
  <c r="D722" i="1"/>
  <c r="J842" i="1" a="1"/>
  <c r="J842" i="1" s="1"/>
  <c r="D916" i="1"/>
  <c r="E482" i="1"/>
  <c r="G482" i="1" s="1"/>
  <c r="I482" i="1" s="1" a="1"/>
  <c r="I482" i="1" s="1"/>
  <c r="J530" i="1" a="1"/>
  <c r="J530" i="1" s="1"/>
  <c r="J578" i="1" a="1"/>
  <c r="J578" i="1" s="1"/>
  <c r="L578" i="1" s="1"/>
  <c r="O580" i="1"/>
  <c r="E722" i="1"/>
  <c r="G722" i="1" s="1"/>
  <c r="I722" i="1" s="1" a="1"/>
  <c r="I722" i="1" s="1"/>
  <c r="B820" i="1"/>
  <c r="N820" i="1" s="1"/>
  <c r="K818" i="1" s="1"/>
  <c r="D842" i="1"/>
  <c r="J458" i="1" a="1"/>
  <c r="J458" i="1" s="1"/>
  <c r="J698" i="1" a="1"/>
  <c r="J698" i="1" s="1"/>
  <c r="J818" i="1" a="1"/>
  <c r="J818" i="1" s="1"/>
  <c r="K698" i="1" l="1"/>
  <c r="L291" i="1"/>
  <c r="G291" i="1"/>
  <c r="I291" i="1" s="1" a="1"/>
  <c r="I291" i="1" s="1"/>
  <c r="O293" i="1"/>
  <c r="O4" i="1"/>
  <c r="L794" i="1"/>
  <c r="L818" i="1"/>
  <c r="O820" i="1"/>
  <c r="L842" i="1"/>
  <c r="K458" i="1"/>
  <c r="L458" i="1" s="1"/>
  <c r="O460" i="1"/>
  <c r="O796" i="1"/>
  <c r="K100" i="1"/>
  <c r="L100" i="1" s="1"/>
  <c r="O102" i="1"/>
  <c r="O700" i="1"/>
  <c r="L530" i="1"/>
  <c r="L698" i="1"/>
  <c r="O844" i="1"/>
  <c r="K220" i="1"/>
  <c r="L220" i="1" s="1"/>
  <c r="K28" i="1"/>
  <c r="L28" i="1" s="1"/>
  <c r="G387" i="1"/>
  <c r="I387" i="1" s="1" a="1"/>
  <c r="I387" i="1" s="1"/>
  <c r="O532" i="1"/>
  <c r="L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<sst xmlns="http://schemas.openxmlformats.org/spreadsheetml/2006/main" count="1131" uniqueCount="63">
  <si>
    <t>Team</t>
  </si>
  <si>
    <t>VB Code</t>
  </si>
  <si>
    <t>Recruiter Name</t>
  </si>
  <si>
    <t>Team Lead</t>
  </si>
  <si>
    <t>Yearly Placement Target</t>
  </si>
  <si>
    <t>Placement Done</t>
  </si>
  <si>
    <t>Target Achieved %</t>
  </si>
  <si>
    <t>Total Revenue Generated (USD)</t>
  </si>
  <si>
    <t>Slab qualified</t>
  </si>
  <si>
    <t>Total Incentive in INR</t>
  </si>
  <si>
    <t>Total Incentive in INR (Paid)</t>
  </si>
  <si>
    <t>Balance Incentive amount</t>
  </si>
  <si>
    <t>Mavericks</t>
  </si>
  <si>
    <t>Ekta Singh</t>
  </si>
  <si>
    <t>Candidate Name</t>
  </si>
  <si>
    <t>Placement Year</t>
  </si>
  <si>
    <t>DOJ</t>
  </si>
  <si>
    <t>DOQ</t>
  </si>
  <si>
    <t>Client</t>
  </si>
  <si>
    <t>PLC ID</t>
  </si>
  <si>
    <t>Placement Type</t>
  </si>
  <si>
    <t>Billing Status</t>
  </si>
  <si>
    <t>Collection Status</t>
  </si>
  <si>
    <t>Total Billed Hours</t>
  </si>
  <si>
    <t>Revenue (USD)</t>
  </si>
  <si>
    <t>Incentive amount (INR)</t>
  </si>
  <si>
    <t>Incentive Paid (INR)</t>
  </si>
  <si>
    <t>Balance Incentive (INR)</t>
  </si>
  <si>
    <t>Akhilesh Gupta</t>
  </si>
  <si>
    <t>Saif Ahmad Ansari</t>
  </si>
  <si>
    <t>Mohd Danish</t>
  </si>
  <si>
    <t>Nilesh Shahi</t>
  </si>
  <si>
    <t>Himanshu Gupta</t>
  </si>
  <si>
    <t>Gufran Ali</t>
  </si>
  <si>
    <t>Saurabh Mishra</t>
  </si>
  <si>
    <t>Yogesh Bisht</t>
  </si>
  <si>
    <t xml:space="preserve">Vaishnavi Kumari </t>
  </si>
  <si>
    <t>Vivek Yadav</t>
  </si>
  <si>
    <t>Tauheed Ali</t>
  </si>
  <si>
    <t>Abhishek Mishra Mavericks</t>
  </si>
  <si>
    <t>Shubham Singh</t>
  </si>
  <si>
    <t>Ritik Arya</t>
  </si>
  <si>
    <t>Priyanka Sharma</t>
  </si>
  <si>
    <t>Harshita Mani Srivastava</t>
  </si>
  <si>
    <t>Ubaid Rahman</t>
  </si>
  <si>
    <t>Mohammad Faizan Ansari</t>
  </si>
  <si>
    <t>Arpit Gupta</t>
  </si>
  <si>
    <t>Vaibhav Kumar</t>
  </si>
  <si>
    <t>Satyajeet Singh</t>
  </si>
  <si>
    <t>Mohammad Tariq</t>
  </si>
  <si>
    <t>Apurv Joshi</t>
  </si>
  <si>
    <t>Yaman Abbas</t>
  </si>
  <si>
    <t>Sandeep Pandey</t>
  </si>
  <si>
    <t>Khatib Rahman</t>
  </si>
  <si>
    <t>Vasudev Srivastava</t>
  </si>
  <si>
    <t>Shraddha Patel</t>
  </si>
  <si>
    <t>Vikas Malik</t>
  </si>
  <si>
    <t>Rahmat Ali</t>
  </si>
  <si>
    <t>Roshan Chaturvedi</t>
  </si>
  <si>
    <t>Kajal Saini</t>
  </si>
  <si>
    <t>Pawan Joshi</t>
  </si>
  <si>
    <t>Mohd Anas</t>
  </si>
  <si>
    <t>Muskan Mishra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</si>
</sst>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font>
    <font>
      <sz val="10"/>
      <color theme="1"/>
      <name val="Calibri"/>
      <family val="2"/>
    </font>
  </fonts>
  <fills count="7">
    <fill>
      <patternFill patternType="none"/>
    </fill>
    <fill>
      <patternFill patternType="gray125"/>
    </fill>
    <fill>
      <patternFill patternType="solid">
        <fgColor theme="7" tint="0.59999389629810485"/>
        <bgColor indexed="64"/>
      </patternFill>
    </fill>
    <fill>
      <patternFill patternType="solid">
        <fgColor rgb="FFFFE699"/>
        <bgColor rgb="FF000000"/>
      </patternFill>
    </fill>
    <fill>
      <patternFill patternType="solid">
        <fgColor rgb="FF92D050"/>
        <bgColor indexed="64"/>
      </patternFill>
    </fill>
    <fill>
      <patternFill patternType="solid">
        <fgColor theme="5"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9" fontId="0" fillId="0" borderId="1" xfId="1" applyFont="1" applyBorder="1" applyAlignment="1">
      <alignment horizontal="center" vertical="center"/>
    </xf>
    <xf numFmtId="1" fontId="0" fillId="0" borderId="1" xfId="0" applyNumberFormat="1" applyBorder="1" applyAlignment="1">
      <alignment horizontal="center" vertical="center"/>
    </xf>
    <xf numFmtId="10" fontId="0" fillId="0" borderId="1" xfId="1" applyNumberFormat="1" applyFont="1" applyBorder="1" applyAlignment="1">
      <alignment horizontal="center" vertical="center"/>
    </xf>
    <xf numFmtId="0" fontId="2" fillId="5" borderId="1" xfId="0" applyFont="1" applyFill="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 fontId="0" fillId="0" borderId="1" xfId="1" applyNumberFormat="1" applyFont="1" applyBorder="1" applyAlignment="1">
      <alignment horizontal="center" vertical="center"/>
    </xf>
    <xf numFmtId="0" fontId="0" fillId="0" borderId="1" xfId="1" applyNumberFormat="1" applyFont="1" applyBorder="1" applyAlignment="1">
      <alignment horizontal="center" vertical="center"/>
    </xf>
    <xf numFmtId="0" fontId="0" fillId="6" borderId="1" xfId="0" applyFill="1" applyBorder="1" applyAlignment="1">
      <alignment horizontal="center" vertical="center"/>
    </xf>
  </cellXfs>
  <cellStyles count="2">
    <cellStyle name="Normal" xfId="0" builtinId="0"/>
    <cellStyle name="Percent" xfId="1" builtinId="5"/>
  </cellStyles>
  <dxfs count="43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9C0006"/>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ata%20Sheet%20Incentive%20Portal_09%20Jun%202026.xlsx" TargetMode="External"/><Relationship Id="rId2" Type="http://schemas.openxmlformats.org/officeDocument/2006/relationships/externalLinkPath" Target="file:///D:\Deepti%20E%20Drive%20Data\DeeptiP_US_Ops\Important_Data\VBeyond\2026_US%20&amp;%20UK%20Ops\Incentive%20Portal\Data%20Sheet%20Incentive%20Portal_09%20Jun%202026.xlsx" TargetMode="External"/><Relationship Id="rId1" Type="http://schemas.openxmlformats.org/officeDocument/2006/relationships/externalLinkPath" Target="/Deepti%20E%20Drive%20Data/DeeptiP_US_Ops/Important_Data/VBeyond/2026_US%20&amp;%20UK%20Ops/Incentive%20Portal/Data%20Sheet%20Incentive%20Portal_09%20Jun%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lculator-L4 Midlevel"/>
      <sheetName val="Vantedge - Recruiters &amp; Sourcer"/>
      <sheetName val="Titans - Recruiters"/>
      <sheetName val="Pioneer - Recruiters"/>
      <sheetName val="RPO - Recruiters"/>
      <sheetName val="Trust - Recruiters"/>
      <sheetName val="Mavericks - Recruiters"/>
      <sheetName val="WWT - Recruiters"/>
      <sheetName val="WWH - Recruiters"/>
      <sheetName val="CSK - Recruiters"/>
      <sheetName val="Finanace - Incentive Data"/>
      <sheetName val="Team wise structure"/>
      <sheetName val="Vantedge - L2s"/>
      <sheetName val="CSK L2s"/>
      <sheetName val="Titans L2s"/>
      <sheetName val="Trust L2s"/>
      <sheetName val="WWT L2s"/>
      <sheetName val="WWH L2s"/>
      <sheetName val="Pioneer L2 - Lucky Jain"/>
      <sheetName val="RPO L2 - Ankit Pandey"/>
      <sheetName val="Mavericks L2s"/>
      <sheetName val="Mavericks L3s"/>
      <sheetName val="L2s % Data"/>
      <sheetName val="Slabs"/>
      <sheetName val="Basic EMP Data - 2026"/>
      <sheetName val="L2 headers"/>
      <sheetName val="Vantedge - dummy Placement"/>
      <sheetName val="Flowchart"/>
    </sheetNames>
    <sheetDataSet>
      <sheetData sheetId="0"/>
      <sheetData sheetId="1"/>
      <sheetData sheetId="2"/>
      <sheetData sheetId="3"/>
      <sheetData sheetId="4"/>
      <sheetData sheetId="5"/>
      <sheetData sheetId="6"/>
      <sheetData sheetId="7"/>
      <sheetData sheetId="8"/>
      <sheetData sheetId="9"/>
      <sheetData sheetId="10">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row>
        <row r="2">
          <cell r="A2" t="str">
            <v xml:space="preserve">Location </v>
          </cell>
          <cell r="B2" t="str">
            <v>Team</v>
          </cell>
          <cell r="C2" t="str">
            <v>Level</v>
          </cell>
          <cell r="D2" t="str">
            <v>Lead</v>
          </cell>
          <cell r="E2" t="str">
            <v>Sub Lead</v>
          </cell>
          <cell r="F2" t="str">
            <v>Split With</v>
          </cell>
          <cell r="G2" t="str">
            <v>Split - L2</v>
          </cell>
          <cell r="H2" t="str">
            <v>Recruiter</v>
          </cell>
          <cell r="I2" t="str">
            <v>VB Code</v>
          </cell>
          <cell r="J2" t="str">
            <v>Pay Mode</v>
          </cell>
          <cell r="K2" t="str">
            <v>Sourcer/Researcher</v>
          </cell>
          <cell r="L2" t="str">
            <v>New&amp;Old</v>
          </cell>
          <cell r="M2" t="str">
            <v>DOJ</v>
          </cell>
          <cell r="N2" t="str">
            <v>Ageing in Day's</v>
          </cell>
          <cell r="O2" t="str">
            <v>LWD</v>
          </cell>
          <cell r="P2" t="str">
            <v>ISD</v>
          </cell>
          <cell r="Q2" t="str">
            <v>PLC Code</v>
          </cell>
          <cell r="R2" t="str">
            <v>Candidate</v>
          </cell>
          <cell r="S2" t="str">
            <v>Transaction Details</v>
          </cell>
          <cell r="T2" t="str">
            <v>Contract Type</v>
          </cell>
          <cell r="U2" t="str">
            <v>Client Name</v>
          </cell>
          <cell r="V2" t="str">
            <v>Buy Rate</v>
          </cell>
          <cell r="W2" t="str">
            <v>OT Buy Rate</v>
          </cell>
          <cell r="X2" t="str">
            <v>Currency</v>
          </cell>
          <cell r="Y2" t="str">
            <v>Sell Rate</v>
          </cell>
          <cell r="Z2" t="str">
            <v>OT Sell Rate</v>
          </cell>
          <cell r="AA2" t="str">
            <v>Other Fixed Cost</v>
          </cell>
          <cell r="AB2" t="str">
            <v>Variable Cost</v>
          </cell>
          <cell r="AC2" t="str">
            <v>Month</v>
          </cell>
          <cell r="AD2" t="str">
            <v>Working Days</v>
          </cell>
          <cell r="AE2" t="str">
            <v>Date</v>
          </cell>
          <cell r="AF2" t="str">
            <v>Cost</v>
          </cell>
          <cell r="AG2" t="str">
            <v>Added OT Cost</v>
          </cell>
          <cell r="AH2" t="str">
            <v>Total Cost</v>
          </cell>
          <cell r="AI2" t="str">
            <v>Receivable rate</v>
          </cell>
          <cell r="AJ2" t="str">
            <v>Receivable OT rate Added</v>
          </cell>
          <cell r="AK2" t="str">
            <v>Rev. Margin OT</v>
          </cell>
          <cell r="AL2" t="str">
            <v>Rev. margin</v>
          </cell>
          <cell r="AM2" t="str">
            <v>Rev. margin(actual)- OT</v>
          </cell>
          <cell r="AN2" t="str">
            <v>Rev. margin(actual)</v>
          </cell>
          <cell r="AO2" t="str">
            <v>Rev. margin for commission OT</v>
          </cell>
          <cell r="AP2" t="str">
            <v>Rev. margin for commission</v>
          </cell>
          <cell r="AQ2" t="str">
            <v>Invoice #</v>
          </cell>
          <cell r="AR2" t="str">
            <v>Compiled Hrs.OT Hrs.</v>
          </cell>
          <cell r="AS2" t="str">
            <v>Act. Hours</v>
          </cell>
          <cell r="AT2" t="str">
            <v>Above 120.Last %age</v>
          </cell>
          <cell r="AU2" t="str">
            <v>Pro. Hours</v>
          </cell>
          <cell r="AV2" t="str">
            <v>Act Rev. OT</v>
          </cell>
          <cell r="AW2" t="str">
            <v>Act Rev. Regular</v>
          </cell>
          <cell r="AX2" t="str">
            <v>Act. Rev</v>
          </cell>
          <cell r="AY2" t="str">
            <v>Revenue Commission OT</v>
          </cell>
          <cell r="AZ2" t="str">
            <v>Revenue Commission Regular</v>
          </cell>
          <cell r="BA2" t="str">
            <v>Revenue Commission</v>
          </cell>
          <cell r="BB2" t="str">
            <v>Pro. Rev</v>
          </cell>
          <cell r="BC2" t="str">
            <v>Recruiter %</v>
          </cell>
          <cell r="BD2" t="str">
            <v>Commission on Revenue</v>
          </cell>
          <cell r="BE2" t="str">
            <v>Recruiter Commission</v>
          </cell>
          <cell r="BF2" t="str">
            <v>Sub_lead_percentage</v>
          </cell>
          <cell r="BG2" t="str">
            <v>Sub_Lead Actual Rev.</v>
          </cell>
          <cell r="BH2" t="str">
            <v>Sub Lead Commission</v>
          </cell>
          <cell r="BI2" t="str">
            <v>Lead act rev.</v>
          </cell>
          <cell r="BJ2" t="str">
            <v>Billed Value</v>
          </cell>
          <cell r="BK2" t="str">
            <v>Gross Sales Accrual</v>
          </cell>
          <cell r="BL2" t="str">
            <v>Gross Payable Accrual</v>
          </cell>
          <cell r="BM2" t="str">
            <v>Loading Cost</v>
          </cell>
          <cell r="BN2" t="str">
            <v>Other Accrued Cost</v>
          </cell>
          <cell r="BO2" t="str">
            <v>Total Loading Cost</v>
          </cell>
          <cell r="BP2" t="str">
            <v>Gross Cost Accrual</v>
          </cell>
          <cell r="BQ2" t="str">
            <v>Total Variable Cost</v>
          </cell>
          <cell r="BR2" t="str">
            <v>Net Accrued Revenue</v>
          </cell>
          <cell r="BS2" t="str">
            <v>Received Status</v>
          </cell>
          <cell r="BT2" t="str">
            <v>Quarter</v>
          </cell>
          <cell r="BU2" t="str">
            <v>Quarter of the joining date</v>
          </cell>
          <cell r="BV2" t="str">
            <v>Payable Q</v>
          </cell>
          <cell r="BW2" t="str">
            <v>Pro. Commission Slab</v>
          </cell>
          <cell r="BX2" t="str">
            <v>Pro. Recruiter Commission</v>
          </cell>
          <cell r="BY2" t="str">
            <v>Year</v>
          </cell>
          <cell r="BZ2" t="str">
            <v>Billing status portal</v>
          </cell>
          <cell r="CA2" t="str">
            <v>Collection Status</v>
          </cell>
        </row>
        <row r="3">
          <cell r="A3" t="str">
            <v>Lucknow</v>
          </cell>
          <cell r="B3" t="str">
            <v>Titans</v>
          </cell>
          <cell r="C3" t="str">
            <v>Mid Level</v>
          </cell>
          <cell r="D3" t="str">
            <v>Nitin Saxena</v>
          </cell>
          <cell r="E3" t="str">
            <v>-</v>
          </cell>
          <cell r="F3" t="str">
            <v>Non-MSP</v>
          </cell>
          <cell r="H3" t="str">
            <v>Samad Quraishi</v>
          </cell>
          <cell r="J3" t="str">
            <v>ACH</v>
          </cell>
          <cell r="L3" t="str">
            <v>New</v>
          </cell>
          <cell r="M3">
            <v>46107</v>
          </cell>
          <cell r="N3">
            <v>95</v>
          </cell>
          <cell r="P3">
            <v>46472</v>
          </cell>
          <cell r="Q3" t="str">
            <v>PLC-4800</v>
          </cell>
          <cell r="R3" t="str">
            <v>Aariz Sadi Haq</v>
          </cell>
          <cell r="S3" t="str">
            <v>Individual</v>
          </cell>
          <cell r="T3">
            <v>1099</v>
          </cell>
          <cell r="U3" t="str">
            <v>Genpact</v>
          </cell>
          <cell r="V3">
            <v>20</v>
          </cell>
          <cell r="W3">
            <v>30</v>
          </cell>
          <cell r="X3" t="str">
            <v>USD</v>
          </cell>
          <cell r="Y3">
            <v>28</v>
          </cell>
          <cell r="Z3">
            <v>42</v>
          </cell>
          <cell r="AA3">
            <v>0</v>
          </cell>
          <cell r="AB3">
            <v>0</v>
          </cell>
          <cell r="AC3">
            <v>46096</v>
          </cell>
          <cell r="AD3">
            <v>4</v>
          </cell>
          <cell r="AE3">
            <v>46387</v>
          </cell>
          <cell r="AF3">
            <v>21.400000000000002</v>
          </cell>
          <cell r="AG3">
            <v>32.1</v>
          </cell>
          <cell r="AH3">
            <v>21.400000000000002</v>
          </cell>
          <cell r="AI3">
            <v>28</v>
          </cell>
          <cell r="AJ3">
            <v>42</v>
          </cell>
          <cell r="AK3">
            <v>9.8999999999999986</v>
          </cell>
          <cell r="AL3">
            <v>6.5999999999999979</v>
          </cell>
          <cell r="AM3">
            <v>9.8999999999999986</v>
          </cell>
          <cell r="AN3">
            <v>6.5999999999999979</v>
          </cell>
          <cell r="AO3">
            <v>9.8999999999999986</v>
          </cell>
          <cell r="AP3">
            <v>6.5999999999999979</v>
          </cell>
          <cell r="AQ3" t="str">
            <v>US_27439</v>
          </cell>
          <cell r="AR3">
            <v>0</v>
          </cell>
          <cell r="AS3">
            <v>40</v>
          </cell>
          <cell r="AU3">
            <v>40</v>
          </cell>
          <cell r="AV3">
            <v>0</v>
          </cell>
          <cell r="AW3">
            <v>263.99999999999989</v>
          </cell>
          <cell r="AX3">
            <v>261.3599999999999</v>
          </cell>
          <cell r="AY3">
            <v>0</v>
          </cell>
          <cell r="AZ3">
            <v>263.99999999999989</v>
          </cell>
          <cell r="BA3">
            <v>261.3599999999999</v>
          </cell>
          <cell r="BB3">
            <v>263.99999999999989</v>
          </cell>
          <cell r="BC3">
            <v>55.555555555555557</v>
          </cell>
          <cell r="BD3">
            <v>344.9951999999999</v>
          </cell>
          <cell r="BE3">
            <v>344.9951999999999</v>
          </cell>
          <cell r="BG3">
            <v>261.3599999999999</v>
          </cell>
          <cell r="BI3">
            <v>261.3599999999999</v>
          </cell>
          <cell r="BJ3">
            <v>1120</v>
          </cell>
          <cell r="BK3">
            <v>1120</v>
          </cell>
          <cell r="BL3">
            <v>800</v>
          </cell>
          <cell r="BM3">
            <v>1.4000000000000001</v>
          </cell>
          <cell r="BN3">
            <v>0</v>
          </cell>
          <cell r="BO3">
            <v>56.000000000000007</v>
          </cell>
          <cell r="BP3">
            <v>856</v>
          </cell>
          <cell r="BQ3">
            <v>1.4000000000000001</v>
          </cell>
          <cell r="BR3">
            <v>264</v>
          </cell>
          <cell r="BS3" t="str">
            <v>Y</v>
          </cell>
          <cell r="BT3">
            <v>1</v>
          </cell>
          <cell r="BU3">
            <v>1</v>
          </cell>
          <cell r="BV3" t="str">
            <v>Y</v>
          </cell>
          <cell r="BW3">
            <v>689.99039999999979</v>
          </cell>
          <cell r="BX3">
            <v>689.99039999999979</v>
          </cell>
          <cell r="BY3">
            <v>2026</v>
          </cell>
          <cell r="BZ3" t="str">
            <v>-</v>
          </cell>
          <cell r="CA3" t="str">
            <v>-</v>
          </cell>
        </row>
        <row r="4">
          <cell r="A4" t="str">
            <v>Lucknow</v>
          </cell>
          <cell r="B4" t="str">
            <v>Titans</v>
          </cell>
          <cell r="C4" t="str">
            <v>Mid Level</v>
          </cell>
          <cell r="D4" t="str">
            <v>Nitin Saxena</v>
          </cell>
          <cell r="E4" t="str">
            <v>-</v>
          </cell>
          <cell r="F4" t="str">
            <v>Non-MSP</v>
          </cell>
          <cell r="H4" t="str">
            <v>Samad Quraishi</v>
          </cell>
          <cell r="J4" t="str">
            <v>ACH</v>
          </cell>
          <cell r="L4" t="str">
            <v>New</v>
          </cell>
          <cell r="M4">
            <v>46107</v>
          </cell>
          <cell r="N4">
            <v>95</v>
          </cell>
          <cell r="P4">
            <v>46472</v>
          </cell>
          <cell r="Q4" t="str">
            <v>PLC-4800</v>
          </cell>
          <cell r="R4" t="str">
            <v>Aariz Sadi Haq</v>
          </cell>
          <cell r="S4" t="str">
            <v>Individual</v>
          </cell>
          <cell r="T4">
            <v>1099</v>
          </cell>
          <cell r="U4" t="str">
            <v>Genpact</v>
          </cell>
          <cell r="V4">
            <v>20</v>
          </cell>
          <cell r="W4">
            <v>30</v>
          </cell>
          <cell r="X4" t="str">
            <v>USD</v>
          </cell>
          <cell r="Y4">
            <v>28</v>
          </cell>
          <cell r="Z4">
            <v>42</v>
          </cell>
          <cell r="AA4">
            <v>0</v>
          </cell>
          <cell r="AB4">
            <v>0</v>
          </cell>
          <cell r="AC4">
            <v>46127</v>
          </cell>
          <cell r="AD4">
            <v>22</v>
          </cell>
          <cell r="AE4">
            <v>46387</v>
          </cell>
          <cell r="AF4">
            <v>21.400000000000002</v>
          </cell>
          <cell r="AG4">
            <v>32.1</v>
          </cell>
          <cell r="AH4">
            <v>21.400000000000002</v>
          </cell>
          <cell r="AI4">
            <v>28</v>
          </cell>
          <cell r="AJ4">
            <v>42</v>
          </cell>
          <cell r="AK4">
            <v>9.8999999999999986</v>
          </cell>
          <cell r="AL4">
            <v>6.5999999999999979</v>
          </cell>
          <cell r="AM4">
            <v>9.8999999999999986</v>
          </cell>
          <cell r="AN4">
            <v>6.5999999999999979</v>
          </cell>
          <cell r="AO4">
            <v>9.8999999999999986</v>
          </cell>
          <cell r="AP4">
            <v>6.5999999999999979</v>
          </cell>
          <cell r="AQ4" t="str">
            <v>US_27668</v>
          </cell>
          <cell r="AR4">
            <v>0</v>
          </cell>
          <cell r="AS4">
            <v>176</v>
          </cell>
          <cell r="AU4">
            <v>176</v>
          </cell>
          <cell r="AV4">
            <v>0</v>
          </cell>
          <cell r="AW4">
            <v>1161.5999999999997</v>
          </cell>
          <cell r="AX4">
            <v>1149.9839999999997</v>
          </cell>
          <cell r="AY4">
            <v>0</v>
          </cell>
          <cell r="AZ4">
            <v>1161.5999999999997</v>
          </cell>
          <cell r="BA4">
            <v>1149.9839999999997</v>
          </cell>
          <cell r="BB4">
            <v>1161.5999999999997</v>
          </cell>
          <cell r="BC4">
            <v>55.555555555555557</v>
          </cell>
          <cell r="BD4">
            <v>1517.9788799999994</v>
          </cell>
          <cell r="BE4">
            <v>1517.9788799999994</v>
          </cell>
          <cell r="BG4">
            <v>1149.9839999999997</v>
          </cell>
          <cell r="BI4">
            <v>1149.9839999999997</v>
          </cell>
          <cell r="BJ4">
            <v>4928</v>
          </cell>
          <cell r="BK4">
            <v>4928</v>
          </cell>
          <cell r="BL4">
            <v>3520</v>
          </cell>
          <cell r="BM4">
            <v>1.4000000000000001</v>
          </cell>
          <cell r="BN4">
            <v>0</v>
          </cell>
          <cell r="BO4">
            <v>246.40000000000003</v>
          </cell>
          <cell r="BP4">
            <v>3766.4</v>
          </cell>
          <cell r="BQ4">
            <v>1.4000000000000001</v>
          </cell>
          <cell r="BR4">
            <v>1161.5999999999999</v>
          </cell>
          <cell r="BT4">
            <v>2</v>
          </cell>
          <cell r="BU4">
            <v>1</v>
          </cell>
          <cell r="BV4" t="str">
            <v>Y</v>
          </cell>
          <cell r="BW4">
            <v>3035.9577599999989</v>
          </cell>
          <cell r="BX4">
            <v>3035.9577599999989</v>
          </cell>
          <cell r="BY4">
            <v>2026</v>
          </cell>
          <cell r="BZ4" t="str">
            <v>-</v>
          </cell>
          <cell r="CA4" t="str">
            <v>-</v>
          </cell>
        </row>
        <row r="5">
          <cell r="A5" t="str">
            <v>Lucknow</v>
          </cell>
          <cell r="B5" t="str">
            <v>Titans</v>
          </cell>
          <cell r="C5" t="str">
            <v>Mid Level</v>
          </cell>
          <cell r="D5" t="str">
            <v>Nitin Saxena</v>
          </cell>
          <cell r="E5" t="str">
            <v>-</v>
          </cell>
          <cell r="F5" t="str">
            <v>Non-MSP</v>
          </cell>
          <cell r="H5" t="str">
            <v>Samad Quraishi</v>
          </cell>
          <cell r="J5" t="str">
            <v>ACH</v>
          </cell>
          <cell r="L5" t="str">
            <v>New</v>
          </cell>
          <cell r="M5">
            <v>46107</v>
          </cell>
          <cell r="N5">
            <v>95</v>
          </cell>
          <cell r="P5">
            <v>46472</v>
          </cell>
          <cell r="Q5" t="str">
            <v>PLC-4800</v>
          </cell>
          <cell r="R5" t="str">
            <v>Aariz Sadi Haq</v>
          </cell>
          <cell r="S5" t="str">
            <v>Individual</v>
          </cell>
          <cell r="T5">
            <v>1099</v>
          </cell>
          <cell r="U5" t="str">
            <v>Genpact</v>
          </cell>
          <cell r="V5">
            <v>20</v>
          </cell>
          <cell r="W5">
            <v>30</v>
          </cell>
          <cell r="X5" t="str">
            <v>USD</v>
          </cell>
          <cell r="Y5">
            <v>28</v>
          </cell>
          <cell r="Z5">
            <v>42</v>
          </cell>
          <cell r="AA5">
            <v>0</v>
          </cell>
          <cell r="AB5">
            <v>0</v>
          </cell>
          <cell r="AC5">
            <v>46157</v>
          </cell>
          <cell r="AD5">
            <v>22</v>
          </cell>
          <cell r="AE5">
            <v>46387</v>
          </cell>
          <cell r="AF5">
            <v>21.400000000000002</v>
          </cell>
          <cell r="AG5">
            <v>32.1</v>
          </cell>
          <cell r="AH5">
            <v>21.400000000000002</v>
          </cell>
          <cell r="AI5">
            <v>28</v>
          </cell>
          <cell r="AJ5">
            <v>42</v>
          </cell>
          <cell r="AK5">
            <v>9.8999999999999986</v>
          </cell>
          <cell r="AL5">
            <v>6.5999999999999979</v>
          </cell>
          <cell r="AM5">
            <v>9.8999999999999986</v>
          </cell>
          <cell r="AN5">
            <v>6.5999999999999979</v>
          </cell>
          <cell r="AO5">
            <v>9.8999999999999986</v>
          </cell>
          <cell r="AP5">
            <v>6.5999999999999979</v>
          </cell>
          <cell r="AQ5" t="str">
            <v>US_27940</v>
          </cell>
          <cell r="AR5">
            <v>8</v>
          </cell>
          <cell r="AS5">
            <v>160</v>
          </cell>
          <cell r="AU5">
            <v>160</v>
          </cell>
          <cell r="AV5">
            <v>79.199999999999989</v>
          </cell>
          <cell r="AW5">
            <v>1055.9999999999995</v>
          </cell>
          <cell r="AX5">
            <v>1123.8479999999995</v>
          </cell>
          <cell r="AY5">
            <v>79.199999999999989</v>
          </cell>
          <cell r="AZ5">
            <v>1055.9999999999995</v>
          </cell>
          <cell r="BA5">
            <v>1123.8479999999995</v>
          </cell>
          <cell r="BB5">
            <v>1055.9999999999995</v>
          </cell>
          <cell r="BC5">
            <v>55.555555555555557</v>
          </cell>
          <cell r="BD5">
            <v>1483.4793599999994</v>
          </cell>
          <cell r="BE5">
            <v>1483.4793599999994</v>
          </cell>
          <cell r="BG5">
            <v>1123.8479999999995</v>
          </cell>
          <cell r="BI5">
            <v>1123.8479999999995</v>
          </cell>
          <cell r="BJ5">
            <v>4480</v>
          </cell>
          <cell r="BK5">
            <v>4480</v>
          </cell>
          <cell r="BL5">
            <v>3200</v>
          </cell>
          <cell r="BM5">
            <v>1.4000000000000001</v>
          </cell>
          <cell r="BN5">
            <v>0</v>
          </cell>
          <cell r="BO5">
            <v>224.00000000000003</v>
          </cell>
          <cell r="BP5">
            <v>3424</v>
          </cell>
          <cell r="BQ5">
            <v>1.4000000000000001</v>
          </cell>
          <cell r="BR5">
            <v>1056</v>
          </cell>
          <cell r="BT5">
            <v>2</v>
          </cell>
          <cell r="BU5">
            <v>1</v>
          </cell>
          <cell r="BV5" t="str">
            <v>Y</v>
          </cell>
          <cell r="BW5">
            <v>2966.9587199999987</v>
          </cell>
          <cell r="BX5">
            <v>2966.9587199999987</v>
          </cell>
          <cell r="BY5">
            <v>2026</v>
          </cell>
          <cell r="BZ5" t="str">
            <v>-</v>
          </cell>
          <cell r="CA5" t="str">
            <v>-</v>
          </cell>
        </row>
        <row r="6">
          <cell r="A6" t="str">
            <v>Lucknow</v>
          </cell>
          <cell r="B6" t="str">
            <v>Trust</v>
          </cell>
          <cell r="C6" t="str">
            <v>Mid Level</v>
          </cell>
          <cell r="D6" t="str">
            <v>Harsh Agarwal</v>
          </cell>
          <cell r="E6" t="str">
            <v>-</v>
          </cell>
          <cell r="F6" t="str">
            <v>Non-MSP</v>
          </cell>
          <cell r="H6" t="str">
            <v>Aarzoo Khan</v>
          </cell>
          <cell r="L6" t="str">
            <v>New</v>
          </cell>
          <cell r="M6">
            <v>46100</v>
          </cell>
          <cell r="N6">
            <v>102</v>
          </cell>
          <cell r="P6">
            <v>46465</v>
          </cell>
          <cell r="Q6" t="str">
            <v>PLC-4728</v>
          </cell>
          <cell r="R6" t="str">
            <v>Aasha J Thunduparambil</v>
          </cell>
          <cell r="S6" t="str">
            <v>Individual</v>
          </cell>
          <cell r="T6" t="str">
            <v>FTE</v>
          </cell>
          <cell r="U6" t="str">
            <v>Infosys</v>
          </cell>
          <cell r="V6">
            <v>0</v>
          </cell>
          <cell r="W6">
            <v>0</v>
          </cell>
          <cell r="X6" t="str">
            <v>USD</v>
          </cell>
          <cell r="Y6">
            <v>3500</v>
          </cell>
          <cell r="Z6">
            <v>0</v>
          </cell>
          <cell r="AA6">
            <v>0</v>
          </cell>
          <cell r="AB6">
            <v>0</v>
          </cell>
          <cell r="AC6">
            <v>46096</v>
          </cell>
          <cell r="AD6">
            <v>1</v>
          </cell>
          <cell r="AE6">
            <v>46387</v>
          </cell>
          <cell r="AF6">
            <v>0</v>
          </cell>
          <cell r="AG6">
            <v>0</v>
          </cell>
          <cell r="AH6">
            <v>0</v>
          </cell>
          <cell r="AI6">
            <v>3500</v>
          </cell>
          <cell r="AJ6">
            <v>0</v>
          </cell>
          <cell r="AK6">
            <v>0</v>
          </cell>
          <cell r="AL6">
            <v>3500</v>
          </cell>
          <cell r="AM6">
            <v>0</v>
          </cell>
          <cell r="AN6">
            <v>3500</v>
          </cell>
          <cell r="AO6">
            <v>0</v>
          </cell>
          <cell r="AP6">
            <v>3500</v>
          </cell>
          <cell r="AU6">
            <v>1</v>
          </cell>
          <cell r="BB6">
            <v>3500</v>
          </cell>
          <cell r="BC6">
            <v>0</v>
          </cell>
          <cell r="BD6">
            <v>0</v>
          </cell>
          <cell r="BE6">
            <v>0</v>
          </cell>
          <cell r="BF6">
            <v>39</v>
          </cell>
          <cell r="BK6">
            <v>3500</v>
          </cell>
          <cell r="BL6">
            <v>0</v>
          </cell>
          <cell r="BM6">
            <v>0</v>
          </cell>
          <cell r="BN6">
            <v>0</v>
          </cell>
          <cell r="BO6">
            <v>0</v>
          </cell>
          <cell r="BP6">
            <v>0</v>
          </cell>
          <cell r="BQ6">
            <v>0</v>
          </cell>
          <cell r="BR6">
            <v>3500</v>
          </cell>
          <cell r="BT6">
            <v>1</v>
          </cell>
          <cell r="BU6">
            <v>1</v>
          </cell>
          <cell r="BV6" t="str">
            <v>N</v>
          </cell>
          <cell r="BW6">
            <v>0</v>
          </cell>
          <cell r="BX6">
            <v>0</v>
          </cell>
          <cell r="BY6">
            <v>2026</v>
          </cell>
          <cell r="BZ6" t="str">
            <v>-</v>
          </cell>
          <cell r="CA6" t="str">
            <v>-</v>
          </cell>
        </row>
        <row r="7">
          <cell r="A7" t="str">
            <v>Lucknow</v>
          </cell>
          <cell r="B7" t="str">
            <v>Titans</v>
          </cell>
          <cell r="C7" t="str">
            <v>Mid Level</v>
          </cell>
          <cell r="D7" t="str">
            <v>Noor Beg</v>
          </cell>
          <cell r="E7" t="str">
            <v>-</v>
          </cell>
          <cell r="F7" t="str">
            <v>Non-MSP</v>
          </cell>
          <cell r="H7" t="str">
            <v>Pass Through</v>
          </cell>
          <cell r="L7" t="str">
            <v>New</v>
          </cell>
          <cell r="M7">
            <v>46049</v>
          </cell>
          <cell r="N7">
            <v>153</v>
          </cell>
          <cell r="O7">
            <v>46066</v>
          </cell>
          <cell r="P7">
            <v>46414</v>
          </cell>
          <cell r="Q7" t="str">
            <v>PLC-Passthrough</v>
          </cell>
          <cell r="R7" t="str">
            <v>Aayana Kemp Cameron</v>
          </cell>
          <cell r="S7" t="str">
            <v>Individual</v>
          </cell>
          <cell r="T7" t="str">
            <v>C2C</v>
          </cell>
          <cell r="U7" t="str">
            <v>Genpact</v>
          </cell>
          <cell r="V7">
            <v>225</v>
          </cell>
          <cell r="W7">
            <v>0</v>
          </cell>
          <cell r="X7" t="str">
            <v>USD</v>
          </cell>
          <cell r="Y7">
            <v>230</v>
          </cell>
          <cell r="Z7">
            <v>0</v>
          </cell>
          <cell r="AA7">
            <v>0</v>
          </cell>
          <cell r="AB7">
            <v>0</v>
          </cell>
          <cell r="AC7">
            <v>46037</v>
          </cell>
          <cell r="AD7">
            <v>1</v>
          </cell>
          <cell r="AE7">
            <v>46387</v>
          </cell>
          <cell r="AF7">
            <v>225</v>
          </cell>
          <cell r="AG7">
            <v>0</v>
          </cell>
          <cell r="AH7">
            <v>225</v>
          </cell>
          <cell r="AI7">
            <v>230</v>
          </cell>
          <cell r="AJ7">
            <v>0</v>
          </cell>
          <cell r="AK7">
            <v>0</v>
          </cell>
          <cell r="AL7">
            <v>5</v>
          </cell>
          <cell r="AM7">
            <v>0</v>
          </cell>
          <cell r="AN7">
            <v>5</v>
          </cell>
          <cell r="AO7">
            <v>0</v>
          </cell>
          <cell r="AP7">
            <v>5</v>
          </cell>
          <cell r="AQ7" t="str">
            <v>US_GB_00015</v>
          </cell>
          <cell r="AR7">
            <v>0</v>
          </cell>
          <cell r="AS7">
            <v>31.5</v>
          </cell>
          <cell r="AU7">
            <v>31.5</v>
          </cell>
          <cell r="AV7">
            <v>0</v>
          </cell>
          <cell r="AW7">
            <v>157.5</v>
          </cell>
          <cell r="AX7">
            <v>157.5</v>
          </cell>
          <cell r="AY7">
            <v>0</v>
          </cell>
          <cell r="AZ7">
            <v>157.5</v>
          </cell>
          <cell r="BA7">
            <v>157.5</v>
          </cell>
          <cell r="BB7">
            <v>157.5</v>
          </cell>
          <cell r="BC7">
            <v>0</v>
          </cell>
          <cell r="BD7">
            <v>0</v>
          </cell>
          <cell r="BE7">
            <v>0</v>
          </cell>
          <cell r="BG7">
            <v>157.5</v>
          </cell>
          <cell r="BI7">
            <v>157.5</v>
          </cell>
          <cell r="BJ7">
            <v>7245</v>
          </cell>
          <cell r="BK7">
            <v>7245</v>
          </cell>
          <cell r="BL7">
            <v>7087.5</v>
          </cell>
          <cell r="BM7">
            <v>0</v>
          </cell>
          <cell r="BN7">
            <v>0</v>
          </cell>
          <cell r="BO7">
            <v>0</v>
          </cell>
          <cell r="BP7">
            <v>7087.5</v>
          </cell>
          <cell r="BQ7">
            <v>0</v>
          </cell>
          <cell r="BR7">
            <v>157.5</v>
          </cell>
          <cell r="BS7" t="str">
            <v>Y</v>
          </cell>
          <cell r="BT7">
            <v>1</v>
          </cell>
          <cell r="BU7">
            <v>1</v>
          </cell>
          <cell r="BV7" t="str">
            <v>Y</v>
          </cell>
          <cell r="BW7">
            <v>0</v>
          </cell>
          <cell r="BX7">
            <v>0</v>
          </cell>
          <cell r="BY7">
            <v>2026</v>
          </cell>
          <cell r="BZ7" t="str">
            <v>-</v>
          </cell>
          <cell r="CA7" t="str">
            <v>-</v>
          </cell>
        </row>
        <row r="8">
          <cell r="A8" t="str">
            <v>Lucknow</v>
          </cell>
          <cell r="B8" t="str">
            <v>Titans</v>
          </cell>
          <cell r="C8" t="str">
            <v>Mid Level</v>
          </cell>
          <cell r="D8" t="str">
            <v>Noor Beg</v>
          </cell>
          <cell r="E8" t="str">
            <v>-</v>
          </cell>
          <cell r="F8" t="str">
            <v>Non-MSP</v>
          </cell>
          <cell r="H8" t="str">
            <v>Pass Through</v>
          </cell>
          <cell r="L8" t="str">
            <v>New</v>
          </cell>
          <cell r="M8">
            <v>46049</v>
          </cell>
          <cell r="N8">
            <v>153</v>
          </cell>
          <cell r="O8">
            <v>46066</v>
          </cell>
          <cell r="P8">
            <v>46414</v>
          </cell>
          <cell r="Q8" t="str">
            <v>PLC-Passthrough</v>
          </cell>
          <cell r="R8" t="str">
            <v>Aayana Kemp Cameron</v>
          </cell>
          <cell r="S8" t="str">
            <v>Individual</v>
          </cell>
          <cell r="T8" t="str">
            <v>C2C</v>
          </cell>
          <cell r="U8" t="str">
            <v>Genpact</v>
          </cell>
          <cell r="V8">
            <v>225</v>
          </cell>
          <cell r="W8">
            <v>0</v>
          </cell>
          <cell r="X8" t="str">
            <v>USD</v>
          </cell>
          <cell r="Y8">
            <v>230</v>
          </cell>
          <cell r="Z8">
            <v>0</v>
          </cell>
          <cell r="AA8">
            <v>0</v>
          </cell>
          <cell r="AB8">
            <v>0</v>
          </cell>
          <cell r="AC8">
            <v>46068</v>
          </cell>
          <cell r="AD8">
            <v>20</v>
          </cell>
          <cell r="AE8">
            <v>46387</v>
          </cell>
          <cell r="AF8">
            <v>225</v>
          </cell>
          <cell r="AG8">
            <v>0</v>
          </cell>
          <cell r="AH8">
            <v>225</v>
          </cell>
          <cell r="AI8">
            <v>230</v>
          </cell>
          <cell r="AJ8">
            <v>0</v>
          </cell>
          <cell r="AK8">
            <v>0</v>
          </cell>
          <cell r="AL8">
            <v>5</v>
          </cell>
          <cell r="AM8">
            <v>0</v>
          </cell>
          <cell r="AN8">
            <v>5</v>
          </cell>
          <cell r="AO8">
            <v>0</v>
          </cell>
          <cell r="AP8">
            <v>5</v>
          </cell>
          <cell r="AQ8" t="str">
            <v>US_GB_00028</v>
          </cell>
          <cell r="AR8">
            <v>0</v>
          </cell>
          <cell r="AS8">
            <v>80</v>
          </cell>
          <cell r="AU8">
            <v>80</v>
          </cell>
          <cell r="AV8">
            <v>0</v>
          </cell>
          <cell r="AW8">
            <v>400</v>
          </cell>
          <cell r="AX8">
            <v>400</v>
          </cell>
          <cell r="AY8">
            <v>0</v>
          </cell>
          <cell r="AZ8">
            <v>400</v>
          </cell>
          <cell r="BA8">
            <v>400</v>
          </cell>
          <cell r="BB8">
            <v>400</v>
          </cell>
          <cell r="BC8">
            <v>0</v>
          </cell>
          <cell r="BD8">
            <v>0</v>
          </cell>
          <cell r="BE8">
            <v>0</v>
          </cell>
          <cell r="BG8">
            <v>400</v>
          </cell>
          <cell r="BI8">
            <v>400</v>
          </cell>
          <cell r="BJ8">
            <v>18400</v>
          </cell>
          <cell r="BK8">
            <v>18400</v>
          </cell>
          <cell r="BL8">
            <v>18000</v>
          </cell>
          <cell r="BM8">
            <v>0</v>
          </cell>
          <cell r="BN8">
            <v>0</v>
          </cell>
          <cell r="BO8">
            <v>0</v>
          </cell>
          <cell r="BP8">
            <v>18000</v>
          </cell>
          <cell r="BQ8">
            <v>0</v>
          </cell>
          <cell r="BR8">
            <v>400</v>
          </cell>
          <cell r="BS8" t="str">
            <v>Y</v>
          </cell>
          <cell r="BT8">
            <v>1</v>
          </cell>
          <cell r="BU8">
            <v>1</v>
          </cell>
          <cell r="BV8" t="str">
            <v>Y</v>
          </cell>
          <cell r="BW8">
            <v>0</v>
          </cell>
          <cell r="BX8">
            <v>0</v>
          </cell>
          <cell r="BY8">
            <v>2026</v>
          </cell>
          <cell r="BZ8" t="str">
            <v>-</v>
          </cell>
          <cell r="CA8" t="str">
            <v>-</v>
          </cell>
        </row>
        <row r="9">
          <cell r="A9" t="str">
            <v>Lucknow</v>
          </cell>
          <cell r="B9" t="str">
            <v>Mavericks</v>
          </cell>
          <cell r="C9" t="str">
            <v>Mid Level</v>
          </cell>
          <cell r="D9" t="str">
            <v>Rohit Gupta</v>
          </cell>
          <cell r="E9" t="str">
            <v>Vivek Yadav</v>
          </cell>
          <cell r="F9" t="str">
            <v>Non-MSP</v>
          </cell>
          <cell r="H9" t="str">
            <v>Tauheed Ali</v>
          </cell>
          <cell r="L9" t="str">
            <v>New</v>
          </cell>
          <cell r="M9">
            <v>46065</v>
          </cell>
          <cell r="N9">
            <v>137</v>
          </cell>
          <cell r="P9">
            <v>46430</v>
          </cell>
          <cell r="Q9" t="str">
            <v>PLC-4702</v>
          </cell>
          <cell r="R9" t="str">
            <v>Abdul Sattar</v>
          </cell>
          <cell r="S9" t="str">
            <v>Individual</v>
          </cell>
          <cell r="T9" t="str">
            <v>FTE</v>
          </cell>
          <cell r="U9" t="str">
            <v>CoForge</v>
          </cell>
          <cell r="V9">
            <v>0</v>
          </cell>
          <cell r="W9">
            <v>0</v>
          </cell>
          <cell r="X9" t="str">
            <v>USD</v>
          </cell>
          <cell r="Y9">
            <v>3000</v>
          </cell>
          <cell r="Z9">
            <v>0</v>
          </cell>
          <cell r="AA9">
            <v>0</v>
          </cell>
          <cell r="AB9">
            <v>0</v>
          </cell>
          <cell r="AC9">
            <v>46068</v>
          </cell>
          <cell r="AD9">
            <v>1</v>
          </cell>
          <cell r="AE9">
            <v>46387</v>
          </cell>
          <cell r="AF9">
            <v>0</v>
          </cell>
          <cell r="AG9">
            <v>0</v>
          </cell>
          <cell r="AH9">
            <v>0</v>
          </cell>
          <cell r="AI9">
            <v>3000</v>
          </cell>
          <cell r="AJ9">
            <v>0</v>
          </cell>
          <cell r="AK9">
            <v>0</v>
          </cell>
          <cell r="AL9">
            <v>3000</v>
          </cell>
          <cell r="AM9">
            <v>0</v>
          </cell>
          <cell r="AN9">
            <v>3000</v>
          </cell>
          <cell r="AO9">
            <v>0</v>
          </cell>
          <cell r="AP9">
            <v>3000</v>
          </cell>
          <cell r="AQ9" t="str">
            <v>US_27198</v>
          </cell>
          <cell r="AR9">
            <v>0</v>
          </cell>
          <cell r="AS9">
            <v>1</v>
          </cell>
          <cell r="AU9">
            <v>1</v>
          </cell>
          <cell r="AV9">
            <v>0</v>
          </cell>
          <cell r="AW9">
            <v>3000</v>
          </cell>
          <cell r="AX9">
            <v>3000</v>
          </cell>
          <cell r="AY9">
            <v>0</v>
          </cell>
          <cell r="AZ9">
            <v>3000</v>
          </cell>
          <cell r="BA9">
            <v>3000</v>
          </cell>
          <cell r="BB9">
            <v>3000</v>
          </cell>
          <cell r="BC9">
            <v>0</v>
          </cell>
          <cell r="BD9">
            <v>0</v>
          </cell>
          <cell r="BE9">
            <v>0</v>
          </cell>
          <cell r="BG9">
            <v>3000</v>
          </cell>
          <cell r="BI9">
            <v>3000</v>
          </cell>
          <cell r="BJ9">
            <v>3000</v>
          </cell>
          <cell r="BK9">
            <v>3000</v>
          </cell>
          <cell r="BL9">
            <v>0</v>
          </cell>
          <cell r="BM9">
            <v>0</v>
          </cell>
          <cell r="BN9">
            <v>0</v>
          </cell>
          <cell r="BO9">
            <v>0</v>
          </cell>
          <cell r="BP9">
            <v>0</v>
          </cell>
          <cell r="BQ9">
            <v>0</v>
          </cell>
          <cell r="BR9">
            <v>3000</v>
          </cell>
          <cell r="BS9" t="str">
            <v>Y</v>
          </cell>
          <cell r="BT9">
            <v>1</v>
          </cell>
          <cell r="BU9">
            <v>1</v>
          </cell>
          <cell r="BV9" t="str">
            <v>N</v>
          </cell>
          <cell r="BW9">
            <v>0</v>
          </cell>
          <cell r="BX9">
            <v>0</v>
          </cell>
          <cell r="BY9">
            <v>2026</v>
          </cell>
          <cell r="BZ9" t="str">
            <v>-</v>
          </cell>
          <cell r="CA9" t="str">
            <v>-</v>
          </cell>
        </row>
        <row r="10">
          <cell r="A10" t="str">
            <v>Lucknow</v>
          </cell>
          <cell r="B10" t="str">
            <v>Titans</v>
          </cell>
          <cell r="C10" t="str">
            <v>Mid Level</v>
          </cell>
          <cell r="D10" t="str">
            <v>Abhishek Yadav</v>
          </cell>
          <cell r="F10" t="str">
            <v>Non-MSP</v>
          </cell>
          <cell r="H10" t="str">
            <v>Raj Chaudhary</v>
          </cell>
          <cell r="J10" t="str">
            <v>ACH</v>
          </cell>
          <cell r="L10" t="str">
            <v>New</v>
          </cell>
          <cell r="M10">
            <v>46150</v>
          </cell>
          <cell r="N10">
            <v>52</v>
          </cell>
          <cell r="P10">
            <v>46515</v>
          </cell>
          <cell r="R10" t="str">
            <v>Abhik Ghoshal 2</v>
          </cell>
          <cell r="S10" t="str">
            <v>Individual</v>
          </cell>
          <cell r="T10" t="str">
            <v>C2C Canada</v>
          </cell>
          <cell r="U10" t="str">
            <v>Genpact</v>
          </cell>
          <cell r="V10">
            <v>55</v>
          </cell>
          <cell r="W10">
            <v>0</v>
          </cell>
          <cell r="X10" t="str">
            <v>CAD</v>
          </cell>
          <cell r="Y10">
            <v>60</v>
          </cell>
          <cell r="Z10">
            <v>0</v>
          </cell>
          <cell r="AA10">
            <v>0</v>
          </cell>
          <cell r="AB10">
            <v>0</v>
          </cell>
          <cell r="AC10">
            <v>46157</v>
          </cell>
          <cell r="AD10">
            <v>16</v>
          </cell>
          <cell r="AE10">
            <v>46387</v>
          </cell>
          <cell r="AF10">
            <v>39.049999999999997</v>
          </cell>
          <cell r="AG10">
            <v>0</v>
          </cell>
          <cell r="AH10">
            <v>39.049999999999997</v>
          </cell>
          <cell r="AI10">
            <v>42.599999999999994</v>
          </cell>
          <cell r="AJ10">
            <v>0</v>
          </cell>
          <cell r="AK10">
            <v>0</v>
          </cell>
          <cell r="AL10">
            <v>3.5499999999999972</v>
          </cell>
          <cell r="AM10">
            <v>0</v>
          </cell>
          <cell r="AN10">
            <v>3.5499999999999972</v>
          </cell>
          <cell r="AO10">
            <v>0</v>
          </cell>
          <cell r="AP10">
            <v>3.5499999999999972</v>
          </cell>
          <cell r="AQ10" t="str">
            <v>CAD_2205</v>
          </cell>
          <cell r="AR10">
            <v>0</v>
          </cell>
          <cell r="AS10">
            <v>120</v>
          </cell>
          <cell r="AU10">
            <v>120</v>
          </cell>
          <cell r="AV10">
            <v>0</v>
          </cell>
          <cell r="AW10">
            <v>425.99999999999966</v>
          </cell>
          <cell r="AX10">
            <v>421.73999999999967</v>
          </cell>
          <cell r="AY10">
            <v>0</v>
          </cell>
          <cell r="AZ10">
            <v>425.99999999999966</v>
          </cell>
          <cell r="BA10">
            <v>421.73999999999967</v>
          </cell>
          <cell r="BB10">
            <v>425.99999999999966</v>
          </cell>
          <cell r="BC10">
            <v>0</v>
          </cell>
          <cell r="BD10">
            <v>0</v>
          </cell>
          <cell r="BE10">
            <v>0</v>
          </cell>
          <cell r="BG10">
            <v>421.73999999999967</v>
          </cell>
          <cell r="BI10">
            <v>0</v>
          </cell>
          <cell r="BJ10">
            <v>7200</v>
          </cell>
          <cell r="BK10">
            <v>5111.9999999999991</v>
          </cell>
          <cell r="BL10">
            <v>4889.9399999999996</v>
          </cell>
          <cell r="BM10">
            <v>0</v>
          </cell>
          <cell r="BN10">
            <v>0</v>
          </cell>
          <cell r="BO10">
            <v>0</v>
          </cell>
          <cell r="BP10">
            <v>4889.9399999999996</v>
          </cell>
          <cell r="BQ10">
            <v>0</v>
          </cell>
          <cell r="BR10">
            <v>222.05999999999949</v>
          </cell>
          <cell r="BT10">
            <v>2</v>
          </cell>
          <cell r="BU10">
            <v>2</v>
          </cell>
          <cell r="BV10" t="str">
            <v>N</v>
          </cell>
          <cell r="BW10">
            <v>0</v>
          </cell>
          <cell r="BX10">
            <v>0</v>
          </cell>
          <cell r="BY10">
            <v>2026</v>
          </cell>
          <cell r="BZ10" t="str">
            <v>-</v>
          </cell>
          <cell r="CA10" t="str">
            <v>-</v>
          </cell>
        </row>
        <row r="11">
          <cell r="A11" t="str">
            <v>Lucknow</v>
          </cell>
          <cell r="B11" t="str">
            <v>Vantedge</v>
          </cell>
          <cell r="C11" t="str">
            <v>Senior</v>
          </cell>
          <cell r="D11" t="str">
            <v>Umar Mujahid Husain</v>
          </cell>
          <cell r="E11" t="str">
            <v>-</v>
          </cell>
          <cell r="F11" t="str">
            <v>Non-MSP</v>
          </cell>
          <cell r="H11" t="str">
            <v>Astha Srivastava</v>
          </cell>
          <cell r="L11" t="str">
            <v>New</v>
          </cell>
          <cell r="M11">
            <v>46035</v>
          </cell>
          <cell r="N11">
            <v>167</v>
          </cell>
          <cell r="P11">
            <v>46400</v>
          </cell>
          <cell r="Q11" t="str">
            <v>PLC-4679</v>
          </cell>
          <cell r="R11" t="str">
            <v>Abhinav Srivastava</v>
          </cell>
          <cell r="S11" t="str">
            <v>Individual</v>
          </cell>
          <cell r="T11" t="str">
            <v>FTE</v>
          </cell>
          <cell r="U11" t="str">
            <v>BirlaSoft</v>
          </cell>
          <cell r="V11">
            <v>0</v>
          </cell>
          <cell r="W11">
            <v>0</v>
          </cell>
          <cell r="X11" t="str">
            <v>USD</v>
          </cell>
          <cell r="Y11">
            <v>45000</v>
          </cell>
          <cell r="Z11">
            <v>0</v>
          </cell>
          <cell r="AA11">
            <v>0</v>
          </cell>
          <cell r="AB11">
            <v>0</v>
          </cell>
          <cell r="AC11">
            <v>46037</v>
          </cell>
          <cell r="AD11">
            <v>1</v>
          </cell>
          <cell r="AE11">
            <v>46387</v>
          </cell>
          <cell r="AF11">
            <v>0</v>
          </cell>
          <cell r="AG11">
            <v>0</v>
          </cell>
          <cell r="AH11">
            <v>0</v>
          </cell>
          <cell r="AI11">
            <v>45000</v>
          </cell>
          <cell r="AJ11">
            <v>0</v>
          </cell>
          <cell r="AK11">
            <v>0</v>
          </cell>
          <cell r="AL11">
            <v>45000</v>
          </cell>
          <cell r="AM11">
            <v>0</v>
          </cell>
          <cell r="AN11">
            <v>45000</v>
          </cell>
          <cell r="AO11">
            <v>0</v>
          </cell>
          <cell r="AP11">
            <v>45000</v>
          </cell>
          <cell r="AQ11" t="str">
            <v>US_26962</v>
          </cell>
          <cell r="AR11">
            <v>0</v>
          </cell>
          <cell r="AS11">
            <v>1</v>
          </cell>
          <cell r="AU11">
            <v>1</v>
          </cell>
          <cell r="AV11">
            <v>0</v>
          </cell>
          <cell r="AW11">
            <v>45000</v>
          </cell>
          <cell r="AX11">
            <v>45000</v>
          </cell>
          <cell r="AY11">
            <v>0</v>
          </cell>
          <cell r="AZ11">
            <v>45000</v>
          </cell>
          <cell r="BA11">
            <v>45000</v>
          </cell>
          <cell r="BB11">
            <v>45000</v>
          </cell>
          <cell r="BC11">
            <v>60</v>
          </cell>
          <cell r="BD11">
            <v>49500</v>
          </cell>
          <cell r="BE11">
            <v>49500</v>
          </cell>
          <cell r="BF11">
            <v>43</v>
          </cell>
          <cell r="BG11">
            <v>45000</v>
          </cell>
          <cell r="BH11">
            <v>24750</v>
          </cell>
          <cell r="BI11">
            <v>45000</v>
          </cell>
          <cell r="BJ11">
            <v>45000</v>
          </cell>
          <cell r="BK11">
            <v>45000</v>
          </cell>
          <cell r="BL11">
            <v>0</v>
          </cell>
          <cell r="BM11">
            <v>0</v>
          </cell>
          <cell r="BN11">
            <v>0</v>
          </cell>
          <cell r="BO11">
            <v>0</v>
          </cell>
          <cell r="BP11">
            <v>0</v>
          </cell>
          <cell r="BQ11">
            <v>0</v>
          </cell>
          <cell r="BR11">
            <v>45000</v>
          </cell>
          <cell r="BT11">
            <v>1</v>
          </cell>
          <cell r="BU11">
            <v>1</v>
          </cell>
          <cell r="BV11" t="str">
            <v>N</v>
          </cell>
          <cell r="BW11">
            <v>99000</v>
          </cell>
          <cell r="BX11">
            <v>99000</v>
          </cell>
          <cell r="BY11">
            <v>2026</v>
          </cell>
          <cell r="BZ11" t="str">
            <v>-</v>
          </cell>
          <cell r="CA11" t="str">
            <v>-</v>
          </cell>
        </row>
        <row r="12">
          <cell r="A12" t="str">
            <v>Lucknow</v>
          </cell>
          <cell r="B12" t="str">
            <v>Mavericks</v>
          </cell>
          <cell r="C12" t="str">
            <v>Mid Level</v>
          </cell>
          <cell r="D12" t="str">
            <v>Mohammad Fakhrul</v>
          </cell>
          <cell r="E12" t="str">
            <v>-</v>
          </cell>
          <cell r="F12" t="str">
            <v>MSP</v>
          </cell>
          <cell r="H12" t="str">
            <v>Pass Through/MSP</v>
          </cell>
          <cell r="L12" t="str">
            <v>New</v>
          </cell>
          <cell r="M12">
            <v>46069</v>
          </cell>
          <cell r="N12">
            <v>133</v>
          </cell>
          <cell r="P12">
            <v>46434</v>
          </cell>
          <cell r="Q12" t="str">
            <v>PLC-Passthrough</v>
          </cell>
          <cell r="R12" t="str">
            <v>Adithya Boyalla Varadharajulu</v>
          </cell>
          <cell r="S12" t="str">
            <v>Individual</v>
          </cell>
          <cell r="T12" t="str">
            <v>C2C</v>
          </cell>
          <cell r="U12" t="str">
            <v>CoForge</v>
          </cell>
          <cell r="V12">
            <v>93</v>
          </cell>
          <cell r="W12">
            <v>0</v>
          </cell>
          <cell r="X12" t="str">
            <v>USD</v>
          </cell>
          <cell r="Y12">
            <v>94</v>
          </cell>
          <cell r="Z12">
            <v>0</v>
          </cell>
          <cell r="AA12">
            <v>0</v>
          </cell>
          <cell r="AB12">
            <v>0</v>
          </cell>
          <cell r="AC12">
            <v>46068</v>
          </cell>
          <cell r="AD12">
            <v>10</v>
          </cell>
          <cell r="AE12">
            <v>46387</v>
          </cell>
          <cell r="AF12">
            <v>93</v>
          </cell>
          <cell r="AG12">
            <v>0</v>
          </cell>
          <cell r="AH12">
            <v>93</v>
          </cell>
          <cell r="AI12">
            <v>94</v>
          </cell>
          <cell r="AJ12">
            <v>0</v>
          </cell>
          <cell r="AK12">
            <v>0</v>
          </cell>
          <cell r="AL12">
            <v>1</v>
          </cell>
          <cell r="AM12">
            <v>0</v>
          </cell>
          <cell r="AN12">
            <v>1</v>
          </cell>
          <cell r="AO12">
            <v>0</v>
          </cell>
          <cell r="AP12">
            <v>1</v>
          </cell>
          <cell r="AQ12" t="str">
            <v>US_CMSP_00436</v>
          </cell>
          <cell r="AR12">
            <v>0</v>
          </cell>
          <cell r="AS12">
            <v>80</v>
          </cell>
          <cell r="AU12">
            <v>80</v>
          </cell>
          <cell r="AV12">
            <v>0</v>
          </cell>
          <cell r="AW12">
            <v>80</v>
          </cell>
          <cell r="AX12">
            <v>80</v>
          </cell>
          <cell r="AY12">
            <v>0</v>
          </cell>
          <cell r="AZ12">
            <v>80</v>
          </cell>
          <cell r="BA12">
            <v>80</v>
          </cell>
          <cell r="BB12">
            <v>80</v>
          </cell>
          <cell r="BC12">
            <v>0</v>
          </cell>
          <cell r="BD12">
            <v>0</v>
          </cell>
          <cell r="BE12">
            <v>0</v>
          </cell>
          <cell r="BG12">
            <v>80</v>
          </cell>
          <cell r="BI12">
            <v>80</v>
          </cell>
          <cell r="BJ12">
            <v>7520</v>
          </cell>
          <cell r="BK12">
            <v>7520</v>
          </cell>
          <cell r="BL12">
            <v>7440</v>
          </cell>
          <cell r="BM12">
            <v>0</v>
          </cell>
          <cell r="BN12">
            <v>0</v>
          </cell>
          <cell r="BO12">
            <v>0</v>
          </cell>
          <cell r="BP12">
            <v>7440</v>
          </cell>
          <cell r="BQ12">
            <v>0</v>
          </cell>
          <cell r="BR12">
            <v>80</v>
          </cell>
          <cell r="BS12" t="str">
            <v>Y</v>
          </cell>
          <cell r="BT12">
            <v>1</v>
          </cell>
          <cell r="BU12">
            <v>1</v>
          </cell>
          <cell r="BV12" t="str">
            <v>N</v>
          </cell>
          <cell r="BW12">
            <v>0</v>
          </cell>
          <cell r="BX12">
            <v>0</v>
          </cell>
          <cell r="BY12">
            <v>2026</v>
          </cell>
          <cell r="BZ12" t="str">
            <v>-</v>
          </cell>
          <cell r="CA12" t="str">
            <v>-</v>
          </cell>
        </row>
        <row r="13">
          <cell r="A13" t="str">
            <v>Lucknow</v>
          </cell>
          <cell r="B13" t="str">
            <v>Mavericks</v>
          </cell>
          <cell r="C13" t="str">
            <v>Mid Level</v>
          </cell>
          <cell r="D13" t="str">
            <v>Mohammad Fakhrul</v>
          </cell>
          <cell r="E13" t="str">
            <v>-</v>
          </cell>
          <cell r="F13" t="str">
            <v>MSP</v>
          </cell>
          <cell r="H13" t="str">
            <v>Pass Through/MSP</v>
          </cell>
          <cell r="L13" t="str">
            <v>New</v>
          </cell>
          <cell r="M13">
            <v>46069</v>
          </cell>
          <cell r="N13">
            <v>133</v>
          </cell>
          <cell r="P13">
            <v>46434</v>
          </cell>
          <cell r="Q13" t="str">
            <v>PLC-Passthrough</v>
          </cell>
          <cell r="R13" t="str">
            <v>Adithya Boyalla Varadharajulu</v>
          </cell>
          <cell r="S13" t="str">
            <v>Individual</v>
          </cell>
          <cell r="T13" t="str">
            <v>C2C</v>
          </cell>
          <cell r="U13" t="str">
            <v>CoForge</v>
          </cell>
          <cell r="V13">
            <v>93</v>
          </cell>
          <cell r="W13">
            <v>0</v>
          </cell>
          <cell r="X13" t="str">
            <v>USD</v>
          </cell>
          <cell r="Y13">
            <v>94</v>
          </cell>
          <cell r="Z13">
            <v>0</v>
          </cell>
          <cell r="AA13">
            <v>0</v>
          </cell>
          <cell r="AB13">
            <v>0</v>
          </cell>
          <cell r="AC13">
            <v>46096</v>
          </cell>
          <cell r="AD13">
            <v>22</v>
          </cell>
          <cell r="AE13">
            <v>46387</v>
          </cell>
          <cell r="AF13">
            <v>93</v>
          </cell>
          <cell r="AG13">
            <v>0</v>
          </cell>
          <cell r="AH13">
            <v>93</v>
          </cell>
          <cell r="AI13">
            <v>94</v>
          </cell>
          <cell r="AJ13">
            <v>0</v>
          </cell>
          <cell r="AK13">
            <v>0</v>
          </cell>
          <cell r="AL13">
            <v>1</v>
          </cell>
          <cell r="AM13">
            <v>0</v>
          </cell>
          <cell r="AN13">
            <v>1</v>
          </cell>
          <cell r="AO13">
            <v>0</v>
          </cell>
          <cell r="AP13">
            <v>1</v>
          </cell>
          <cell r="AQ13" t="str">
            <v>US_CMSP_00544</v>
          </cell>
          <cell r="AR13">
            <v>0</v>
          </cell>
          <cell r="AS13">
            <v>160</v>
          </cell>
          <cell r="AU13">
            <v>160</v>
          </cell>
          <cell r="AV13">
            <v>0</v>
          </cell>
          <cell r="AW13">
            <v>160</v>
          </cell>
          <cell r="AX13">
            <v>160</v>
          </cell>
          <cell r="AY13">
            <v>0</v>
          </cell>
          <cell r="AZ13">
            <v>160</v>
          </cell>
          <cell r="BA13">
            <v>160</v>
          </cell>
          <cell r="BB13">
            <v>160</v>
          </cell>
          <cell r="BC13">
            <v>0</v>
          </cell>
          <cell r="BD13">
            <v>0</v>
          </cell>
          <cell r="BE13">
            <v>0</v>
          </cell>
          <cell r="BG13">
            <v>160</v>
          </cell>
          <cell r="BI13">
            <v>160</v>
          </cell>
          <cell r="BJ13">
            <v>15040</v>
          </cell>
          <cell r="BK13">
            <v>15040</v>
          </cell>
          <cell r="BL13">
            <v>14880</v>
          </cell>
          <cell r="BM13">
            <v>0</v>
          </cell>
          <cell r="BN13">
            <v>0</v>
          </cell>
          <cell r="BO13">
            <v>0</v>
          </cell>
          <cell r="BP13">
            <v>14880</v>
          </cell>
          <cell r="BQ13">
            <v>0</v>
          </cell>
          <cell r="BR13">
            <v>160</v>
          </cell>
          <cell r="BT13">
            <v>1</v>
          </cell>
          <cell r="BU13">
            <v>1</v>
          </cell>
          <cell r="BV13" t="str">
            <v>N</v>
          </cell>
          <cell r="BW13">
            <v>0</v>
          </cell>
          <cell r="BX13">
            <v>0</v>
          </cell>
          <cell r="BY13">
            <v>2026</v>
          </cell>
          <cell r="BZ13" t="str">
            <v>-</v>
          </cell>
          <cell r="CA13" t="str">
            <v>-</v>
          </cell>
        </row>
        <row r="14">
          <cell r="A14" t="str">
            <v>Lucknow</v>
          </cell>
          <cell r="B14" t="str">
            <v>Mavericks</v>
          </cell>
          <cell r="C14" t="str">
            <v>Mid Level</v>
          </cell>
          <cell r="D14" t="str">
            <v>Mohammad Fakhrul</v>
          </cell>
          <cell r="E14" t="str">
            <v>-</v>
          </cell>
          <cell r="F14" t="str">
            <v>MSP</v>
          </cell>
          <cell r="H14" t="str">
            <v>Pass Through/MSP</v>
          </cell>
          <cell r="J14" t="str">
            <v>ACH</v>
          </cell>
          <cell r="L14" t="str">
            <v>New</v>
          </cell>
          <cell r="M14">
            <v>46069</v>
          </cell>
          <cell r="N14">
            <v>133</v>
          </cell>
          <cell r="P14">
            <v>46434</v>
          </cell>
          <cell r="Q14" t="str">
            <v>PLC-Passthrough</v>
          </cell>
          <cell r="R14" t="str">
            <v>Adithya Boyalla Varadharajulu</v>
          </cell>
          <cell r="S14" t="str">
            <v>Individual</v>
          </cell>
          <cell r="T14" t="str">
            <v>C2C</v>
          </cell>
          <cell r="U14" t="str">
            <v>CoForge</v>
          </cell>
          <cell r="V14">
            <v>93</v>
          </cell>
          <cell r="W14">
            <v>0</v>
          </cell>
          <cell r="X14" t="str">
            <v>USD</v>
          </cell>
          <cell r="Y14">
            <v>94</v>
          </cell>
          <cell r="Z14">
            <v>0</v>
          </cell>
          <cell r="AA14">
            <v>0</v>
          </cell>
          <cell r="AB14">
            <v>0</v>
          </cell>
          <cell r="AC14">
            <v>46127</v>
          </cell>
          <cell r="AD14">
            <v>22</v>
          </cell>
          <cell r="AE14">
            <v>46387</v>
          </cell>
          <cell r="AF14">
            <v>93</v>
          </cell>
          <cell r="AG14">
            <v>0</v>
          </cell>
          <cell r="AH14">
            <v>93</v>
          </cell>
          <cell r="AI14">
            <v>94</v>
          </cell>
          <cell r="AJ14">
            <v>0</v>
          </cell>
          <cell r="AK14">
            <v>0</v>
          </cell>
          <cell r="AL14">
            <v>1</v>
          </cell>
          <cell r="AM14">
            <v>0</v>
          </cell>
          <cell r="AN14">
            <v>1</v>
          </cell>
          <cell r="AO14">
            <v>0</v>
          </cell>
          <cell r="AP14">
            <v>1</v>
          </cell>
          <cell r="AQ14" t="str">
            <v>US_CMSP_00691</v>
          </cell>
          <cell r="AR14">
            <v>0</v>
          </cell>
          <cell r="AS14">
            <v>168</v>
          </cell>
          <cell r="AU14">
            <v>168</v>
          </cell>
          <cell r="AV14">
            <v>0</v>
          </cell>
          <cell r="AW14">
            <v>168</v>
          </cell>
          <cell r="AX14">
            <v>166.32</v>
          </cell>
          <cell r="AY14">
            <v>0</v>
          </cell>
          <cell r="AZ14">
            <v>168</v>
          </cell>
          <cell r="BA14">
            <v>166.32</v>
          </cell>
          <cell r="BB14">
            <v>168</v>
          </cell>
          <cell r="BC14">
            <v>0</v>
          </cell>
          <cell r="BD14">
            <v>0</v>
          </cell>
          <cell r="BE14">
            <v>0</v>
          </cell>
          <cell r="BG14">
            <v>166.32</v>
          </cell>
          <cell r="BI14">
            <v>166.32</v>
          </cell>
          <cell r="BJ14">
            <v>15792</v>
          </cell>
          <cell r="BK14">
            <v>15792</v>
          </cell>
          <cell r="BL14">
            <v>15624</v>
          </cell>
          <cell r="BM14">
            <v>0</v>
          </cell>
          <cell r="BN14">
            <v>0</v>
          </cell>
          <cell r="BO14">
            <v>0</v>
          </cell>
          <cell r="BP14">
            <v>15624</v>
          </cell>
          <cell r="BQ14">
            <v>0</v>
          </cell>
          <cell r="BR14">
            <v>168</v>
          </cell>
          <cell r="BT14">
            <v>2</v>
          </cell>
          <cell r="BU14">
            <v>1</v>
          </cell>
          <cell r="BV14" t="str">
            <v>N</v>
          </cell>
          <cell r="BW14">
            <v>0</v>
          </cell>
          <cell r="BX14">
            <v>0</v>
          </cell>
          <cell r="BY14">
            <v>2026</v>
          </cell>
          <cell r="BZ14" t="str">
            <v>-</v>
          </cell>
          <cell r="CA14" t="str">
            <v>-</v>
          </cell>
        </row>
        <row r="15">
          <cell r="A15" t="str">
            <v>Lucknow</v>
          </cell>
          <cell r="B15" t="str">
            <v>Mavericks</v>
          </cell>
          <cell r="C15" t="str">
            <v>Mid Level</v>
          </cell>
          <cell r="D15" t="str">
            <v>Mohammad Fakhrul</v>
          </cell>
          <cell r="E15" t="str">
            <v>-</v>
          </cell>
          <cell r="F15" t="str">
            <v>MSP</v>
          </cell>
          <cell r="H15" t="str">
            <v>Pass Through/MSP</v>
          </cell>
          <cell r="J15" t="str">
            <v>ACH</v>
          </cell>
          <cell r="L15" t="str">
            <v>New</v>
          </cell>
          <cell r="M15">
            <v>46069</v>
          </cell>
          <cell r="N15">
            <v>133</v>
          </cell>
          <cell r="P15">
            <v>46434</v>
          </cell>
          <cell r="Q15" t="str">
            <v>PLC-Passthrough</v>
          </cell>
          <cell r="R15" t="str">
            <v>Adithya Boyalla Varadharajulu</v>
          </cell>
          <cell r="S15" t="str">
            <v>Individual</v>
          </cell>
          <cell r="T15" t="str">
            <v>C2C</v>
          </cell>
          <cell r="U15" t="str">
            <v>CoForge</v>
          </cell>
          <cell r="V15">
            <v>93</v>
          </cell>
          <cell r="W15">
            <v>0</v>
          </cell>
          <cell r="X15" t="str">
            <v>USD</v>
          </cell>
          <cell r="Y15">
            <v>94</v>
          </cell>
          <cell r="Z15">
            <v>0</v>
          </cell>
          <cell r="AA15">
            <v>0</v>
          </cell>
          <cell r="AB15">
            <v>0</v>
          </cell>
          <cell r="AC15">
            <v>46157</v>
          </cell>
          <cell r="AD15">
            <v>22</v>
          </cell>
          <cell r="AE15">
            <v>46387</v>
          </cell>
          <cell r="AF15">
            <v>93</v>
          </cell>
          <cell r="AG15">
            <v>0</v>
          </cell>
          <cell r="AH15">
            <v>93</v>
          </cell>
          <cell r="AI15">
            <v>94</v>
          </cell>
          <cell r="AJ15">
            <v>0</v>
          </cell>
          <cell r="AK15">
            <v>0</v>
          </cell>
          <cell r="AL15">
            <v>1</v>
          </cell>
          <cell r="AM15">
            <v>0</v>
          </cell>
          <cell r="AN15">
            <v>1</v>
          </cell>
          <cell r="AO15">
            <v>0</v>
          </cell>
          <cell r="AP15">
            <v>1</v>
          </cell>
          <cell r="AQ15" t="str">
            <v>US_CMSP_00852</v>
          </cell>
          <cell r="AR15">
            <v>0</v>
          </cell>
          <cell r="AS15">
            <v>112</v>
          </cell>
          <cell r="AU15">
            <v>112</v>
          </cell>
          <cell r="AV15">
            <v>0</v>
          </cell>
          <cell r="AW15">
            <v>112</v>
          </cell>
          <cell r="AX15">
            <v>110.88</v>
          </cell>
          <cell r="AY15">
            <v>0</v>
          </cell>
          <cell r="AZ15">
            <v>112</v>
          </cell>
          <cell r="BA15">
            <v>110.88</v>
          </cell>
          <cell r="BB15">
            <v>112</v>
          </cell>
          <cell r="BC15">
            <v>0</v>
          </cell>
          <cell r="BD15">
            <v>0</v>
          </cell>
          <cell r="BE15">
            <v>0</v>
          </cell>
          <cell r="BG15">
            <v>110.88</v>
          </cell>
          <cell r="BI15">
            <v>110.88</v>
          </cell>
          <cell r="BJ15">
            <v>10528</v>
          </cell>
          <cell r="BK15">
            <v>10528</v>
          </cell>
          <cell r="BL15">
            <v>10416</v>
          </cell>
          <cell r="BM15">
            <v>0</v>
          </cell>
          <cell r="BN15">
            <v>0</v>
          </cell>
          <cell r="BO15">
            <v>0</v>
          </cell>
          <cell r="BP15">
            <v>10416</v>
          </cell>
          <cell r="BQ15">
            <v>0</v>
          </cell>
          <cell r="BR15">
            <v>112</v>
          </cell>
          <cell r="BT15">
            <v>2</v>
          </cell>
          <cell r="BU15">
            <v>1</v>
          </cell>
          <cell r="BV15" t="str">
            <v>N</v>
          </cell>
          <cell r="BW15">
            <v>0</v>
          </cell>
          <cell r="BX15">
            <v>0</v>
          </cell>
          <cell r="BY15">
            <v>2026</v>
          </cell>
          <cell r="BZ15" t="str">
            <v>-</v>
          </cell>
          <cell r="CA15" t="str">
            <v>-</v>
          </cell>
        </row>
        <row r="16">
          <cell r="A16" t="str">
            <v>Lucknow</v>
          </cell>
          <cell r="B16" t="str">
            <v>Mavericks</v>
          </cell>
          <cell r="C16" t="str">
            <v>Mid Level</v>
          </cell>
          <cell r="D16" t="str">
            <v>Mohammad Fakhrul</v>
          </cell>
          <cell r="E16" t="str">
            <v>-</v>
          </cell>
          <cell r="F16" t="str">
            <v>MSP</v>
          </cell>
          <cell r="H16" t="str">
            <v>Pass Through/MSP</v>
          </cell>
          <cell r="L16" t="str">
            <v>New</v>
          </cell>
          <cell r="M16">
            <v>46112</v>
          </cell>
          <cell r="N16">
            <v>90</v>
          </cell>
          <cell r="P16">
            <v>46477</v>
          </cell>
          <cell r="Q16" t="str">
            <v>PLC-Passthrough</v>
          </cell>
          <cell r="R16" t="str">
            <v>Ajith Padmanabhula</v>
          </cell>
          <cell r="S16" t="str">
            <v>Individual</v>
          </cell>
          <cell r="T16" t="str">
            <v>C2C</v>
          </cell>
          <cell r="U16" t="str">
            <v>CoForge</v>
          </cell>
          <cell r="V16">
            <v>75</v>
          </cell>
          <cell r="W16">
            <v>0</v>
          </cell>
          <cell r="X16" t="str">
            <v>USD</v>
          </cell>
          <cell r="Y16">
            <v>76</v>
          </cell>
          <cell r="Z16">
            <v>0</v>
          </cell>
          <cell r="AA16">
            <v>0</v>
          </cell>
          <cell r="AB16">
            <v>0</v>
          </cell>
          <cell r="AC16">
            <v>46096</v>
          </cell>
          <cell r="AD16">
            <v>1</v>
          </cell>
          <cell r="AE16">
            <v>46387</v>
          </cell>
          <cell r="AF16">
            <v>75</v>
          </cell>
          <cell r="AG16">
            <v>0</v>
          </cell>
          <cell r="AH16">
            <v>75</v>
          </cell>
          <cell r="AI16">
            <v>76</v>
          </cell>
          <cell r="AJ16">
            <v>0</v>
          </cell>
          <cell r="AK16">
            <v>0</v>
          </cell>
          <cell r="AL16">
            <v>1</v>
          </cell>
          <cell r="AM16">
            <v>0</v>
          </cell>
          <cell r="AN16">
            <v>1</v>
          </cell>
          <cell r="AO16">
            <v>0</v>
          </cell>
          <cell r="AP16">
            <v>1</v>
          </cell>
          <cell r="AQ16" t="str">
            <v>US_CMSP_00588</v>
          </cell>
          <cell r="AR16">
            <v>0</v>
          </cell>
          <cell r="AS16">
            <v>8</v>
          </cell>
          <cell r="AU16">
            <v>8</v>
          </cell>
          <cell r="AV16">
            <v>0</v>
          </cell>
          <cell r="AW16">
            <v>8</v>
          </cell>
          <cell r="AX16">
            <v>8</v>
          </cell>
          <cell r="AY16">
            <v>0</v>
          </cell>
          <cell r="AZ16">
            <v>8</v>
          </cell>
          <cell r="BA16">
            <v>8</v>
          </cell>
          <cell r="BB16">
            <v>8</v>
          </cell>
          <cell r="BC16">
            <v>0</v>
          </cell>
          <cell r="BD16">
            <v>0</v>
          </cell>
          <cell r="BE16">
            <v>0</v>
          </cell>
          <cell r="BG16">
            <v>8</v>
          </cell>
          <cell r="BI16">
            <v>0</v>
          </cell>
          <cell r="BJ16">
            <v>608</v>
          </cell>
          <cell r="BK16">
            <v>608</v>
          </cell>
          <cell r="BL16">
            <v>600</v>
          </cell>
          <cell r="BM16">
            <v>0</v>
          </cell>
          <cell r="BN16">
            <v>0</v>
          </cell>
          <cell r="BO16">
            <v>0</v>
          </cell>
          <cell r="BP16">
            <v>600</v>
          </cell>
          <cell r="BQ16">
            <v>0</v>
          </cell>
          <cell r="BR16">
            <v>8</v>
          </cell>
          <cell r="BS16" t="str">
            <v>Y</v>
          </cell>
          <cell r="BT16">
            <v>1</v>
          </cell>
          <cell r="BU16">
            <v>1</v>
          </cell>
          <cell r="BV16" t="str">
            <v>N</v>
          </cell>
          <cell r="BW16">
            <v>0</v>
          </cell>
          <cell r="BX16">
            <v>0</v>
          </cell>
          <cell r="BY16">
            <v>2026</v>
          </cell>
          <cell r="BZ16" t="str">
            <v>-</v>
          </cell>
          <cell r="CA16" t="str">
            <v>-</v>
          </cell>
        </row>
        <row r="17">
          <cell r="A17" t="str">
            <v>Lucknow</v>
          </cell>
          <cell r="B17" t="str">
            <v>Mavericks</v>
          </cell>
          <cell r="C17" t="str">
            <v>Mid Level</v>
          </cell>
          <cell r="D17" t="str">
            <v>Mohammad Fakhrul</v>
          </cell>
          <cell r="E17" t="str">
            <v>-</v>
          </cell>
          <cell r="F17" t="str">
            <v>MSP</v>
          </cell>
          <cell r="H17" t="str">
            <v>Pass Through/MSP</v>
          </cell>
          <cell r="J17" t="str">
            <v>ACH</v>
          </cell>
          <cell r="L17" t="str">
            <v>New</v>
          </cell>
          <cell r="M17">
            <v>46112</v>
          </cell>
          <cell r="N17">
            <v>90</v>
          </cell>
          <cell r="P17">
            <v>46477</v>
          </cell>
          <cell r="Q17" t="str">
            <v>PLC-Passthrough</v>
          </cell>
          <cell r="R17" t="str">
            <v>Ajith Padmanabhula</v>
          </cell>
          <cell r="S17" t="str">
            <v>Individual</v>
          </cell>
          <cell r="T17" t="str">
            <v>C2C</v>
          </cell>
          <cell r="U17" t="str">
            <v>CoForge</v>
          </cell>
          <cell r="V17">
            <v>75</v>
          </cell>
          <cell r="W17">
            <v>0</v>
          </cell>
          <cell r="X17" t="str">
            <v>USD</v>
          </cell>
          <cell r="Y17">
            <v>76</v>
          </cell>
          <cell r="Z17">
            <v>0</v>
          </cell>
          <cell r="AA17">
            <v>0</v>
          </cell>
          <cell r="AB17">
            <v>0</v>
          </cell>
          <cell r="AC17">
            <v>46127</v>
          </cell>
          <cell r="AD17">
            <v>22</v>
          </cell>
          <cell r="AE17">
            <v>46387</v>
          </cell>
          <cell r="AF17">
            <v>75</v>
          </cell>
          <cell r="AG17">
            <v>0</v>
          </cell>
          <cell r="AH17">
            <v>75</v>
          </cell>
          <cell r="AI17">
            <v>76</v>
          </cell>
          <cell r="AJ17">
            <v>0</v>
          </cell>
          <cell r="AK17">
            <v>0</v>
          </cell>
          <cell r="AL17">
            <v>1</v>
          </cell>
          <cell r="AM17">
            <v>0</v>
          </cell>
          <cell r="AN17">
            <v>1</v>
          </cell>
          <cell r="AO17">
            <v>0</v>
          </cell>
          <cell r="AP17">
            <v>1</v>
          </cell>
          <cell r="AQ17" t="str">
            <v>US_CMSP_00729</v>
          </cell>
          <cell r="AR17">
            <v>0</v>
          </cell>
          <cell r="AS17">
            <v>168</v>
          </cell>
          <cell r="AU17">
            <v>168</v>
          </cell>
          <cell r="AV17">
            <v>0</v>
          </cell>
          <cell r="AW17">
            <v>168</v>
          </cell>
          <cell r="AX17">
            <v>166.32</v>
          </cell>
          <cell r="AY17">
            <v>0</v>
          </cell>
          <cell r="AZ17">
            <v>168</v>
          </cell>
          <cell r="BA17">
            <v>166.32</v>
          </cell>
          <cell r="BB17">
            <v>168</v>
          </cell>
          <cell r="BC17">
            <v>0</v>
          </cell>
          <cell r="BD17">
            <v>0</v>
          </cell>
          <cell r="BE17">
            <v>0</v>
          </cell>
          <cell r="BG17">
            <v>166.32</v>
          </cell>
          <cell r="BI17">
            <v>0</v>
          </cell>
          <cell r="BJ17">
            <v>12768</v>
          </cell>
          <cell r="BK17">
            <v>12768</v>
          </cell>
          <cell r="BL17">
            <v>12600</v>
          </cell>
          <cell r="BM17">
            <v>0</v>
          </cell>
          <cell r="BN17">
            <v>0</v>
          </cell>
          <cell r="BO17">
            <v>0</v>
          </cell>
          <cell r="BP17">
            <v>12600</v>
          </cell>
          <cell r="BQ17">
            <v>0</v>
          </cell>
          <cell r="BR17">
            <v>168</v>
          </cell>
          <cell r="BS17" t="str">
            <v>Y</v>
          </cell>
          <cell r="BT17">
            <v>2</v>
          </cell>
          <cell r="BU17">
            <v>1</v>
          </cell>
          <cell r="BV17" t="str">
            <v>N</v>
          </cell>
          <cell r="BW17">
            <v>0</v>
          </cell>
          <cell r="BX17">
            <v>0</v>
          </cell>
          <cell r="BY17">
            <v>2026</v>
          </cell>
          <cell r="BZ17" t="str">
            <v>-</v>
          </cell>
          <cell r="CA17" t="str">
            <v>-</v>
          </cell>
        </row>
        <row r="18">
          <cell r="A18" t="str">
            <v>Lucknow</v>
          </cell>
          <cell r="B18" t="str">
            <v>Mavericks</v>
          </cell>
          <cell r="C18" t="str">
            <v>Mid Level</v>
          </cell>
          <cell r="D18" t="str">
            <v>Mohammad Fakhrul</v>
          </cell>
          <cell r="E18" t="str">
            <v>-</v>
          </cell>
          <cell r="F18" t="str">
            <v>MSP</v>
          </cell>
          <cell r="H18" t="str">
            <v>Pass Through/MSP</v>
          </cell>
          <cell r="J18" t="str">
            <v>ACH</v>
          </cell>
          <cell r="L18" t="str">
            <v>New</v>
          </cell>
          <cell r="M18">
            <v>46112</v>
          </cell>
          <cell r="N18">
            <v>90</v>
          </cell>
          <cell r="P18">
            <v>46477</v>
          </cell>
          <cell r="Q18" t="str">
            <v>PLC-Passthrough</v>
          </cell>
          <cell r="R18" t="str">
            <v>Ajith Padmanabhula</v>
          </cell>
          <cell r="S18" t="str">
            <v>Individual</v>
          </cell>
          <cell r="T18" t="str">
            <v>C2C</v>
          </cell>
          <cell r="U18" t="str">
            <v>CoForge</v>
          </cell>
          <cell r="V18">
            <v>75</v>
          </cell>
          <cell r="W18">
            <v>0</v>
          </cell>
          <cell r="X18" t="str">
            <v>USD</v>
          </cell>
          <cell r="Y18">
            <v>76</v>
          </cell>
          <cell r="Z18">
            <v>0</v>
          </cell>
          <cell r="AA18">
            <v>0</v>
          </cell>
          <cell r="AB18">
            <v>0</v>
          </cell>
          <cell r="AC18">
            <v>46157</v>
          </cell>
          <cell r="AD18">
            <v>22</v>
          </cell>
          <cell r="AE18">
            <v>46387</v>
          </cell>
          <cell r="AF18">
            <v>75</v>
          </cell>
          <cell r="AG18">
            <v>0</v>
          </cell>
          <cell r="AH18">
            <v>75</v>
          </cell>
          <cell r="AI18">
            <v>76</v>
          </cell>
          <cell r="AJ18">
            <v>0</v>
          </cell>
          <cell r="AK18">
            <v>0</v>
          </cell>
          <cell r="AL18">
            <v>1</v>
          </cell>
          <cell r="AM18">
            <v>0</v>
          </cell>
          <cell r="AN18">
            <v>1</v>
          </cell>
          <cell r="AO18">
            <v>0</v>
          </cell>
          <cell r="AP18">
            <v>1</v>
          </cell>
          <cell r="AQ18" t="str">
            <v>US_CMSP_00800</v>
          </cell>
          <cell r="AR18">
            <v>0</v>
          </cell>
          <cell r="AS18">
            <v>160</v>
          </cell>
          <cell r="AU18">
            <v>160</v>
          </cell>
          <cell r="AV18">
            <v>0</v>
          </cell>
          <cell r="AW18">
            <v>160</v>
          </cell>
          <cell r="AX18">
            <v>158.4</v>
          </cell>
          <cell r="AY18">
            <v>0</v>
          </cell>
          <cell r="AZ18">
            <v>160</v>
          </cell>
          <cell r="BA18">
            <v>158.4</v>
          </cell>
          <cell r="BB18">
            <v>160</v>
          </cell>
          <cell r="BC18">
            <v>0</v>
          </cell>
          <cell r="BD18">
            <v>0</v>
          </cell>
          <cell r="BE18">
            <v>0</v>
          </cell>
          <cell r="BG18">
            <v>158.4</v>
          </cell>
          <cell r="BI18">
            <v>0</v>
          </cell>
          <cell r="BJ18">
            <v>12160</v>
          </cell>
          <cell r="BK18">
            <v>12160</v>
          </cell>
          <cell r="BL18">
            <v>12000</v>
          </cell>
          <cell r="BM18">
            <v>0</v>
          </cell>
          <cell r="BN18">
            <v>0</v>
          </cell>
          <cell r="BO18">
            <v>0</v>
          </cell>
          <cell r="BP18">
            <v>12000</v>
          </cell>
          <cell r="BQ18">
            <v>0</v>
          </cell>
          <cell r="BR18">
            <v>160</v>
          </cell>
          <cell r="BT18">
            <v>2</v>
          </cell>
          <cell r="BU18">
            <v>1</v>
          </cell>
          <cell r="BV18" t="str">
            <v>N</v>
          </cell>
          <cell r="BW18">
            <v>0</v>
          </cell>
          <cell r="BX18">
            <v>0</v>
          </cell>
          <cell r="BY18">
            <v>2026</v>
          </cell>
          <cell r="BZ18" t="str">
            <v>-</v>
          </cell>
          <cell r="CA18" t="str">
            <v>-</v>
          </cell>
        </row>
        <row r="19">
          <cell r="A19" t="str">
            <v>Lucknow</v>
          </cell>
          <cell r="B19" t="str">
            <v>Titans</v>
          </cell>
          <cell r="C19" t="str">
            <v>Mid Level</v>
          </cell>
          <cell r="D19" t="str">
            <v>Nitin Saxena</v>
          </cell>
          <cell r="F19" t="str">
            <v>Non-MSP</v>
          </cell>
          <cell r="H19" t="str">
            <v>Samad Quraishi</v>
          </cell>
          <cell r="J19" t="str">
            <v>ACH</v>
          </cell>
          <cell r="L19" t="str">
            <v>New</v>
          </cell>
          <cell r="M19">
            <v>46142</v>
          </cell>
          <cell r="N19">
            <v>60</v>
          </cell>
          <cell r="P19">
            <v>46507</v>
          </cell>
          <cell r="Q19" t="str">
            <v>PLC-4862</v>
          </cell>
          <cell r="R19" t="str">
            <v>Akshaya Reddy Goli</v>
          </cell>
          <cell r="S19" t="str">
            <v>Individual</v>
          </cell>
          <cell r="T19" t="str">
            <v>W2</v>
          </cell>
          <cell r="U19" t="str">
            <v>Genpact</v>
          </cell>
          <cell r="V19">
            <v>27</v>
          </cell>
          <cell r="W19">
            <v>0</v>
          </cell>
          <cell r="X19" t="str">
            <v>USD</v>
          </cell>
          <cell r="Y19">
            <v>42</v>
          </cell>
          <cell r="Z19">
            <v>0</v>
          </cell>
          <cell r="AA19">
            <v>0</v>
          </cell>
          <cell r="AB19">
            <v>0</v>
          </cell>
          <cell r="AC19">
            <v>46127</v>
          </cell>
          <cell r="AD19">
            <v>1</v>
          </cell>
          <cell r="AE19">
            <v>46387</v>
          </cell>
          <cell r="AF19">
            <v>31.049999999999997</v>
          </cell>
          <cell r="AG19">
            <v>0</v>
          </cell>
          <cell r="AH19">
            <v>31.049999999999997</v>
          </cell>
          <cell r="AI19">
            <v>42</v>
          </cell>
          <cell r="AJ19">
            <v>0</v>
          </cell>
          <cell r="AK19">
            <v>0</v>
          </cell>
          <cell r="AL19">
            <v>10.950000000000003</v>
          </cell>
          <cell r="AM19">
            <v>0</v>
          </cell>
          <cell r="AN19">
            <v>10.950000000000003</v>
          </cell>
          <cell r="AO19">
            <v>0</v>
          </cell>
          <cell r="AP19">
            <v>10.950000000000003</v>
          </cell>
          <cell r="AQ19" t="str">
            <v>US_27702</v>
          </cell>
          <cell r="AR19">
            <v>0</v>
          </cell>
          <cell r="AS19">
            <v>8</v>
          </cell>
          <cell r="AU19">
            <v>8</v>
          </cell>
          <cell r="AV19">
            <v>0</v>
          </cell>
          <cell r="AW19">
            <v>87.600000000000023</v>
          </cell>
          <cell r="AX19">
            <v>86.724000000000018</v>
          </cell>
          <cell r="AY19">
            <v>0</v>
          </cell>
          <cell r="AZ19">
            <v>87.600000000000023</v>
          </cell>
          <cell r="BA19">
            <v>86.724000000000018</v>
          </cell>
          <cell r="BB19">
            <v>87.600000000000023</v>
          </cell>
          <cell r="BC19">
            <v>55.555555555555557</v>
          </cell>
          <cell r="BD19">
            <v>114.47568000000003</v>
          </cell>
          <cell r="BE19">
            <v>114.47568000000003</v>
          </cell>
          <cell r="BG19">
            <v>86.724000000000018</v>
          </cell>
          <cell r="BI19">
            <v>0</v>
          </cell>
          <cell r="BJ19">
            <v>336</v>
          </cell>
          <cell r="BK19">
            <v>336</v>
          </cell>
          <cell r="BL19">
            <v>216</v>
          </cell>
          <cell r="BM19">
            <v>4.05</v>
          </cell>
          <cell r="BN19">
            <v>0</v>
          </cell>
          <cell r="BO19">
            <v>32.4</v>
          </cell>
          <cell r="BP19">
            <v>248.4</v>
          </cell>
          <cell r="BQ19">
            <v>4.05</v>
          </cell>
          <cell r="BR19">
            <v>87.6</v>
          </cell>
          <cell r="BT19">
            <v>2</v>
          </cell>
          <cell r="BU19">
            <v>2</v>
          </cell>
          <cell r="BV19" t="str">
            <v>Y</v>
          </cell>
          <cell r="BW19">
            <v>228.95136000000005</v>
          </cell>
          <cell r="BX19">
            <v>228.95136000000005</v>
          </cell>
          <cell r="BY19">
            <v>2026</v>
          </cell>
          <cell r="BZ19" t="str">
            <v>-</v>
          </cell>
          <cell r="CA19" t="str">
            <v>-</v>
          </cell>
        </row>
        <row r="20">
          <cell r="A20" t="str">
            <v>Lucknow</v>
          </cell>
          <cell r="B20" t="str">
            <v>Titans</v>
          </cell>
          <cell r="C20" t="str">
            <v>Mid Level</v>
          </cell>
          <cell r="D20" t="str">
            <v>Nitin Saxena</v>
          </cell>
          <cell r="F20" t="str">
            <v>Non-MSP</v>
          </cell>
          <cell r="H20" t="str">
            <v>Samad Quraishi</v>
          </cell>
          <cell r="J20" t="str">
            <v>ACH</v>
          </cell>
          <cell r="L20" t="str">
            <v>New</v>
          </cell>
          <cell r="M20">
            <v>46142</v>
          </cell>
          <cell r="N20">
            <v>60</v>
          </cell>
          <cell r="P20">
            <v>46507</v>
          </cell>
          <cell r="Q20" t="str">
            <v>PLC-4862</v>
          </cell>
          <cell r="R20" t="str">
            <v>Akshaya Reddy Goli</v>
          </cell>
          <cell r="S20" t="str">
            <v>Individual</v>
          </cell>
          <cell r="T20" t="str">
            <v>W2</v>
          </cell>
          <cell r="U20" t="str">
            <v>Genpact</v>
          </cell>
          <cell r="V20">
            <v>27</v>
          </cell>
          <cell r="W20">
            <v>0</v>
          </cell>
          <cell r="X20" t="str">
            <v>USD</v>
          </cell>
          <cell r="Y20">
            <v>42</v>
          </cell>
          <cell r="Z20">
            <v>0</v>
          </cell>
          <cell r="AA20">
            <v>0</v>
          </cell>
          <cell r="AB20">
            <v>0</v>
          </cell>
          <cell r="AC20">
            <v>46157</v>
          </cell>
          <cell r="AD20">
            <v>1</v>
          </cell>
          <cell r="AE20">
            <v>46387</v>
          </cell>
          <cell r="AF20">
            <v>31.049999999999997</v>
          </cell>
          <cell r="AG20">
            <v>0</v>
          </cell>
          <cell r="AH20">
            <v>31.049999999999997</v>
          </cell>
          <cell r="AI20">
            <v>42</v>
          </cell>
          <cell r="AJ20">
            <v>0</v>
          </cell>
          <cell r="AK20">
            <v>0</v>
          </cell>
          <cell r="AL20">
            <v>10.950000000000003</v>
          </cell>
          <cell r="AM20">
            <v>0</v>
          </cell>
          <cell r="AN20">
            <v>10.950000000000003</v>
          </cell>
          <cell r="AO20">
            <v>0</v>
          </cell>
          <cell r="AP20">
            <v>10.950000000000003</v>
          </cell>
          <cell r="AQ20" t="str">
            <v>US_27808</v>
          </cell>
          <cell r="AR20">
            <v>0</v>
          </cell>
          <cell r="AS20">
            <v>160</v>
          </cell>
          <cell r="AU20">
            <v>160</v>
          </cell>
          <cell r="AV20">
            <v>0</v>
          </cell>
          <cell r="AW20">
            <v>1752.0000000000005</v>
          </cell>
          <cell r="AX20">
            <v>1734.4800000000005</v>
          </cell>
          <cell r="AY20">
            <v>0</v>
          </cell>
          <cell r="AZ20">
            <v>1752.0000000000005</v>
          </cell>
          <cell r="BA20">
            <v>1734.4800000000005</v>
          </cell>
          <cell r="BB20">
            <v>1752.0000000000005</v>
          </cell>
          <cell r="BC20">
            <v>55.555555555555557</v>
          </cell>
          <cell r="BD20">
            <v>2289.5136000000007</v>
          </cell>
          <cell r="BE20">
            <v>2289.5136000000007</v>
          </cell>
          <cell r="BG20">
            <v>1734.4800000000005</v>
          </cell>
          <cell r="BI20">
            <v>0</v>
          </cell>
          <cell r="BJ20">
            <v>6720</v>
          </cell>
          <cell r="BK20">
            <v>6720</v>
          </cell>
          <cell r="BL20">
            <v>4320</v>
          </cell>
          <cell r="BM20">
            <v>4.05</v>
          </cell>
          <cell r="BN20">
            <v>0</v>
          </cell>
          <cell r="BO20">
            <v>648</v>
          </cell>
          <cell r="BP20">
            <v>4968</v>
          </cell>
          <cell r="BQ20">
            <v>4.05</v>
          </cell>
          <cell r="BR20">
            <v>1752</v>
          </cell>
          <cell r="BT20">
            <v>2</v>
          </cell>
          <cell r="BU20">
            <v>2</v>
          </cell>
          <cell r="BV20" t="str">
            <v>Y</v>
          </cell>
          <cell r="BW20">
            <v>4579.0272000000014</v>
          </cell>
          <cell r="BX20">
            <v>4579.0272000000014</v>
          </cell>
          <cell r="BY20">
            <v>2026</v>
          </cell>
          <cell r="BZ20" t="str">
            <v>-</v>
          </cell>
          <cell r="CA20" t="str">
            <v>-</v>
          </cell>
        </row>
        <row r="21">
          <cell r="A21" t="str">
            <v>Lucknow</v>
          </cell>
          <cell r="B21" t="str">
            <v>Vantedge</v>
          </cell>
          <cell r="C21" t="str">
            <v>Senior</v>
          </cell>
          <cell r="D21" t="str">
            <v>Mayank Saxena</v>
          </cell>
          <cell r="E21" t="str">
            <v>-</v>
          </cell>
          <cell r="F21" t="str">
            <v>Non-MSP</v>
          </cell>
          <cell r="H21" t="str">
            <v>Umang Srivastava</v>
          </cell>
          <cell r="K21" t="str">
            <v>Anam</v>
          </cell>
          <cell r="L21" t="str">
            <v>New</v>
          </cell>
          <cell r="M21">
            <v>46042</v>
          </cell>
          <cell r="N21">
            <v>160</v>
          </cell>
          <cell r="P21">
            <v>46407</v>
          </cell>
          <cell r="R21" t="str">
            <v>Alex Luetkemeyer</v>
          </cell>
          <cell r="S21" t="str">
            <v>Individual</v>
          </cell>
          <cell r="T21" t="str">
            <v>FTE</v>
          </cell>
          <cell r="U21" t="str">
            <v>Rightpoint</v>
          </cell>
          <cell r="V21">
            <v>0</v>
          </cell>
          <cell r="W21">
            <v>0</v>
          </cell>
          <cell r="X21" t="str">
            <v>USD</v>
          </cell>
          <cell r="Y21">
            <v>24000</v>
          </cell>
          <cell r="Z21">
            <v>0</v>
          </cell>
          <cell r="AA21">
            <v>0</v>
          </cell>
          <cell r="AB21">
            <v>0</v>
          </cell>
          <cell r="AC21">
            <v>46037</v>
          </cell>
          <cell r="AD21">
            <v>1</v>
          </cell>
          <cell r="AE21">
            <v>46387</v>
          </cell>
          <cell r="AF21">
            <v>0</v>
          </cell>
          <cell r="AG21">
            <v>0</v>
          </cell>
          <cell r="AH21">
            <v>0</v>
          </cell>
          <cell r="AI21">
            <v>24000</v>
          </cell>
          <cell r="AJ21">
            <v>0</v>
          </cell>
          <cell r="AK21">
            <v>0</v>
          </cell>
          <cell r="AL21">
            <v>24000</v>
          </cell>
          <cell r="AM21">
            <v>0</v>
          </cell>
          <cell r="AN21">
            <v>24000</v>
          </cell>
          <cell r="AO21">
            <v>0</v>
          </cell>
          <cell r="AP21">
            <v>24000</v>
          </cell>
          <cell r="AQ21" t="str">
            <v>US_26957</v>
          </cell>
          <cell r="AR21">
            <v>0</v>
          </cell>
          <cell r="AS21">
            <v>1</v>
          </cell>
          <cell r="AU21">
            <v>1</v>
          </cell>
          <cell r="AV21">
            <v>0</v>
          </cell>
          <cell r="AW21">
            <v>24000</v>
          </cell>
          <cell r="AX21">
            <v>24000</v>
          </cell>
          <cell r="AY21">
            <v>0</v>
          </cell>
          <cell r="AZ21">
            <v>24000</v>
          </cell>
          <cell r="BA21">
            <v>24000</v>
          </cell>
          <cell r="BB21">
            <v>24000</v>
          </cell>
          <cell r="BC21">
            <v>47.5</v>
          </cell>
          <cell r="BD21">
            <v>26400</v>
          </cell>
          <cell r="BE21">
            <v>26400</v>
          </cell>
          <cell r="BG21">
            <v>24000</v>
          </cell>
          <cell r="BI21">
            <v>24000</v>
          </cell>
          <cell r="BJ21">
            <v>24000</v>
          </cell>
          <cell r="BK21">
            <v>24000</v>
          </cell>
          <cell r="BL21">
            <v>0</v>
          </cell>
          <cell r="BM21">
            <v>0</v>
          </cell>
          <cell r="BN21">
            <v>0</v>
          </cell>
          <cell r="BO21">
            <v>0</v>
          </cell>
          <cell r="BP21">
            <v>0</v>
          </cell>
          <cell r="BQ21">
            <v>0</v>
          </cell>
          <cell r="BR21">
            <v>24000</v>
          </cell>
          <cell r="BT21">
            <v>1</v>
          </cell>
          <cell r="BU21">
            <v>1</v>
          </cell>
          <cell r="BV21" t="str">
            <v>N</v>
          </cell>
          <cell r="BW21">
            <v>52800</v>
          </cell>
          <cell r="BX21">
            <v>52800</v>
          </cell>
          <cell r="BY21">
            <v>2026</v>
          </cell>
          <cell r="BZ21" t="str">
            <v>-</v>
          </cell>
          <cell r="CA21" t="str">
            <v>-</v>
          </cell>
        </row>
        <row r="22">
          <cell r="A22" t="str">
            <v>Lucknow</v>
          </cell>
          <cell r="B22" t="str">
            <v>Mavericks</v>
          </cell>
          <cell r="C22" t="str">
            <v>Mid Level</v>
          </cell>
          <cell r="D22" t="str">
            <v>Kashif Nabi</v>
          </cell>
          <cell r="E22" t="str">
            <v>Mohammad Tariq</v>
          </cell>
          <cell r="F22" t="str">
            <v>Non-MSP</v>
          </cell>
          <cell r="H22" t="str">
            <v>Mohammad Tariq</v>
          </cell>
          <cell r="L22" t="str">
            <v>New</v>
          </cell>
          <cell r="M22">
            <v>46125</v>
          </cell>
          <cell r="N22">
            <v>77</v>
          </cell>
          <cell r="P22">
            <v>46490</v>
          </cell>
          <cell r="R22" t="str">
            <v>Amir Befroui</v>
          </cell>
          <cell r="S22" t="str">
            <v>Individual</v>
          </cell>
          <cell r="T22" t="str">
            <v>FTE</v>
          </cell>
          <cell r="U22" t="str">
            <v>Weaver Law Firm</v>
          </cell>
          <cell r="V22">
            <v>0</v>
          </cell>
          <cell r="W22">
            <v>0</v>
          </cell>
          <cell r="X22" t="str">
            <v>USD</v>
          </cell>
          <cell r="Y22">
            <v>1500</v>
          </cell>
          <cell r="Z22">
            <v>0</v>
          </cell>
          <cell r="AA22">
            <v>0</v>
          </cell>
          <cell r="AB22">
            <v>0</v>
          </cell>
          <cell r="AC22">
            <v>46127</v>
          </cell>
          <cell r="AD22">
            <v>1</v>
          </cell>
          <cell r="AE22">
            <v>46387</v>
          </cell>
          <cell r="AF22">
            <v>0</v>
          </cell>
          <cell r="AG22">
            <v>0</v>
          </cell>
          <cell r="AH22">
            <v>0</v>
          </cell>
          <cell r="AI22">
            <v>1500</v>
          </cell>
          <cell r="AJ22">
            <v>0</v>
          </cell>
          <cell r="AK22">
            <v>0</v>
          </cell>
          <cell r="AL22">
            <v>1500</v>
          </cell>
          <cell r="AM22">
            <v>0</v>
          </cell>
          <cell r="AN22">
            <v>1500</v>
          </cell>
          <cell r="AO22">
            <v>0</v>
          </cell>
          <cell r="AP22">
            <v>1500</v>
          </cell>
          <cell r="AU22">
            <v>1</v>
          </cell>
          <cell r="BB22">
            <v>1500</v>
          </cell>
          <cell r="BC22">
            <v>50</v>
          </cell>
          <cell r="BI22">
            <v>0</v>
          </cell>
          <cell r="BK22">
            <v>1500</v>
          </cell>
          <cell r="BL22">
            <v>0</v>
          </cell>
          <cell r="BM22">
            <v>0</v>
          </cell>
          <cell r="BN22">
            <v>0</v>
          </cell>
          <cell r="BO22">
            <v>0</v>
          </cell>
          <cell r="BP22">
            <v>0</v>
          </cell>
          <cell r="BQ22">
            <v>0</v>
          </cell>
          <cell r="BR22">
            <v>1500</v>
          </cell>
          <cell r="BT22">
            <v>2</v>
          </cell>
          <cell r="BU22">
            <v>2</v>
          </cell>
          <cell r="BV22" t="str">
            <v>Y</v>
          </cell>
          <cell r="BY22">
            <v>2026</v>
          </cell>
          <cell r="BZ22" t="str">
            <v>-</v>
          </cell>
          <cell r="CA22" t="str">
            <v>-</v>
          </cell>
        </row>
        <row r="23">
          <cell r="A23" t="str">
            <v>Lucknow</v>
          </cell>
          <cell r="B23" t="str">
            <v>Trust</v>
          </cell>
          <cell r="C23" t="str">
            <v>Mid Level</v>
          </cell>
          <cell r="D23" t="str">
            <v>Harsh Agarwal</v>
          </cell>
          <cell r="F23" t="str">
            <v>Non-MSP</v>
          </cell>
          <cell r="H23" t="str">
            <v>Utkarsh Misra</v>
          </cell>
          <cell r="J23" t="str">
            <v>ACH</v>
          </cell>
          <cell r="L23" t="str">
            <v>New</v>
          </cell>
          <cell r="M23">
            <v>46168</v>
          </cell>
          <cell r="N23">
            <v>34</v>
          </cell>
          <cell r="P23">
            <v>46533</v>
          </cell>
          <cell r="Q23" t="str">
            <v>PLC-4860</v>
          </cell>
          <cell r="R23" t="str">
            <v>Amirhosein Heidarali</v>
          </cell>
          <cell r="S23" t="str">
            <v>Individual</v>
          </cell>
          <cell r="T23" t="str">
            <v>C2C</v>
          </cell>
          <cell r="U23" t="str">
            <v>Birlasoft</v>
          </cell>
          <cell r="V23">
            <v>55</v>
          </cell>
          <cell r="W23">
            <v>0</v>
          </cell>
          <cell r="X23" t="str">
            <v>USD</v>
          </cell>
          <cell r="Y23">
            <v>66</v>
          </cell>
          <cell r="Z23">
            <v>0</v>
          </cell>
          <cell r="AA23">
            <v>0</v>
          </cell>
          <cell r="AB23">
            <v>0</v>
          </cell>
          <cell r="AC23">
            <v>46157</v>
          </cell>
          <cell r="AD23">
            <v>4</v>
          </cell>
          <cell r="AE23">
            <v>46387</v>
          </cell>
          <cell r="AF23">
            <v>55</v>
          </cell>
          <cell r="AG23">
            <v>0</v>
          </cell>
          <cell r="AH23">
            <v>55</v>
          </cell>
          <cell r="AI23">
            <v>66</v>
          </cell>
          <cell r="AJ23">
            <v>0</v>
          </cell>
          <cell r="AK23">
            <v>0</v>
          </cell>
          <cell r="AL23">
            <v>11</v>
          </cell>
          <cell r="AM23">
            <v>0</v>
          </cell>
          <cell r="AN23">
            <v>11</v>
          </cell>
          <cell r="AO23">
            <v>0</v>
          </cell>
          <cell r="AP23">
            <v>11</v>
          </cell>
          <cell r="AQ23" t="str">
            <v>US_27975</v>
          </cell>
          <cell r="AR23">
            <v>0</v>
          </cell>
          <cell r="AS23">
            <v>32</v>
          </cell>
          <cell r="AU23">
            <v>32</v>
          </cell>
          <cell r="AV23">
            <v>0</v>
          </cell>
          <cell r="AW23">
            <v>352</v>
          </cell>
          <cell r="AX23">
            <v>348.48</v>
          </cell>
          <cell r="AY23">
            <v>0</v>
          </cell>
          <cell r="AZ23">
            <v>352</v>
          </cell>
          <cell r="BA23">
            <v>348.48</v>
          </cell>
          <cell r="BB23">
            <v>352</v>
          </cell>
          <cell r="BC23">
            <v>0</v>
          </cell>
          <cell r="BD23">
            <v>0</v>
          </cell>
          <cell r="BE23">
            <v>0</v>
          </cell>
          <cell r="BF23">
            <v>39</v>
          </cell>
          <cell r="BG23">
            <v>348.48</v>
          </cell>
          <cell r="BH23">
            <v>191.66400000000002</v>
          </cell>
          <cell r="BI23">
            <v>0</v>
          </cell>
          <cell r="BJ23">
            <v>2112</v>
          </cell>
          <cell r="BK23">
            <v>2112</v>
          </cell>
          <cell r="BL23">
            <v>1760</v>
          </cell>
          <cell r="BM23">
            <v>0</v>
          </cell>
          <cell r="BN23">
            <v>0</v>
          </cell>
          <cell r="BO23">
            <v>0</v>
          </cell>
          <cell r="BP23">
            <v>1760</v>
          </cell>
          <cell r="BQ23">
            <v>0</v>
          </cell>
          <cell r="BR23">
            <v>352</v>
          </cell>
          <cell r="BT23">
            <v>2</v>
          </cell>
          <cell r="BU23">
            <v>2</v>
          </cell>
          <cell r="BV23" t="str">
            <v>N</v>
          </cell>
          <cell r="BW23">
            <v>0</v>
          </cell>
          <cell r="BX23">
            <v>0</v>
          </cell>
          <cell r="BY23">
            <v>2026</v>
          </cell>
          <cell r="BZ23" t="str">
            <v>-</v>
          </cell>
          <cell r="CA23" t="str">
            <v>-</v>
          </cell>
        </row>
        <row r="24">
          <cell r="A24" t="str">
            <v>Lucknow</v>
          </cell>
          <cell r="B24" t="str">
            <v>Vantedge</v>
          </cell>
          <cell r="C24" t="str">
            <v>Senior</v>
          </cell>
          <cell r="D24" t="str">
            <v>Anshul Kumar</v>
          </cell>
          <cell r="F24" t="str">
            <v>Non-MSP</v>
          </cell>
          <cell r="H24" t="str">
            <v>Priyansh Khare</v>
          </cell>
          <cell r="L24" t="str">
            <v>New</v>
          </cell>
          <cell r="M24">
            <v>46153</v>
          </cell>
          <cell r="N24">
            <v>49</v>
          </cell>
          <cell r="P24">
            <v>46518</v>
          </cell>
          <cell r="Q24" t="str">
            <v>PLC-4880</v>
          </cell>
          <cell r="R24" t="str">
            <v>Amit Joshi</v>
          </cell>
          <cell r="S24" t="str">
            <v>Individual</v>
          </cell>
          <cell r="T24" t="str">
            <v>FTE</v>
          </cell>
          <cell r="U24" t="str">
            <v>Wipro</v>
          </cell>
          <cell r="V24">
            <v>0</v>
          </cell>
          <cell r="W24">
            <v>0</v>
          </cell>
          <cell r="X24" t="str">
            <v>USD</v>
          </cell>
          <cell r="Y24">
            <v>33600</v>
          </cell>
          <cell r="Z24">
            <v>0</v>
          </cell>
          <cell r="AA24">
            <v>0</v>
          </cell>
          <cell r="AB24">
            <v>0</v>
          </cell>
          <cell r="AC24">
            <v>46157</v>
          </cell>
          <cell r="AD24">
            <v>1</v>
          </cell>
          <cell r="AE24">
            <v>46387</v>
          </cell>
          <cell r="AF24">
            <v>0</v>
          </cell>
          <cell r="AG24">
            <v>0</v>
          </cell>
          <cell r="AH24">
            <v>0</v>
          </cell>
          <cell r="AI24">
            <v>33600</v>
          </cell>
          <cell r="AJ24">
            <v>0</v>
          </cell>
          <cell r="AK24">
            <v>0</v>
          </cell>
          <cell r="AL24">
            <v>33600</v>
          </cell>
          <cell r="AM24">
            <v>0</v>
          </cell>
          <cell r="AN24">
            <v>33600</v>
          </cell>
          <cell r="AO24">
            <v>0</v>
          </cell>
          <cell r="AP24">
            <v>33600</v>
          </cell>
          <cell r="AQ24" t="str">
            <v>US_27680</v>
          </cell>
          <cell r="AR24">
            <v>0</v>
          </cell>
          <cell r="AS24">
            <v>1</v>
          </cell>
          <cell r="AU24">
            <v>1</v>
          </cell>
          <cell r="AV24">
            <v>0</v>
          </cell>
          <cell r="AW24">
            <v>33600</v>
          </cell>
          <cell r="AX24">
            <v>33600</v>
          </cell>
          <cell r="AY24">
            <v>0</v>
          </cell>
          <cell r="AZ24">
            <v>33600</v>
          </cell>
          <cell r="BA24">
            <v>33600</v>
          </cell>
          <cell r="BB24">
            <v>33600</v>
          </cell>
          <cell r="BC24">
            <v>87.1</v>
          </cell>
          <cell r="BD24">
            <v>55440</v>
          </cell>
          <cell r="BE24">
            <v>55440</v>
          </cell>
          <cell r="BG24">
            <v>33600</v>
          </cell>
          <cell r="BI24">
            <v>0</v>
          </cell>
          <cell r="BJ24">
            <v>33600</v>
          </cell>
          <cell r="BK24">
            <v>33600</v>
          </cell>
          <cell r="BL24">
            <v>0</v>
          </cell>
          <cell r="BM24">
            <v>0</v>
          </cell>
          <cell r="BN24">
            <v>0</v>
          </cell>
          <cell r="BO24">
            <v>0</v>
          </cell>
          <cell r="BP24">
            <v>0</v>
          </cell>
          <cell r="BQ24">
            <v>0</v>
          </cell>
          <cell r="BR24">
            <v>33600</v>
          </cell>
          <cell r="BT24">
            <v>2</v>
          </cell>
          <cell r="BU24">
            <v>2</v>
          </cell>
          <cell r="BV24" t="str">
            <v>Y</v>
          </cell>
          <cell r="BW24">
            <v>110880</v>
          </cell>
          <cell r="BX24">
            <v>110880</v>
          </cell>
          <cell r="BY24">
            <v>2026</v>
          </cell>
          <cell r="BZ24" t="str">
            <v>-</v>
          </cell>
          <cell r="CA24" t="str">
            <v>-</v>
          </cell>
        </row>
        <row r="25">
          <cell r="A25" t="str">
            <v>Lucknow</v>
          </cell>
          <cell r="B25" t="str">
            <v>Titans</v>
          </cell>
          <cell r="C25" t="str">
            <v>Mid Level</v>
          </cell>
          <cell r="D25" t="str">
            <v>Nitin Saxena</v>
          </cell>
          <cell r="E25" t="str">
            <v>-</v>
          </cell>
          <cell r="F25" t="str">
            <v>Non-MSP</v>
          </cell>
          <cell r="H25" t="str">
            <v>Hamza Ali</v>
          </cell>
          <cell r="J25" t="str">
            <v>ACH</v>
          </cell>
          <cell r="L25" t="str">
            <v>New</v>
          </cell>
          <cell r="M25">
            <v>46044</v>
          </cell>
          <cell r="N25">
            <v>158</v>
          </cell>
          <cell r="P25">
            <v>46409</v>
          </cell>
          <cell r="Q25" t="str">
            <v>PLC-4692</v>
          </cell>
          <cell r="R25" t="str">
            <v>Andrew B Gower</v>
          </cell>
          <cell r="S25" t="str">
            <v>Individual</v>
          </cell>
          <cell r="T25">
            <v>1099</v>
          </cell>
          <cell r="U25" t="str">
            <v>Genpact</v>
          </cell>
          <cell r="V25">
            <v>21</v>
          </cell>
          <cell r="W25">
            <v>31.5</v>
          </cell>
          <cell r="X25" t="str">
            <v>USD</v>
          </cell>
          <cell r="Y25">
            <v>28</v>
          </cell>
          <cell r="Z25">
            <v>42</v>
          </cell>
          <cell r="AA25">
            <v>0</v>
          </cell>
          <cell r="AB25">
            <v>0</v>
          </cell>
          <cell r="AC25">
            <v>46037</v>
          </cell>
          <cell r="AD25">
            <v>7</v>
          </cell>
          <cell r="AE25">
            <v>46387</v>
          </cell>
          <cell r="AF25">
            <v>22.470000000000002</v>
          </cell>
          <cell r="AG25">
            <v>33.705000000000005</v>
          </cell>
          <cell r="AH25">
            <v>22.470000000000002</v>
          </cell>
          <cell r="AI25">
            <v>28</v>
          </cell>
          <cell r="AJ25">
            <v>42</v>
          </cell>
          <cell r="AK25">
            <v>8.2949999999999946</v>
          </cell>
          <cell r="AL25">
            <v>5.5299999999999976</v>
          </cell>
          <cell r="AM25">
            <v>8.2949999999999946</v>
          </cell>
          <cell r="AN25">
            <v>5.5299999999999976</v>
          </cell>
          <cell r="AO25">
            <v>8.2949999999999946</v>
          </cell>
          <cell r="AP25">
            <v>5.5299999999999976</v>
          </cell>
          <cell r="AQ25" t="str">
            <v>US_26967</v>
          </cell>
          <cell r="AR25">
            <v>0</v>
          </cell>
          <cell r="AS25">
            <v>44.25</v>
          </cell>
          <cell r="AU25">
            <v>44.25</v>
          </cell>
          <cell r="AV25">
            <v>0</v>
          </cell>
          <cell r="AW25">
            <v>244.7024999999999</v>
          </cell>
          <cell r="AX25">
            <v>242.2554749999999</v>
          </cell>
          <cell r="AY25">
            <v>0</v>
          </cell>
          <cell r="AZ25">
            <v>244.7024999999999</v>
          </cell>
          <cell r="BA25">
            <v>242.2554749999999</v>
          </cell>
          <cell r="BB25">
            <v>244.7024999999999</v>
          </cell>
          <cell r="BC25">
            <v>50</v>
          </cell>
          <cell r="BD25">
            <v>319.77722699999987</v>
          </cell>
          <cell r="BE25">
            <v>319.77722699999987</v>
          </cell>
          <cell r="BG25">
            <v>242.2554749999999</v>
          </cell>
          <cell r="BI25">
            <v>242.2554749999999</v>
          </cell>
          <cell r="BJ25">
            <v>1239</v>
          </cell>
          <cell r="BK25">
            <v>1239</v>
          </cell>
          <cell r="BL25">
            <v>929.25</v>
          </cell>
          <cell r="BM25">
            <v>1.4700000000000002</v>
          </cell>
          <cell r="BN25">
            <v>0</v>
          </cell>
          <cell r="BO25">
            <v>65.047500000000014</v>
          </cell>
          <cell r="BP25">
            <v>994.29750000000001</v>
          </cell>
          <cell r="BQ25">
            <v>1.4700000000000002</v>
          </cell>
          <cell r="BR25">
            <v>244.70249999999999</v>
          </cell>
          <cell r="BS25" t="str">
            <v>Y</v>
          </cell>
          <cell r="BT25">
            <v>1</v>
          </cell>
          <cell r="BU25">
            <v>1</v>
          </cell>
          <cell r="BV25" t="str">
            <v>Y</v>
          </cell>
          <cell r="BW25">
            <v>639.55445399999974</v>
          </cell>
          <cell r="BX25">
            <v>639.55445399999974</v>
          </cell>
          <cell r="BY25">
            <v>2026</v>
          </cell>
          <cell r="BZ25" t="str">
            <v>-</v>
          </cell>
          <cell r="CA25" t="str">
            <v>-</v>
          </cell>
        </row>
        <row r="26">
          <cell r="A26" t="str">
            <v>Lucknow</v>
          </cell>
          <cell r="B26" t="str">
            <v>Titans</v>
          </cell>
          <cell r="C26" t="str">
            <v>Mid Level</v>
          </cell>
          <cell r="D26" t="str">
            <v>Nitin Saxena</v>
          </cell>
          <cell r="E26" t="str">
            <v>-</v>
          </cell>
          <cell r="F26" t="str">
            <v>Non-MSP</v>
          </cell>
          <cell r="H26" t="str">
            <v>Hamza Ali</v>
          </cell>
          <cell r="J26" t="str">
            <v>ACH</v>
          </cell>
          <cell r="L26" t="str">
            <v>New</v>
          </cell>
          <cell r="M26">
            <v>46044</v>
          </cell>
          <cell r="N26">
            <v>158</v>
          </cell>
          <cell r="P26">
            <v>46409</v>
          </cell>
          <cell r="Q26" t="str">
            <v>PLC-4692</v>
          </cell>
          <cell r="R26" t="str">
            <v>Andrew B Gower</v>
          </cell>
          <cell r="S26" t="str">
            <v>Individual</v>
          </cell>
          <cell r="T26">
            <v>1099</v>
          </cell>
          <cell r="U26" t="str">
            <v>Genpact</v>
          </cell>
          <cell r="V26">
            <v>21</v>
          </cell>
          <cell r="W26">
            <v>31.5</v>
          </cell>
          <cell r="X26" t="str">
            <v>USD</v>
          </cell>
          <cell r="Y26">
            <v>28</v>
          </cell>
          <cell r="Z26">
            <v>42</v>
          </cell>
          <cell r="AA26">
            <v>0</v>
          </cell>
          <cell r="AB26">
            <v>0</v>
          </cell>
          <cell r="AC26">
            <v>46068</v>
          </cell>
          <cell r="AD26">
            <v>20</v>
          </cell>
          <cell r="AE26">
            <v>46387</v>
          </cell>
          <cell r="AF26">
            <v>22.470000000000002</v>
          </cell>
          <cell r="AG26">
            <v>33.705000000000005</v>
          </cell>
          <cell r="AH26">
            <v>22.470000000000002</v>
          </cell>
          <cell r="AI26">
            <v>28</v>
          </cell>
          <cell r="AJ26">
            <v>42</v>
          </cell>
          <cell r="AK26">
            <v>8.2949999999999946</v>
          </cell>
          <cell r="AL26">
            <v>5.5299999999999976</v>
          </cell>
          <cell r="AM26">
            <v>8.2949999999999946</v>
          </cell>
          <cell r="AN26">
            <v>5.5299999999999976</v>
          </cell>
          <cell r="AO26">
            <v>8.2949999999999946</v>
          </cell>
          <cell r="AP26">
            <v>5.5299999999999976</v>
          </cell>
          <cell r="AQ26" t="str">
            <v>US_27161</v>
          </cell>
          <cell r="AR26">
            <v>0</v>
          </cell>
          <cell r="AS26">
            <v>160</v>
          </cell>
          <cell r="AU26">
            <v>160</v>
          </cell>
          <cell r="AV26">
            <v>0</v>
          </cell>
          <cell r="AW26">
            <v>884.79999999999961</v>
          </cell>
          <cell r="AX26">
            <v>875.95199999999966</v>
          </cell>
          <cell r="AY26">
            <v>0</v>
          </cell>
          <cell r="AZ26">
            <v>884.79999999999961</v>
          </cell>
          <cell r="BA26">
            <v>875.95199999999966</v>
          </cell>
          <cell r="BB26">
            <v>884.79999999999961</v>
          </cell>
          <cell r="BC26">
            <v>50</v>
          </cell>
          <cell r="BD26">
            <v>1156.2566399999996</v>
          </cell>
          <cell r="BE26">
            <v>1156.2566399999996</v>
          </cell>
          <cell r="BG26">
            <v>875.95199999999966</v>
          </cell>
          <cell r="BI26">
            <v>875.95199999999966</v>
          </cell>
          <cell r="BJ26">
            <v>4480</v>
          </cell>
          <cell r="BK26">
            <v>4480</v>
          </cell>
          <cell r="BL26">
            <v>3360</v>
          </cell>
          <cell r="BM26">
            <v>1.4700000000000002</v>
          </cell>
          <cell r="BN26">
            <v>0</v>
          </cell>
          <cell r="BO26">
            <v>235.20000000000005</v>
          </cell>
          <cell r="BP26">
            <v>3595.2</v>
          </cell>
          <cell r="BQ26">
            <v>1.4700000000000002</v>
          </cell>
          <cell r="BR26">
            <v>884.8</v>
          </cell>
          <cell r="BS26" t="str">
            <v>Y</v>
          </cell>
          <cell r="BT26">
            <v>1</v>
          </cell>
          <cell r="BU26">
            <v>1</v>
          </cell>
          <cell r="BV26" t="str">
            <v>Y</v>
          </cell>
          <cell r="BW26">
            <v>2312.5132799999992</v>
          </cell>
          <cell r="BX26">
            <v>2312.5132799999992</v>
          </cell>
          <cell r="BY26">
            <v>2026</v>
          </cell>
          <cell r="BZ26" t="str">
            <v>-</v>
          </cell>
          <cell r="CA26" t="str">
            <v>-</v>
          </cell>
        </row>
        <row r="27">
          <cell r="A27" t="str">
            <v>Lucknow</v>
          </cell>
          <cell r="B27" t="str">
            <v>Titans</v>
          </cell>
          <cell r="C27" t="str">
            <v>Mid Level</v>
          </cell>
          <cell r="D27" t="str">
            <v>Nitin Saxena</v>
          </cell>
          <cell r="E27" t="str">
            <v>-</v>
          </cell>
          <cell r="F27" t="str">
            <v>Non-MSP</v>
          </cell>
          <cell r="H27" t="str">
            <v>Hamza Ali</v>
          </cell>
          <cell r="J27" t="str">
            <v>ACH</v>
          </cell>
          <cell r="L27" t="str">
            <v>New</v>
          </cell>
          <cell r="M27">
            <v>46044</v>
          </cell>
          <cell r="N27">
            <v>158</v>
          </cell>
          <cell r="P27">
            <v>46409</v>
          </cell>
          <cell r="Q27" t="str">
            <v>PLC-4692</v>
          </cell>
          <cell r="R27" t="str">
            <v>Andrew B Gower</v>
          </cell>
          <cell r="S27" t="str">
            <v>Individual</v>
          </cell>
          <cell r="T27">
            <v>1099</v>
          </cell>
          <cell r="U27" t="str">
            <v>Genpact</v>
          </cell>
          <cell r="V27">
            <v>21</v>
          </cell>
          <cell r="W27">
            <v>31.5</v>
          </cell>
          <cell r="X27" t="str">
            <v>USD</v>
          </cell>
          <cell r="Y27">
            <v>28</v>
          </cell>
          <cell r="Z27">
            <v>42</v>
          </cell>
          <cell r="AA27">
            <v>0</v>
          </cell>
          <cell r="AB27">
            <v>0</v>
          </cell>
          <cell r="AC27">
            <v>46096</v>
          </cell>
          <cell r="AD27">
            <v>22</v>
          </cell>
          <cell r="AE27">
            <v>46387</v>
          </cell>
          <cell r="AF27">
            <v>22.470000000000002</v>
          </cell>
          <cell r="AG27">
            <v>33.705000000000005</v>
          </cell>
          <cell r="AH27">
            <v>22.470000000000002</v>
          </cell>
          <cell r="AI27">
            <v>28</v>
          </cell>
          <cell r="AJ27">
            <v>42</v>
          </cell>
          <cell r="AK27">
            <v>8.2949999999999946</v>
          </cell>
          <cell r="AL27">
            <v>5.5299999999999976</v>
          </cell>
          <cell r="AM27">
            <v>8.2949999999999946</v>
          </cell>
          <cell r="AN27">
            <v>5.5299999999999976</v>
          </cell>
          <cell r="AO27">
            <v>8.2949999999999946</v>
          </cell>
          <cell r="AP27">
            <v>5.5299999999999976</v>
          </cell>
          <cell r="AQ27" t="str">
            <v>US_27376</v>
          </cell>
          <cell r="AR27">
            <v>0</v>
          </cell>
          <cell r="AS27">
            <v>176</v>
          </cell>
          <cell r="AU27">
            <v>176</v>
          </cell>
          <cell r="AV27">
            <v>0</v>
          </cell>
          <cell r="AW27">
            <v>973.27999999999952</v>
          </cell>
          <cell r="AX27">
            <v>963.54719999999952</v>
          </cell>
          <cell r="AY27">
            <v>0</v>
          </cell>
          <cell r="AZ27">
            <v>973.27999999999952</v>
          </cell>
          <cell r="BA27">
            <v>963.54719999999952</v>
          </cell>
          <cell r="BB27">
            <v>973.27999999999952</v>
          </cell>
          <cell r="BC27">
            <v>50</v>
          </cell>
          <cell r="BD27">
            <v>1271.8823039999995</v>
          </cell>
          <cell r="BE27">
            <v>1271.8823039999995</v>
          </cell>
          <cell r="BG27">
            <v>963.54719999999952</v>
          </cell>
          <cell r="BI27">
            <v>963.54719999999952</v>
          </cell>
          <cell r="BJ27">
            <v>4928</v>
          </cell>
          <cell r="BK27">
            <v>4928</v>
          </cell>
          <cell r="BL27">
            <v>3696</v>
          </cell>
          <cell r="BM27">
            <v>1.4700000000000002</v>
          </cell>
          <cell r="BN27">
            <v>0</v>
          </cell>
          <cell r="BO27">
            <v>258.72000000000003</v>
          </cell>
          <cell r="BP27">
            <v>3954.7200000000003</v>
          </cell>
          <cell r="BQ27">
            <v>1.4700000000000002</v>
          </cell>
          <cell r="BR27">
            <v>973.28</v>
          </cell>
          <cell r="BS27" t="str">
            <v>Y</v>
          </cell>
          <cell r="BT27">
            <v>1</v>
          </cell>
          <cell r="BU27">
            <v>1</v>
          </cell>
          <cell r="BV27" t="str">
            <v>Y</v>
          </cell>
          <cell r="BW27">
            <v>2543.764607999999</v>
          </cell>
          <cell r="BX27">
            <v>2543.764607999999</v>
          </cell>
          <cell r="BY27">
            <v>2026</v>
          </cell>
          <cell r="BZ27" t="str">
            <v>-</v>
          </cell>
          <cell r="CA27" t="str">
            <v>-</v>
          </cell>
        </row>
        <row r="28">
          <cell r="A28" t="str">
            <v>Lucknow</v>
          </cell>
          <cell r="B28" t="str">
            <v>Titans</v>
          </cell>
          <cell r="C28" t="str">
            <v>Mid Level</v>
          </cell>
          <cell r="D28" t="str">
            <v>Nitin Saxena</v>
          </cell>
          <cell r="E28" t="str">
            <v>-</v>
          </cell>
          <cell r="F28" t="str">
            <v>Non-MSP</v>
          </cell>
          <cell r="H28" t="str">
            <v>Hamza Ali</v>
          </cell>
          <cell r="J28" t="str">
            <v>ACH</v>
          </cell>
          <cell r="L28" t="str">
            <v>New</v>
          </cell>
          <cell r="M28">
            <v>46044</v>
          </cell>
          <cell r="N28">
            <v>158</v>
          </cell>
          <cell r="P28">
            <v>46409</v>
          </cell>
          <cell r="Q28" t="str">
            <v>PLC-4692</v>
          </cell>
          <cell r="R28" t="str">
            <v>Andrew B Gower</v>
          </cell>
          <cell r="S28" t="str">
            <v>Individual</v>
          </cell>
          <cell r="T28">
            <v>1099</v>
          </cell>
          <cell r="U28" t="str">
            <v>Genpact</v>
          </cell>
          <cell r="V28">
            <v>21</v>
          </cell>
          <cell r="W28">
            <v>31.5</v>
          </cell>
          <cell r="X28" t="str">
            <v>USD</v>
          </cell>
          <cell r="Y28">
            <v>28</v>
          </cell>
          <cell r="Z28">
            <v>42</v>
          </cell>
          <cell r="AA28">
            <v>0</v>
          </cell>
          <cell r="AB28">
            <v>0</v>
          </cell>
          <cell r="AC28">
            <v>46127</v>
          </cell>
          <cell r="AD28">
            <v>22</v>
          </cell>
          <cell r="AE28">
            <v>46387</v>
          </cell>
          <cell r="AF28">
            <v>22.470000000000002</v>
          </cell>
          <cell r="AG28">
            <v>33.705000000000005</v>
          </cell>
          <cell r="AH28">
            <v>22.470000000000002</v>
          </cell>
          <cell r="AI28">
            <v>28</v>
          </cell>
          <cell r="AJ28">
            <v>42</v>
          </cell>
          <cell r="AK28">
            <v>8.2949999999999946</v>
          </cell>
          <cell r="AL28">
            <v>5.5299999999999976</v>
          </cell>
          <cell r="AM28">
            <v>8.2949999999999946</v>
          </cell>
          <cell r="AN28">
            <v>5.5299999999999976</v>
          </cell>
          <cell r="AO28">
            <v>8.2949999999999946</v>
          </cell>
          <cell r="AP28">
            <v>5.5299999999999976</v>
          </cell>
          <cell r="AQ28" t="str">
            <v>US_27613</v>
          </cell>
          <cell r="AR28">
            <v>0</v>
          </cell>
          <cell r="AS28">
            <v>176</v>
          </cell>
          <cell r="AU28">
            <v>176</v>
          </cell>
          <cell r="AV28">
            <v>0</v>
          </cell>
          <cell r="AW28">
            <v>973.27999999999952</v>
          </cell>
          <cell r="AX28">
            <v>963.54719999999952</v>
          </cell>
          <cell r="AY28">
            <v>0</v>
          </cell>
          <cell r="AZ28">
            <v>973.27999999999952</v>
          </cell>
          <cell r="BA28">
            <v>963.54719999999952</v>
          </cell>
          <cell r="BB28">
            <v>973.27999999999952</v>
          </cell>
          <cell r="BC28">
            <v>50</v>
          </cell>
          <cell r="BD28">
            <v>1271.8823039999995</v>
          </cell>
          <cell r="BE28">
            <v>1271.8823039999995</v>
          </cell>
          <cell r="BG28">
            <v>963.54719999999952</v>
          </cell>
          <cell r="BI28">
            <v>963.54719999999952</v>
          </cell>
          <cell r="BJ28">
            <v>4928</v>
          </cell>
          <cell r="BK28">
            <v>4928</v>
          </cell>
          <cell r="BL28">
            <v>3696</v>
          </cell>
          <cell r="BM28">
            <v>1.4700000000000002</v>
          </cell>
          <cell r="BN28">
            <v>0</v>
          </cell>
          <cell r="BO28">
            <v>258.72000000000003</v>
          </cell>
          <cell r="BP28">
            <v>3954.7200000000003</v>
          </cell>
          <cell r="BQ28">
            <v>1.4700000000000002</v>
          </cell>
          <cell r="BR28">
            <v>973.28</v>
          </cell>
          <cell r="BT28">
            <v>2</v>
          </cell>
          <cell r="BU28">
            <v>1</v>
          </cell>
          <cell r="BV28" t="str">
            <v>Y</v>
          </cell>
          <cell r="BW28">
            <v>2543.764607999999</v>
          </cell>
          <cell r="BX28">
            <v>2543.764607999999</v>
          </cell>
          <cell r="BY28">
            <v>2026</v>
          </cell>
          <cell r="BZ28" t="str">
            <v>-</v>
          </cell>
          <cell r="CA28" t="str">
            <v>-</v>
          </cell>
        </row>
        <row r="29">
          <cell r="A29" t="str">
            <v>Lucknow</v>
          </cell>
          <cell r="B29" t="str">
            <v>Titans</v>
          </cell>
          <cell r="C29" t="str">
            <v>Mid Level</v>
          </cell>
          <cell r="D29" t="str">
            <v>Nitin Saxena</v>
          </cell>
          <cell r="E29" t="str">
            <v>-</v>
          </cell>
          <cell r="F29" t="str">
            <v>Non-MSP</v>
          </cell>
          <cell r="H29" t="str">
            <v>Hamza Ali</v>
          </cell>
          <cell r="J29" t="str">
            <v>ACH</v>
          </cell>
          <cell r="L29" t="str">
            <v>New</v>
          </cell>
          <cell r="M29">
            <v>46044</v>
          </cell>
          <cell r="N29">
            <v>158</v>
          </cell>
          <cell r="P29">
            <v>46409</v>
          </cell>
          <cell r="Q29" t="str">
            <v>PLC-4692</v>
          </cell>
          <cell r="R29" t="str">
            <v>Andrew B Gower</v>
          </cell>
          <cell r="S29" t="str">
            <v>Individual</v>
          </cell>
          <cell r="T29">
            <v>1099</v>
          </cell>
          <cell r="U29" t="str">
            <v>Genpact</v>
          </cell>
          <cell r="V29">
            <v>21</v>
          </cell>
          <cell r="W29">
            <v>31.5</v>
          </cell>
          <cell r="X29" t="str">
            <v>USD</v>
          </cell>
          <cell r="Y29">
            <v>28</v>
          </cell>
          <cell r="Z29">
            <v>42</v>
          </cell>
          <cell r="AA29">
            <v>0</v>
          </cell>
          <cell r="AB29">
            <v>0</v>
          </cell>
          <cell r="AC29">
            <v>46157</v>
          </cell>
          <cell r="AD29">
            <v>22</v>
          </cell>
          <cell r="AE29">
            <v>46387</v>
          </cell>
          <cell r="AF29">
            <v>22.470000000000002</v>
          </cell>
          <cell r="AG29">
            <v>33.705000000000005</v>
          </cell>
          <cell r="AH29">
            <v>22.470000000000002</v>
          </cell>
          <cell r="AI29">
            <v>28</v>
          </cell>
          <cell r="AJ29">
            <v>42</v>
          </cell>
          <cell r="AK29">
            <v>8.2949999999999946</v>
          </cell>
          <cell r="AL29">
            <v>5.5299999999999976</v>
          </cell>
          <cell r="AM29">
            <v>8.2949999999999946</v>
          </cell>
          <cell r="AN29">
            <v>5.5299999999999976</v>
          </cell>
          <cell r="AO29">
            <v>8.2949999999999946</v>
          </cell>
          <cell r="AP29">
            <v>5.5299999999999976</v>
          </cell>
          <cell r="AQ29" t="str">
            <v>US_27905</v>
          </cell>
          <cell r="AR29">
            <v>8</v>
          </cell>
          <cell r="AS29">
            <v>160</v>
          </cell>
          <cell r="AU29">
            <v>160</v>
          </cell>
          <cell r="AV29">
            <v>66.359999999999957</v>
          </cell>
          <cell r="AW29">
            <v>884.79999999999961</v>
          </cell>
          <cell r="AX29">
            <v>941.64839999999958</v>
          </cell>
          <cell r="AY29">
            <v>66.359999999999957</v>
          </cell>
          <cell r="AZ29">
            <v>884.79999999999961</v>
          </cell>
          <cell r="BA29">
            <v>941.64839999999958</v>
          </cell>
          <cell r="BB29">
            <v>884.79999999999961</v>
          </cell>
          <cell r="BC29">
            <v>50</v>
          </cell>
          <cell r="BD29">
            <v>1242.9758879999995</v>
          </cell>
          <cell r="BE29">
            <v>1242.9758879999995</v>
          </cell>
          <cell r="BG29">
            <v>941.64839999999958</v>
          </cell>
          <cell r="BI29">
            <v>941.64839999999958</v>
          </cell>
          <cell r="BJ29">
            <v>4480</v>
          </cell>
          <cell r="BK29">
            <v>4480</v>
          </cell>
          <cell r="BL29">
            <v>3360</v>
          </cell>
          <cell r="BM29">
            <v>1.4700000000000002</v>
          </cell>
          <cell r="BN29">
            <v>0</v>
          </cell>
          <cell r="BO29">
            <v>235.20000000000005</v>
          </cell>
          <cell r="BP29">
            <v>3595.2</v>
          </cell>
          <cell r="BQ29">
            <v>1.4700000000000002</v>
          </cell>
          <cell r="BR29">
            <v>884.8</v>
          </cell>
          <cell r="BT29">
            <v>2</v>
          </cell>
          <cell r="BU29">
            <v>1</v>
          </cell>
          <cell r="BV29" t="str">
            <v>Y</v>
          </cell>
          <cell r="BW29">
            <v>2485.951775999999</v>
          </cell>
          <cell r="BX29">
            <v>2485.951775999999</v>
          </cell>
          <cell r="BY29">
            <v>2026</v>
          </cell>
          <cell r="BZ29" t="str">
            <v>-</v>
          </cell>
          <cell r="CA29" t="str">
            <v>-</v>
          </cell>
        </row>
        <row r="30">
          <cell r="A30" t="str">
            <v>Lucknow</v>
          </cell>
          <cell r="B30" t="str">
            <v>Mavericks</v>
          </cell>
          <cell r="C30" t="str">
            <v>Mid Level</v>
          </cell>
          <cell r="D30" t="str">
            <v>Mohammad Fakhrul</v>
          </cell>
          <cell r="E30" t="str">
            <v>-</v>
          </cell>
          <cell r="F30" t="str">
            <v>MSP</v>
          </cell>
          <cell r="H30" t="str">
            <v>Pass Through/MSP</v>
          </cell>
          <cell r="L30" t="str">
            <v>New</v>
          </cell>
          <cell r="M30">
            <v>46090</v>
          </cell>
          <cell r="N30">
            <v>112</v>
          </cell>
          <cell r="P30">
            <v>46455</v>
          </cell>
          <cell r="Q30" t="str">
            <v>PLC-Passthrough</v>
          </cell>
          <cell r="R30" t="str">
            <v>Andriy Bortnik</v>
          </cell>
          <cell r="S30" t="str">
            <v>Individual</v>
          </cell>
          <cell r="T30" t="str">
            <v>C2C Canada</v>
          </cell>
          <cell r="U30" t="str">
            <v>CoForge</v>
          </cell>
          <cell r="V30">
            <v>146</v>
          </cell>
          <cell r="W30">
            <v>0</v>
          </cell>
          <cell r="X30" t="str">
            <v>CAD</v>
          </cell>
          <cell r="Y30">
            <v>150</v>
          </cell>
          <cell r="Z30">
            <v>0</v>
          </cell>
          <cell r="AA30">
            <v>0</v>
          </cell>
          <cell r="AB30">
            <v>0</v>
          </cell>
          <cell r="AC30">
            <v>46096</v>
          </cell>
          <cell r="AD30">
            <v>17</v>
          </cell>
          <cell r="AE30">
            <v>46387</v>
          </cell>
          <cell r="AF30">
            <v>103.66</v>
          </cell>
          <cell r="AG30">
            <v>0</v>
          </cell>
          <cell r="AH30">
            <v>103.66</v>
          </cell>
          <cell r="AI30">
            <v>106.5</v>
          </cell>
          <cell r="AJ30">
            <v>0</v>
          </cell>
          <cell r="AK30">
            <v>0</v>
          </cell>
          <cell r="AL30">
            <v>2.8400000000000034</v>
          </cell>
          <cell r="AM30">
            <v>0</v>
          </cell>
          <cell r="AN30">
            <v>2.8400000000000034</v>
          </cell>
          <cell r="AO30">
            <v>0</v>
          </cell>
          <cell r="AP30">
            <v>2.8400000000000034</v>
          </cell>
          <cell r="AQ30" t="str">
            <v>CAD_2068</v>
          </cell>
          <cell r="AR30">
            <v>0</v>
          </cell>
          <cell r="AS30">
            <v>136</v>
          </cell>
          <cell r="AU30">
            <v>136</v>
          </cell>
          <cell r="AV30">
            <v>0</v>
          </cell>
          <cell r="AW30">
            <v>386.24000000000046</v>
          </cell>
          <cell r="AX30">
            <v>386.24000000000046</v>
          </cell>
          <cell r="AY30">
            <v>0</v>
          </cell>
          <cell r="AZ30">
            <v>386.24000000000046</v>
          </cell>
          <cell r="BA30">
            <v>386.24000000000046</v>
          </cell>
          <cell r="BB30">
            <v>386.24000000000046</v>
          </cell>
          <cell r="BC30">
            <v>0</v>
          </cell>
          <cell r="BD30">
            <v>0</v>
          </cell>
          <cell r="BE30">
            <v>0</v>
          </cell>
          <cell r="BG30">
            <v>386.24000000000046</v>
          </cell>
          <cell r="BI30">
            <v>386.24000000000046</v>
          </cell>
          <cell r="BJ30">
            <v>20400</v>
          </cell>
          <cell r="BK30">
            <v>14484</v>
          </cell>
          <cell r="BL30">
            <v>14711.3104</v>
          </cell>
          <cell r="BM30">
            <v>0</v>
          </cell>
          <cell r="BN30">
            <v>0</v>
          </cell>
          <cell r="BO30">
            <v>0</v>
          </cell>
          <cell r="BP30">
            <v>14711.3104</v>
          </cell>
          <cell r="BQ30">
            <v>0</v>
          </cell>
          <cell r="BR30">
            <v>-227.3104000000003</v>
          </cell>
          <cell r="BS30" t="str">
            <v>Y</v>
          </cell>
          <cell r="BT30">
            <v>1</v>
          </cell>
          <cell r="BU30">
            <v>1</v>
          </cell>
          <cell r="BV30" t="str">
            <v>N</v>
          </cell>
          <cell r="BW30">
            <v>0</v>
          </cell>
          <cell r="BX30">
            <v>0</v>
          </cell>
          <cell r="BY30">
            <v>2026</v>
          </cell>
          <cell r="BZ30" t="str">
            <v>-</v>
          </cell>
          <cell r="CA30" t="str">
            <v>-</v>
          </cell>
        </row>
        <row r="31">
          <cell r="A31" t="str">
            <v>Lucknow</v>
          </cell>
          <cell r="B31" t="str">
            <v>Mavericks</v>
          </cell>
          <cell r="C31" t="str">
            <v>Mid Level</v>
          </cell>
          <cell r="D31" t="str">
            <v>Mohammad Fakhrul</v>
          </cell>
          <cell r="E31" t="str">
            <v>-</v>
          </cell>
          <cell r="F31" t="str">
            <v>MSP</v>
          </cell>
          <cell r="H31" t="str">
            <v>Pass Through/MSP</v>
          </cell>
          <cell r="J31" t="str">
            <v>ACH</v>
          </cell>
          <cell r="L31" t="str">
            <v>New</v>
          </cell>
          <cell r="M31">
            <v>46090</v>
          </cell>
          <cell r="N31">
            <v>112</v>
          </cell>
          <cell r="P31">
            <v>46455</v>
          </cell>
          <cell r="Q31" t="str">
            <v>PLC-Passthrough</v>
          </cell>
          <cell r="R31" t="str">
            <v>Andriy Bortnik</v>
          </cell>
          <cell r="S31" t="str">
            <v>Individual</v>
          </cell>
          <cell r="T31" t="str">
            <v>C2C Canada</v>
          </cell>
          <cell r="U31" t="str">
            <v>CoForge</v>
          </cell>
          <cell r="V31">
            <v>146</v>
          </cell>
          <cell r="W31">
            <v>0</v>
          </cell>
          <cell r="X31" t="str">
            <v>CAD</v>
          </cell>
          <cell r="Y31">
            <v>150</v>
          </cell>
          <cell r="Z31">
            <v>0</v>
          </cell>
          <cell r="AA31">
            <v>0</v>
          </cell>
          <cell r="AB31">
            <v>0</v>
          </cell>
          <cell r="AC31">
            <v>46127</v>
          </cell>
          <cell r="AD31">
            <v>22</v>
          </cell>
          <cell r="AE31">
            <v>46387</v>
          </cell>
          <cell r="AF31">
            <v>103.66</v>
          </cell>
          <cell r="AG31">
            <v>0</v>
          </cell>
          <cell r="AH31">
            <v>103.66</v>
          </cell>
          <cell r="AI31">
            <v>106.5</v>
          </cell>
          <cell r="AJ31">
            <v>0</v>
          </cell>
          <cell r="AK31">
            <v>0</v>
          </cell>
          <cell r="AL31">
            <v>2.8400000000000034</v>
          </cell>
          <cell r="AM31">
            <v>0</v>
          </cell>
          <cell r="AN31">
            <v>2.8400000000000034</v>
          </cell>
          <cell r="AO31">
            <v>0</v>
          </cell>
          <cell r="AP31">
            <v>2.8400000000000034</v>
          </cell>
          <cell r="AQ31" t="str">
            <v>CAD_2086</v>
          </cell>
          <cell r="AR31">
            <v>0</v>
          </cell>
          <cell r="AS31">
            <v>182</v>
          </cell>
          <cell r="AU31">
            <v>182</v>
          </cell>
          <cell r="AV31">
            <v>0</v>
          </cell>
          <cell r="AW31">
            <v>516.88000000000056</v>
          </cell>
          <cell r="AX31">
            <v>511.71120000000053</v>
          </cell>
          <cell r="AY31">
            <v>0</v>
          </cell>
          <cell r="AZ31">
            <v>516.88000000000056</v>
          </cell>
          <cell r="BA31">
            <v>511.71120000000053</v>
          </cell>
          <cell r="BB31">
            <v>516.88000000000056</v>
          </cell>
          <cell r="BC31">
            <v>0</v>
          </cell>
          <cell r="BD31">
            <v>0</v>
          </cell>
          <cell r="BE31">
            <v>0</v>
          </cell>
          <cell r="BG31">
            <v>511.71120000000053</v>
          </cell>
          <cell r="BI31">
            <v>511.71120000000053</v>
          </cell>
          <cell r="BJ31">
            <v>27300</v>
          </cell>
          <cell r="BK31">
            <v>19383</v>
          </cell>
          <cell r="BL31">
            <v>19687.194800000001</v>
          </cell>
          <cell r="BM31">
            <v>0</v>
          </cell>
          <cell r="BN31">
            <v>0</v>
          </cell>
          <cell r="BO31">
            <v>0</v>
          </cell>
          <cell r="BP31">
            <v>19687.194800000001</v>
          </cell>
          <cell r="BQ31">
            <v>0</v>
          </cell>
          <cell r="BR31">
            <v>-304.19480000000112</v>
          </cell>
          <cell r="BT31">
            <v>2</v>
          </cell>
          <cell r="BU31">
            <v>1</v>
          </cell>
          <cell r="BV31" t="str">
            <v>N</v>
          </cell>
          <cell r="BW31">
            <v>0</v>
          </cell>
          <cell r="BX31">
            <v>0</v>
          </cell>
          <cell r="BY31">
            <v>2026</v>
          </cell>
          <cell r="BZ31" t="str">
            <v>-</v>
          </cell>
          <cell r="CA31" t="str">
            <v>-</v>
          </cell>
        </row>
        <row r="32">
          <cell r="A32" t="str">
            <v>Lucknow</v>
          </cell>
          <cell r="B32" t="str">
            <v>Mavericks</v>
          </cell>
          <cell r="C32" t="str">
            <v>Mid Level</v>
          </cell>
          <cell r="D32" t="str">
            <v>Mohammad Fakhrul</v>
          </cell>
          <cell r="E32" t="str">
            <v>-</v>
          </cell>
          <cell r="F32" t="str">
            <v>MSP</v>
          </cell>
          <cell r="H32" t="str">
            <v>Pass Through/MSP</v>
          </cell>
          <cell r="J32" t="str">
            <v>ACH</v>
          </cell>
          <cell r="L32" t="str">
            <v>New</v>
          </cell>
          <cell r="M32">
            <v>46090</v>
          </cell>
          <cell r="N32">
            <v>112</v>
          </cell>
          <cell r="P32">
            <v>46455</v>
          </cell>
          <cell r="Q32" t="str">
            <v>PLC-Passthrough</v>
          </cell>
          <cell r="R32" t="str">
            <v>Andriy Bortnik</v>
          </cell>
          <cell r="S32" t="str">
            <v>Individual</v>
          </cell>
          <cell r="T32" t="str">
            <v>C2C Canada</v>
          </cell>
          <cell r="U32" t="str">
            <v>CoForge</v>
          </cell>
          <cell r="V32">
            <v>146</v>
          </cell>
          <cell r="W32">
            <v>0</v>
          </cell>
          <cell r="X32" t="str">
            <v>CAD</v>
          </cell>
          <cell r="Y32">
            <v>150</v>
          </cell>
          <cell r="Z32">
            <v>0</v>
          </cell>
          <cell r="AA32">
            <v>0</v>
          </cell>
          <cell r="AB32">
            <v>0</v>
          </cell>
          <cell r="AC32">
            <v>46157</v>
          </cell>
          <cell r="AD32">
            <v>22</v>
          </cell>
          <cell r="AE32">
            <v>46387</v>
          </cell>
          <cell r="AF32">
            <v>103.66</v>
          </cell>
          <cell r="AG32">
            <v>0</v>
          </cell>
          <cell r="AH32">
            <v>103.66</v>
          </cell>
          <cell r="AI32">
            <v>106.5</v>
          </cell>
          <cell r="AJ32">
            <v>0</v>
          </cell>
          <cell r="AK32">
            <v>0</v>
          </cell>
          <cell r="AL32">
            <v>2.8400000000000034</v>
          </cell>
          <cell r="AM32">
            <v>0</v>
          </cell>
          <cell r="AN32">
            <v>2.8400000000000034</v>
          </cell>
          <cell r="AO32">
            <v>0</v>
          </cell>
          <cell r="AP32">
            <v>2.8400000000000034</v>
          </cell>
          <cell r="AQ32" t="str">
            <v>CAD_2149</v>
          </cell>
          <cell r="AR32">
            <v>0</v>
          </cell>
          <cell r="AS32">
            <v>187.75</v>
          </cell>
          <cell r="AU32">
            <v>187.75</v>
          </cell>
          <cell r="AV32">
            <v>0</v>
          </cell>
          <cell r="AW32">
            <v>533.2100000000006</v>
          </cell>
          <cell r="AX32">
            <v>527.87790000000064</v>
          </cell>
          <cell r="AY32">
            <v>0</v>
          </cell>
          <cell r="AZ32">
            <v>533.2100000000006</v>
          </cell>
          <cell r="BA32">
            <v>527.87790000000064</v>
          </cell>
          <cell r="BB32">
            <v>533.2100000000006</v>
          </cell>
          <cell r="BC32">
            <v>0</v>
          </cell>
          <cell r="BD32">
            <v>0</v>
          </cell>
          <cell r="BE32">
            <v>0</v>
          </cell>
          <cell r="BG32">
            <v>527.87790000000064</v>
          </cell>
          <cell r="BI32">
            <v>527.87790000000064</v>
          </cell>
          <cell r="BJ32">
            <v>28162.5</v>
          </cell>
          <cell r="BK32">
            <v>19995.375</v>
          </cell>
          <cell r="BL32">
            <v>20309.180349999999</v>
          </cell>
          <cell r="BM32">
            <v>0</v>
          </cell>
          <cell r="BN32">
            <v>0</v>
          </cell>
          <cell r="BO32">
            <v>0</v>
          </cell>
          <cell r="BP32">
            <v>20309.180349999999</v>
          </cell>
          <cell r="BQ32">
            <v>0</v>
          </cell>
          <cell r="BR32">
            <v>-313.80534999999873</v>
          </cell>
          <cell r="BT32">
            <v>2</v>
          </cell>
          <cell r="BU32">
            <v>1</v>
          </cell>
          <cell r="BV32" t="str">
            <v>N</v>
          </cell>
          <cell r="BW32">
            <v>0</v>
          </cell>
          <cell r="BX32">
            <v>0</v>
          </cell>
          <cell r="BY32">
            <v>2026</v>
          </cell>
          <cell r="BZ32" t="str">
            <v>-</v>
          </cell>
          <cell r="CA32" t="str">
            <v>-</v>
          </cell>
        </row>
        <row r="33">
          <cell r="A33" t="str">
            <v>Lucknow</v>
          </cell>
          <cell r="B33" t="str">
            <v>Mavericks</v>
          </cell>
          <cell r="C33" t="str">
            <v>Mid Level</v>
          </cell>
          <cell r="D33" t="str">
            <v>Kashif Nabi</v>
          </cell>
          <cell r="F33" t="str">
            <v>Non-MSP</v>
          </cell>
          <cell r="G33" t="str">
            <v>Rohit Gupta</v>
          </cell>
          <cell r="H33" t="str">
            <v>Nilesh Shahi</v>
          </cell>
          <cell r="J33" t="str">
            <v>ACH</v>
          </cell>
          <cell r="L33" t="str">
            <v>New</v>
          </cell>
          <cell r="M33">
            <v>46128</v>
          </cell>
          <cell r="N33">
            <v>74</v>
          </cell>
          <cell r="O33">
            <v>46162</v>
          </cell>
          <cell r="P33">
            <v>46493</v>
          </cell>
          <cell r="Q33" t="str">
            <v>PLC-4806</v>
          </cell>
          <cell r="R33" t="str">
            <v>Anjaiah Kummari</v>
          </cell>
          <cell r="S33" t="str">
            <v>Split</v>
          </cell>
          <cell r="T33" t="str">
            <v>C2C</v>
          </cell>
          <cell r="U33" t="str">
            <v>GRI</v>
          </cell>
          <cell r="V33">
            <v>80</v>
          </cell>
          <cell r="W33">
            <v>0</v>
          </cell>
          <cell r="X33" t="str">
            <v>USD</v>
          </cell>
          <cell r="Y33">
            <v>90</v>
          </cell>
          <cell r="Z33">
            <v>0</v>
          </cell>
          <cell r="AA33">
            <v>0</v>
          </cell>
          <cell r="AB33">
            <v>0</v>
          </cell>
          <cell r="AC33">
            <v>46127</v>
          </cell>
          <cell r="AD33">
            <v>11</v>
          </cell>
          <cell r="AE33">
            <v>46387</v>
          </cell>
          <cell r="AF33">
            <v>80</v>
          </cell>
          <cell r="AG33">
            <v>0</v>
          </cell>
          <cell r="AH33">
            <v>80</v>
          </cell>
          <cell r="AI33">
            <v>87.85799999999999</v>
          </cell>
          <cell r="AJ33">
            <v>0</v>
          </cell>
          <cell r="AK33">
            <v>0</v>
          </cell>
          <cell r="AL33">
            <v>7.8579999999999899</v>
          </cell>
          <cell r="AM33">
            <v>0</v>
          </cell>
          <cell r="AN33">
            <v>3.9289999999999949</v>
          </cell>
          <cell r="AO33">
            <v>0</v>
          </cell>
          <cell r="AP33">
            <v>3.9289999999999949</v>
          </cell>
          <cell r="AQ33" t="str">
            <v>GRI123465</v>
          </cell>
          <cell r="AR33">
            <v>0</v>
          </cell>
          <cell r="AS33">
            <v>120</v>
          </cell>
          <cell r="AU33">
            <v>120</v>
          </cell>
          <cell r="AV33">
            <v>0</v>
          </cell>
          <cell r="AW33">
            <v>471.47999999999939</v>
          </cell>
          <cell r="AX33">
            <v>466.76519999999937</v>
          </cell>
          <cell r="AY33">
            <v>0</v>
          </cell>
          <cell r="AZ33">
            <v>471.47999999999939</v>
          </cell>
          <cell r="BA33">
            <v>466.76519999999937</v>
          </cell>
          <cell r="BB33">
            <v>471.47999999999939</v>
          </cell>
          <cell r="BC33">
            <v>50</v>
          </cell>
          <cell r="BD33">
            <v>616.13006399999915</v>
          </cell>
          <cell r="BE33">
            <v>616.13006399999915</v>
          </cell>
          <cell r="BG33">
            <v>466.76519999999937</v>
          </cell>
          <cell r="BI33">
            <v>0</v>
          </cell>
          <cell r="BJ33">
            <v>5400</v>
          </cell>
          <cell r="BK33">
            <v>5271.48</v>
          </cell>
          <cell r="BL33">
            <v>4800</v>
          </cell>
          <cell r="BM33">
            <v>0</v>
          </cell>
          <cell r="BN33">
            <v>0</v>
          </cell>
          <cell r="BO33">
            <v>0</v>
          </cell>
          <cell r="BP33">
            <v>4800</v>
          </cell>
          <cell r="BQ33">
            <v>0</v>
          </cell>
          <cell r="BR33">
            <v>471.47999999999956</v>
          </cell>
          <cell r="BS33" t="str">
            <v>Y</v>
          </cell>
          <cell r="BT33">
            <v>2</v>
          </cell>
          <cell r="BU33">
            <v>2</v>
          </cell>
          <cell r="BV33" t="str">
            <v>N</v>
          </cell>
          <cell r="BW33">
            <v>1232.2601279999983</v>
          </cell>
          <cell r="BX33">
            <v>1232.2601279999983</v>
          </cell>
          <cell r="BY33">
            <v>2026</v>
          </cell>
          <cell r="BZ33" t="str">
            <v>-</v>
          </cell>
          <cell r="CA33" t="str">
            <v>-</v>
          </cell>
        </row>
        <row r="34">
          <cell r="A34" t="str">
            <v>Lucknow</v>
          </cell>
          <cell r="B34" t="str">
            <v>Mavericks</v>
          </cell>
          <cell r="C34" t="str">
            <v>Mid Level</v>
          </cell>
          <cell r="D34" t="str">
            <v>Rohit Gupta</v>
          </cell>
          <cell r="F34" t="str">
            <v>Non-MSP</v>
          </cell>
          <cell r="G34" t="str">
            <v>Kashif Nabi</v>
          </cell>
          <cell r="H34" t="str">
            <v>Nilesh Shahi</v>
          </cell>
          <cell r="J34" t="str">
            <v>ACH</v>
          </cell>
          <cell r="L34" t="str">
            <v>New</v>
          </cell>
          <cell r="M34">
            <v>46128</v>
          </cell>
          <cell r="N34">
            <v>74</v>
          </cell>
          <cell r="O34">
            <v>46162</v>
          </cell>
          <cell r="P34">
            <v>46493</v>
          </cell>
          <cell r="Q34" t="str">
            <v>PLC-4806</v>
          </cell>
          <cell r="R34" t="str">
            <v>Anjaiah Kummari</v>
          </cell>
          <cell r="S34" t="str">
            <v>Split</v>
          </cell>
          <cell r="T34" t="str">
            <v>C2C</v>
          </cell>
          <cell r="U34" t="str">
            <v>GRI</v>
          </cell>
          <cell r="V34">
            <v>80</v>
          </cell>
          <cell r="W34">
            <v>0</v>
          </cell>
          <cell r="X34" t="str">
            <v>USD</v>
          </cell>
          <cell r="Y34">
            <v>90</v>
          </cell>
          <cell r="Z34">
            <v>0</v>
          </cell>
          <cell r="AA34">
            <v>0</v>
          </cell>
          <cell r="AB34">
            <v>0</v>
          </cell>
          <cell r="AC34">
            <v>46127</v>
          </cell>
          <cell r="AD34">
            <v>11</v>
          </cell>
          <cell r="AE34">
            <v>46387</v>
          </cell>
          <cell r="AF34">
            <v>80</v>
          </cell>
          <cell r="AG34">
            <v>0</v>
          </cell>
          <cell r="AH34">
            <v>80</v>
          </cell>
          <cell r="AI34">
            <v>87.85799999999999</v>
          </cell>
          <cell r="AJ34">
            <v>0</v>
          </cell>
          <cell r="AK34">
            <v>0</v>
          </cell>
          <cell r="AL34">
            <v>7.8579999999999899</v>
          </cell>
          <cell r="AM34">
            <v>0</v>
          </cell>
          <cell r="AN34">
            <v>3.9289999999999949</v>
          </cell>
          <cell r="AO34">
            <v>0</v>
          </cell>
          <cell r="AP34">
            <v>3.9289999999999949</v>
          </cell>
          <cell r="AQ34" t="str">
            <v>GRI123465</v>
          </cell>
          <cell r="AR34">
            <v>0</v>
          </cell>
          <cell r="AS34">
            <v>120</v>
          </cell>
          <cell r="AU34">
            <v>120</v>
          </cell>
          <cell r="AV34">
            <v>0</v>
          </cell>
          <cell r="AW34">
            <v>471.47999999999939</v>
          </cell>
          <cell r="AX34">
            <v>466.76519999999937</v>
          </cell>
          <cell r="AY34">
            <v>0</v>
          </cell>
          <cell r="AZ34">
            <v>471.47999999999939</v>
          </cell>
          <cell r="BA34">
            <v>466.76519999999937</v>
          </cell>
          <cell r="BB34">
            <v>471.47999999999939</v>
          </cell>
          <cell r="BC34">
            <v>50</v>
          </cell>
          <cell r="BD34">
            <v>616.13006399999915</v>
          </cell>
          <cell r="BE34">
            <v>616.13006399999915</v>
          </cell>
          <cell r="BG34">
            <v>466.76519999999937</v>
          </cell>
          <cell r="BI34">
            <v>0</v>
          </cell>
          <cell r="BJ34">
            <v>5400</v>
          </cell>
          <cell r="BK34">
            <v>5271.48</v>
          </cell>
          <cell r="BL34">
            <v>4800</v>
          </cell>
          <cell r="BM34">
            <v>0</v>
          </cell>
          <cell r="BN34">
            <v>0</v>
          </cell>
          <cell r="BO34">
            <v>0</v>
          </cell>
          <cell r="BP34">
            <v>4800</v>
          </cell>
          <cell r="BQ34">
            <v>0</v>
          </cell>
          <cell r="BR34">
            <v>471.47999999999956</v>
          </cell>
          <cell r="BS34" t="str">
            <v>Y</v>
          </cell>
          <cell r="BT34">
            <v>2</v>
          </cell>
          <cell r="BU34">
            <v>2</v>
          </cell>
          <cell r="BV34" t="str">
            <v>N</v>
          </cell>
          <cell r="BW34">
            <v>1232.2601279999983</v>
          </cell>
          <cell r="BX34">
            <v>1232.2601279999983</v>
          </cell>
          <cell r="BY34">
            <v>2026</v>
          </cell>
          <cell r="BZ34" t="str">
            <v>-</v>
          </cell>
          <cell r="CA34" t="str">
            <v>-</v>
          </cell>
        </row>
        <row r="35">
          <cell r="A35" t="str">
            <v>Lucknow</v>
          </cell>
          <cell r="B35" t="str">
            <v>Mavericks</v>
          </cell>
          <cell r="C35" t="str">
            <v>Mid Level</v>
          </cell>
          <cell r="D35" t="str">
            <v>Kashif Nabi</v>
          </cell>
          <cell r="F35" t="str">
            <v>Non-MSP</v>
          </cell>
          <cell r="G35" t="str">
            <v>Rohit Gupta</v>
          </cell>
          <cell r="H35" t="str">
            <v>Nilesh Shahi</v>
          </cell>
          <cell r="J35" t="str">
            <v>ACH</v>
          </cell>
          <cell r="L35" t="str">
            <v>New</v>
          </cell>
          <cell r="M35">
            <v>46128</v>
          </cell>
          <cell r="N35">
            <v>74</v>
          </cell>
          <cell r="O35">
            <v>46162</v>
          </cell>
          <cell r="P35">
            <v>46493</v>
          </cell>
          <cell r="Q35" t="str">
            <v>PLC-4806</v>
          </cell>
          <cell r="R35" t="str">
            <v>Anjaiah Kummari</v>
          </cell>
          <cell r="S35" t="str">
            <v>Split</v>
          </cell>
          <cell r="T35" t="str">
            <v>C2C</v>
          </cell>
          <cell r="U35" t="str">
            <v>GRI</v>
          </cell>
          <cell r="V35">
            <v>80</v>
          </cell>
          <cell r="W35">
            <v>0</v>
          </cell>
          <cell r="X35" t="str">
            <v>USD</v>
          </cell>
          <cell r="Y35">
            <v>90</v>
          </cell>
          <cell r="Z35">
            <v>0</v>
          </cell>
          <cell r="AA35">
            <v>0</v>
          </cell>
          <cell r="AB35">
            <v>0</v>
          </cell>
          <cell r="AC35">
            <v>46157</v>
          </cell>
          <cell r="AD35">
            <v>11</v>
          </cell>
          <cell r="AE35">
            <v>46387</v>
          </cell>
          <cell r="AF35">
            <v>80</v>
          </cell>
          <cell r="AG35">
            <v>0</v>
          </cell>
          <cell r="AH35">
            <v>80</v>
          </cell>
          <cell r="AI35">
            <v>87.85799999999999</v>
          </cell>
          <cell r="AJ35">
            <v>0</v>
          </cell>
          <cell r="AK35">
            <v>0</v>
          </cell>
          <cell r="AL35">
            <v>7.8579999999999899</v>
          </cell>
          <cell r="AM35">
            <v>0</v>
          </cell>
          <cell r="AN35">
            <v>3.9289999999999949</v>
          </cell>
          <cell r="AO35">
            <v>0</v>
          </cell>
          <cell r="AP35">
            <v>3.9289999999999949</v>
          </cell>
          <cell r="AQ35" t="str">
            <v>GRI123466</v>
          </cell>
          <cell r="AR35">
            <v>0</v>
          </cell>
          <cell r="AS35">
            <v>56</v>
          </cell>
          <cell r="AU35">
            <v>56</v>
          </cell>
          <cell r="AV35">
            <v>0</v>
          </cell>
          <cell r="AW35">
            <v>220.02399999999972</v>
          </cell>
          <cell r="AX35">
            <v>217.82375999999971</v>
          </cell>
          <cell r="AY35">
            <v>0</v>
          </cell>
          <cell r="AZ35">
            <v>220.02399999999972</v>
          </cell>
          <cell r="BA35">
            <v>217.82375999999971</v>
          </cell>
          <cell r="BB35">
            <v>220.02399999999972</v>
          </cell>
          <cell r="BC35">
            <v>50</v>
          </cell>
          <cell r="BD35">
            <v>287.52736319999963</v>
          </cell>
          <cell r="BE35">
            <v>287.52736319999963</v>
          </cell>
          <cell r="BG35">
            <v>217.82375999999971</v>
          </cell>
          <cell r="BI35">
            <v>0</v>
          </cell>
          <cell r="BJ35">
            <v>2520</v>
          </cell>
          <cell r="BK35">
            <v>2460.0239999999999</v>
          </cell>
          <cell r="BL35">
            <v>2240</v>
          </cell>
          <cell r="BM35">
            <v>0</v>
          </cell>
          <cell r="BN35">
            <v>0</v>
          </cell>
          <cell r="BO35">
            <v>0</v>
          </cell>
          <cell r="BP35">
            <v>2240</v>
          </cell>
          <cell r="BQ35">
            <v>0</v>
          </cell>
          <cell r="BR35">
            <v>220.02399999999989</v>
          </cell>
          <cell r="BS35" t="str">
            <v>Y</v>
          </cell>
          <cell r="BT35">
            <v>2</v>
          </cell>
          <cell r="BU35">
            <v>2</v>
          </cell>
          <cell r="BV35" t="str">
            <v>N</v>
          </cell>
          <cell r="BW35">
            <v>575.05472639999925</v>
          </cell>
          <cell r="BX35">
            <v>575.05472639999925</v>
          </cell>
          <cell r="BY35">
            <v>2026</v>
          </cell>
          <cell r="BZ35" t="str">
            <v>-</v>
          </cell>
          <cell r="CA35" t="str">
            <v>-</v>
          </cell>
        </row>
        <row r="36">
          <cell r="A36" t="str">
            <v>Lucknow</v>
          </cell>
          <cell r="B36" t="str">
            <v>Mavericks</v>
          </cell>
          <cell r="C36" t="str">
            <v>Mid Level</v>
          </cell>
          <cell r="D36" t="str">
            <v>Rohit Gupta</v>
          </cell>
          <cell r="F36" t="str">
            <v>Non-MSP</v>
          </cell>
          <cell r="G36" t="str">
            <v>Kashif Nabi</v>
          </cell>
          <cell r="H36" t="str">
            <v>Nilesh Shahi</v>
          </cell>
          <cell r="J36" t="str">
            <v>ACH</v>
          </cell>
          <cell r="L36" t="str">
            <v>New</v>
          </cell>
          <cell r="M36">
            <v>46128</v>
          </cell>
          <cell r="N36">
            <v>74</v>
          </cell>
          <cell r="O36">
            <v>46162</v>
          </cell>
          <cell r="P36">
            <v>46493</v>
          </cell>
          <cell r="Q36" t="str">
            <v>PLC-4806</v>
          </cell>
          <cell r="R36" t="str">
            <v>Anjaiah Kummari</v>
          </cell>
          <cell r="S36" t="str">
            <v>Split</v>
          </cell>
          <cell r="T36" t="str">
            <v>C2C</v>
          </cell>
          <cell r="U36" t="str">
            <v>GRI</v>
          </cell>
          <cell r="V36">
            <v>80</v>
          </cell>
          <cell r="W36">
            <v>0</v>
          </cell>
          <cell r="X36" t="str">
            <v>USD</v>
          </cell>
          <cell r="Y36">
            <v>90</v>
          </cell>
          <cell r="Z36">
            <v>0</v>
          </cell>
          <cell r="AA36">
            <v>0</v>
          </cell>
          <cell r="AB36">
            <v>0</v>
          </cell>
          <cell r="AC36">
            <v>46157</v>
          </cell>
          <cell r="AD36">
            <v>11</v>
          </cell>
          <cell r="AE36">
            <v>46387</v>
          </cell>
          <cell r="AF36">
            <v>80</v>
          </cell>
          <cell r="AG36">
            <v>0</v>
          </cell>
          <cell r="AH36">
            <v>80</v>
          </cell>
          <cell r="AI36">
            <v>87.85799999999999</v>
          </cell>
          <cell r="AJ36">
            <v>0</v>
          </cell>
          <cell r="AK36">
            <v>0</v>
          </cell>
          <cell r="AL36">
            <v>7.8579999999999899</v>
          </cell>
          <cell r="AM36">
            <v>0</v>
          </cell>
          <cell r="AN36">
            <v>3.9289999999999949</v>
          </cell>
          <cell r="AO36">
            <v>0</v>
          </cell>
          <cell r="AP36">
            <v>3.9289999999999949</v>
          </cell>
          <cell r="AQ36" t="str">
            <v>GRI123466</v>
          </cell>
          <cell r="AR36">
            <v>0</v>
          </cell>
          <cell r="AS36">
            <v>56</v>
          </cell>
          <cell r="AU36">
            <v>56</v>
          </cell>
          <cell r="AV36">
            <v>0</v>
          </cell>
          <cell r="AW36">
            <v>220.02399999999972</v>
          </cell>
          <cell r="AX36">
            <v>217.82375999999971</v>
          </cell>
          <cell r="AY36">
            <v>0</v>
          </cell>
          <cell r="AZ36">
            <v>220.02399999999972</v>
          </cell>
          <cell r="BA36">
            <v>217.82375999999971</v>
          </cell>
          <cell r="BB36">
            <v>220.02399999999972</v>
          </cell>
          <cell r="BC36">
            <v>50</v>
          </cell>
          <cell r="BD36">
            <v>287.52736319999963</v>
          </cell>
          <cell r="BE36">
            <v>287.52736319999963</v>
          </cell>
          <cell r="BG36">
            <v>217.82375999999971</v>
          </cell>
          <cell r="BI36">
            <v>0</v>
          </cell>
          <cell r="BJ36">
            <v>2520</v>
          </cell>
          <cell r="BK36">
            <v>2460.0239999999999</v>
          </cell>
          <cell r="BL36">
            <v>2240</v>
          </cell>
          <cell r="BM36">
            <v>0</v>
          </cell>
          <cell r="BN36">
            <v>0</v>
          </cell>
          <cell r="BO36">
            <v>0</v>
          </cell>
          <cell r="BP36">
            <v>2240</v>
          </cell>
          <cell r="BQ36">
            <v>0</v>
          </cell>
          <cell r="BR36">
            <v>220.02399999999989</v>
          </cell>
          <cell r="BS36" t="str">
            <v>Y</v>
          </cell>
          <cell r="BT36">
            <v>2</v>
          </cell>
          <cell r="BU36">
            <v>2</v>
          </cell>
          <cell r="BV36" t="str">
            <v>N</v>
          </cell>
          <cell r="BW36">
            <v>575.05472639999925</v>
          </cell>
          <cell r="BX36">
            <v>575.05472639999925</v>
          </cell>
          <cell r="BY36">
            <v>2026</v>
          </cell>
          <cell r="BZ36" t="str">
            <v>-</v>
          </cell>
          <cell r="CA36" t="str">
            <v>-</v>
          </cell>
        </row>
        <row r="37">
          <cell r="A37" t="str">
            <v>Lucknow</v>
          </cell>
          <cell r="B37" t="str">
            <v>Mavericks</v>
          </cell>
          <cell r="C37" t="str">
            <v>Mid Level</v>
          </cell>
          <cell r="D37" t="str">
            <v>Mohammad Fakhrul</v>
          </cell>
          <cell r="F37" t="str">
            <v>MSP</v>
          </cell>
          <cell r="H37" t="str">
            <v>Pass Through</v>
          </cell>
          <cell r="J37" t="str">
            <v>ACH</v>
          </cell>
          <cell r="L37" t="str">
            <v>New</v>
          </cell>
          <cell r="M37">
            <v>46162</v>
          </cell>
          <cell r="N37">
            <v>40</v>
          </cell>
          <cell r="P37">
            <v>46527</v>
          </cell>
          <cell r="R37" t="str">
            <v>Ankur Kumar Khandelwal</v>
          </cell>
          <cell r="S37" t="str">
            <v>Individual</v>
          </cell>
          <cell r="T37" t="str">
            <v>C2C</v>
          </cell>
          <cell r="U37" t="str">
            <v>CoForge</v>
          </cell>
          <cell r="V37">
            <v>80</v>
          </cell>
          <cell r="W37">
            <v>0</v>
          </cell>
          <cell r="X37" t="str">
            <v>USD</v>
          </cell>
          <cell r="Y37">
            <v>81</v>
          </cell>
          <cell r="Z37">
            <v>0</v>
          </cell>
          <cell r="AA37">
            <v>0</v>
          </cell>
          <cell r="AB37">
            <v>0</v>
          </cell>
          <cell r="AC37">
            <v>46157</v>
          </cell>
          <cell r="AD37">
            <v>8</v>
          </cell>
          <cell r="AE37">
            <v>46387</v>
          </cell>
          <cell r="AF37">
            <v>80</v>
          </cell>
          <cell r="AG37">
            <v>0</v>
          </cell>
          <cell r="AH37">
            <v>80</v>
          </cell>
          <cell r="AI37">
            <v>81</v>
          </cell>
          <cell r="AJ37">
            <v>0</v>
          </cell>
          <cell r="AK37">
            <v>0</v>
          </cell>
          <cell r="AL37">
            <v>1</v>
          </cell>
          <cell r="AM37">
            <v>0</v>
          </cell>
          <cell r="AN37">
            <v>1</v>
          </cell>
          <cell r="AO37">
            <v>0</v>
          </cell>
          <cell r="AP37">
            <v>1</v>
          </cell>
          <cell r="AQ37" t="str">
            <v>US_CMSP_00895</v>
          </cell>
          <cell r="AR37">
            <v>0</v>
          </cell>
          <cell r="AS37">
            <v>56</v>
          </cell>
          <cell r="AU37">
            <v>56</v>
          </cell>
          <cell r="AV37">
            <v>0</v>
          </cell>
          <cell r="AW37">
            <v>56</v>
          </cell>
          <cell r="AX37">
            <v>55.44</v>
          </cell>
          <cell r="AY37">
            <v>0</v>
          </cell>
          <cell r="AZ37">
            <v>56</v>
          </cell>
          <cell r="BA37">
            <v>55.44</v>
          </cell>
          <cell r="BB37">
            <v>56</v>
          </cell>
          <cell r="BC37">
            <v>0</v>
          </cell>
          <cell r="BD37">
            <v>0</v>
          </cell>
          <cell r="BE37">
            <v>0</v>
          </cell>
          <cell r="BG37">
            <v>55.44</v>
          </cell>
          <cell r="BI37">
            <v>0</v>
          </cell>
          <cell r="BJ37">
            <v>4536</v>
          </cell>
          <cell r="BK37">
            <v>4536</v>
          </cell>
          <cell r="BL37">
            <v>4480</v>
          </cell>
          <cell r="BM37">
            <v>0</v>
          </cell>
          <cell r="BN37">
            <v>0</v>
          </cell>
          <cell r="BO37">
            <v>0</v>
          </cell>
          <cell r="BP37">
            <v>4480</v>
          </cell>
          <cell r="BQ37">
            <v>0</v>
          </cell>
          <cell r="BR37">
            <v>56</v>
          </cell>
          <cell r="BT37">
            <v>2</v>
          </cell>
          <cell r="BU37">
            <v>2</v>
          </cell>
          <cell r="BV37" t="str">
            <v>Y</v>
          </cell>
          <cell r="BW37">
            <v>0</v>
          </cell>
          <cell r="BX37">
            <v>0</v>
          </cell>
          <cell r="BY37">
            <v>2026</v>
          </cell>
          <cell r="BZ37" t="str">
            <v>-</v>
          </cell>
          <cell r="CA37" t="str">
            <v>-</v>
          </cell>
        </row>
        <row r="38">
          <cell r="A38" t="str">
            <v>Lucknow</v>
          </cell>
          <cell r="B38" t="str">
            <v>Titans</v>
          </cell>
          <cell r="C38" t="str">
            <v>Mid Level</v>
          </cell>
          <cell r="D38" t="str">
            <v>Noor Beg</v>
          </cell>
          <cell r="E38" t="str">
            <v>-</v>
          </cell>
          <cell r="F38" t="str">
            <v>Non-MSP</v>
          </cell>
          <cell r="H38" t="str">
            <v>Pass Through</v>
          </cell>
          <cell r="L38" t="str">
            <v>New</v>
          </cell>
          <cell r="M38">
            <v>46057</v>
          </cell>
          <cell r="N38">
            <v>145</v>
          </cell>
          <cell r="P38">
            <v>46422</v>
          </cell>
          <cell r="Q38" t="str">
            <v>PLC-Passthrough</v>
          </cell>
          <cell r="R38" t="str">
            <v>Anne Katrine Holst</v>
          </cell>
          <cell r="S38" t="str">
            <v>Individual</v>
          </cell>
          <cell r="T38" t="str">
            <v>C2C</v>
          </cell>
          <cell r="U38" t="str">
            <v>Genpact</v>
          </cell>
          <cell r="V38">
            <v>225</v>
          </cell>
          <cell r="W38">
            <v>0</v>
          </cell>
          <cell r="X38" t="str">
            <v>USD</v>
          </cell>
          <cell r="Y38">
            <v>230</v>
          </cell>
          <cell r="Z38">
            <v>0</v>
          </cell>
          <cell r="AA38">
            <v>0</v>
          </cell>
          <cell r="AB38">
            <v>0</v>
          </cell>
          <cell r="AC38">
            <v>46068</v>
          </cell>
          <cell r="AD38">
            <v>18</v>
          </cell>
          <cell r="AE38">
            <v>46387</v>
          </cell>
          <cell r="AF38">
            <v>225</v>
          </cell>
          <cell r="AG38">
            <v>0</v>
          </cell>
          <cell r="AH38">
            <v>225</v>
          </cell>
          <cell r="AI38">
            <v>230</v>
          </cell>
          <cell r="AJ38">
            <v>0</v>
          </cell>
          <cell r="AK38">
            <v>0</v>
          </cell>
          <cell r="AL38">
            <v>5</v>
          </cell>
          <cell r="AM38">
            <v>0</v>
          </cell>
          <cell r="AN38">
            <v>5</v>
          </cell>
          <cell r="AO38">
            <v>0</v>
          </cell>
          <cell r="AP38">
            <v>5</v>
          </cell>
          <cell r="AQ38" t="str">
            <v>US_GB_00029</v>
          </cell>
          <cell r="AR38">
            <v>0</v>
          </cell>
          <cell r="AS38">
            <v>141.75</v>
          </cell>
          <cell r="AU38">
            <v>141.75</v>
          </cell>
          <cell r="AV38">
            <v>0</v>
          </cell>
          <cell r="AW38">
            <v>708.75</v>
          </cell>
          <cell r="AX38">
            <v>708.75</v>
          </cell>
          <cell r="AY38">
            <v>0</v>
          </cell>
          <cell r="AZ38">
            <v>708.75</v>
          </cell>
          <cell r="BA38">
            <v>708.75</v>
          </cell>
          <cell r="BB38">
            <v>708.75</v>
          </cell>
          <cell r="BC38">
            <v>0</v>
          </cell>
          <cell r="BD38">
            <v>0</v>
          </cell>
          <cell r="BE38">
            <v>0</v>
          </cell>
          <cell r="BG38">
            <v>708.75</v>
          </cell>
          <cell r="BI38">
            <v>708.75</v>
          </cell>
          <cell r="BJ38">
            <v>32602.5</v>
          </cell>
          <cell r="BK38">
            <v>32602.5</v>
          </cell>
          <cell r="BL38">
            <v>31893.75</v>
          </cell>
          <cell r="BM38">
            <v>0</v>
          </cell>
          <cell r="BN38">
            <v>0</v>
          </cell>
          <cell r="BO38">
            <v>0</v>
          </cell>
          <cell r="BP38">
            <v>31893.75</v>
          </cell>
          <cell r="BQ38">
            <v>0</v>
          </cell>
          <cell r="BR38">
            <v>708.75</v>
          </cell>
          <cell r="BS38" t="str">
            <v>Y</v>
          </cell>
          <cell r="BT38">
            <v>1</v>
          </cell>
          <cell r="BU38">
            <v>1</v>
          </cell>
          <cell r="BV38" t="str">
            <v>Y</v>
          </cell>
          <cell r="BW38">
            <v>0</v>
          </cell>
          <cell r="BX38">
            <v>0</v>
          </cell>
          <cell r="BY38">
            <v>2026</v>
          </cell>
          <cell r="BZ38" t="str">
            <v>-</v>
          </cell>
          <cell r="CA38" t="str">
            <v>-</v>
          </cell>
        </row>
        <row r="39">
          <cell r="A39" t="str">
            <v>Lucknow</v>
          </cell>
          <cell r="B39" t="str">
            <v>Titans</v>
          </cell>
          <cell r="C39" t="str">
            <v>Mid Level</v>
          </cell>
          <cell r="D39" t="str">
            <v>Noor Beg</v>
          </cell>
          <cell r="E39" t="str">
            <v>-</v>
          </cell>
          <cell r="F39" t="str">
            <v>Non-MSP</v>
          </cell>
          <cell r="H39" t="str">
            <v>Pass Through</v>
          </cell>
          <cell r="L39" t="str">
            <v>New</v>
          </cell>
          <cell r="M39">
            <v>46057</v>
          </cell>
          <cell r="N39">
            <v>145</v>
          </cell>
          <cell r="P39">
            <v>46422</v>
          </cell>
          <cell r="Q39" t="str">
            <v>PLC-Passthrough</v>
          </cell>
          <cell r="R39" t="str">
            <v>Anne Katrine Holst</v>
          </cell>
          <cell r="S39" t="str">
            <v>Individual</v>
          </cell>
          <cell r="T39" t="str">
            <v>C2C</v>
          </cell>
          <cell r="U39" t="str">
            <v>Genpact</v>
          </cell>
          <cell r="V39">
            <v>225</v>
          </cell>
          <cell r="W39">
            <v>0</v>
          </cell>
          <cell r="X39" t="str">
            <v>USD</v>
          </cell>
          <cell r="Y39">
            <v>230</v>
          </cell>
          <cell r="Z39">
            <v>0</v>
          </cell>
          <cell r="AA39">
            <v>0</v>
          </cell>
          <cell r="AB39">
            <v>0</v>
          </cell>
          <cell r="AC39">
            <v>46096</v>
          </cell>
          <cell r="AD39">
            <v>22</v>
          </cell>
          <cell r="AE39">
            <v>46387</v>
          </cell>
          <cell r="AF39">
            <v>225</v>
          </cell>
          <cell r="AG39">
            <v>0</v>
          </cell>
          <cell r="AH39">
            <v>225</v>
          </cell>
          <cell r="AI39">
            <v>230</v>
          </cell>
          <cell r="AJ39">
            <v>0</v>
          </cell>
          <cell r="AK39">
            <v>0</v>
          </cell>
          <cell r="AL39">
            <v>5</v>
          </cell>
          <cell r="AM39">
            <v>0</v>
          </cell>
          <cell r="AN39">
            <v>5</v>
          </cell>
          <cell r="AO39">
            <v>0</v>
          </cell>
          <cell r="AP39">
            <v>5</v>
          </cell>
          <cell r="AQ39" t="str">
            <v>US_GB_00043</v>
          </cell>
          <cell r="AR39">
            <v>0</v>
          </cell>
          <cell r="AS39">
            <v>176</v>
          </cell>
          <cell r="AU39">
            <v>176</v>
          </cell>
          <cell r="AV39">
            <v>0</v>
          </cell>
          <cell r="AW39">
            <v>880</v>
          </cell>
          <cell r="AX39">
            <v>880</v>
          </cell>
          <cell r="AY39">
            <v>0</v>
          </cell>
          <cell r="AZ39">
            <v>880</v>
          </cell>
          <cell r="BA39">
            <v>880</v>
          </cell>
          <cell r="BB39">
            <v>880</v>
          </cell>
          <cell r="BC39">
            <v>0</v>
          </cell>
          <cell r="BD39">
            <v>0</v>
          </cell>
          <cell r="BE39">
            <v>0</v>
          </cell>
          <cell r="BG39">
            <v>880</v>
          </cell>
          <cell r="BI39">
            <v>880</v>
          </cell>
          <cell r="BJ39">
            <v>40480</v>
          </cell>
          <cell r="BK39">
            <v>40480</v>
          </cell>
          <cell r="BL39">
            <v>39600</v>
          </cell>
          <cell r="BM39">
            <v>0</v>
          </cell>
          <cell r="BN39">
            <v>0</v>
          </cell>
          <cell r="BO39">
            <v>0</v>
          </cell>
          <cell r="BP39">
            <v>39600</v>
          </cell>
          <cell r="BQ39">
            <v>0</v>
          </cell>
          <cell r="BR39">
            <v>880</v>
          </cell>
          <cell r="BS39" t="str">
            <v>Y</v>
          </cell>
          <cell r="BT39">
            <v>1</v>
          </cell>
          <cell r="BU39">
            <v>1</v>
          </cell>
          <cell r="BV39" t="str">
            <v>Y</v>
          </cell>
          <cell r="BW39">
            <v>0</v>
          </cell>
          <cell r="BX39">
            <v>0</v>
          </cell>
          <cell r="BY39">
            <v>2026</v>
          </cell>
          <cell r="BZ39" t="str">
            <v>-</v>
          </cell>
          <cell r="CA39" t="str">
            <v>-</v>
          </cell>
        </row>
        <row r="40">
          <cell r="A40" t="str">
            <v>Lucknow</v>
          </cell>
          <cell r="B40" t="str">
            <v>Titans</v>
          </cell>
          <cell r="C40" t="str">
            <v>Mid Level</v>
          </cell>
          <cell r="D40" t="str">
            <v>Noor Beg</v>
          </cell>
          <cell r="E40" t="str">
            <v>-</v>
          </cell>
          <cell r="F40" t="str">
            <v>Non-MSP</v>
          </cell>
          <cell r="H40" t="str">
            <v>Pass Through</v>
          </cell>
          <cell r="J40" t="str">
            <v>ACH</v>
          </cell>
          <cell r="L40" t="str">
            <v>New</v>
          </cell>
          <cell r="M40">
            <v>46057</v>
          </cell>
          <cell r="N40">
            <v>145</v>
          </cell>
          <cell r="P40">
            <v>46422</v>
          </cell>
          <cell r="Q40" t="str">
            <v>PLC-Passthrough</v>
          </cell>
          <cell r="R40" t="str">
            <v>Anne Katrine Holst</v>
          </cell>
          <cell r="S40" t="str">
            <v>Individual</v>
          </cell>
          <cell r="T40" t="str">
            <v>C2C</v>
          </cell>
          <cell r="U40" t="str">
            <v>Genpact</v>
          </cell>
          <cell r="V40">
            <v>225</v>
          </cell>
          <cell r="W40">
            <v>0</v>
          </cell>
          <cell r="X40" t="str">
            <v>USD</v>
          </cell>
          <cell r="Y40">
            <v>230</v>
          </cell>
          <cell r="Z40">
            <v>0</v>
          </cell>
          <cell r="AA40">
            <v>0</v>
          </cell>
          <cell r="AB40">
            <v>0</v>
          </cell>
          <cell r="AC40">
            <v>46127</v>
          </cell>
          <cell r="AD40">
            <v>22</v>
          </cell>
          <cell r="AE40">
            <v>46387</v>
          </cell>
          <cell r="AF40">
            <v>225</v>
          </cell>
          <cell r="AG40">
            <v>0</v>
          </cell>
          <cell r="AH40">
            <v>225</v>
          </cell>
          <cell r="AI40">
            <v>230</v>
          </cell>
          <cell r="AJ40">
            <v>0</v>
          </cell>
          <cell r="AK40">
            <v>0</v>
          </cell>
          <cell r="AL40">
            <v>5</v>
          </cell>
          <cell r="AM40">
            <v>0</v>
          </cell>
          <cell r="AN40">
            <v>5</v>
          </cell>
          <cell r="AO40">
            <v>0</v>
          </cell>
          <cell r="AP40">
            <v>5</v>
          </cell>
          <cell r="AQ40" t="str">
            <v>US_GB_00049</v>
          </cell>
          <cell r="AR40">
            <v>0</v>
          </cell>
          <cell r="AS40">
            <v>168</v>
          </cell>
          <cell r="AU40">
            <v>168</v>
          </cell>
          <cell r="AV40">
            <v>0</v>
          </cell>
          <cell r="AW40">
            <v>840</v>
          </cell>
          <cell r="AX40">
            <v>831.6</v>
          </cell>
          <cell r="AY40">
            <v>0</v>
          </cell>
          <cell r="AZ40">
            <v>840</v>
          </cell>
          <cell r="BA40">
            <v>831.6</v>
          </cell>
          <cell r="BB40">
            <v>840</v>
          </cell>
          <cell r="BC40">
            <v>0</v>
          </cell>
          <cell r="BD40">
            <v>0</v>
          </cell>
          <cell r="BE40">
            <v>0</v>
          </cell>
          <cell r="BG40">
            <v>831.6</v>
          </cell>
          <cell r="BI40">
            <v>831.6</v>
          </cell>
          <cell r="BJ40">
            <v>38640</v>
          </cell>
          <cell r="BK40">
            <v>38640</v>
          </cell>
          <cell r="BL40">
            <v>37800</v>
          </cell>
          <cell r="BM40">
            <v>0</v>
          </cell>
          <cell r="BN40">
            <v>0</v>
          </cell>
          <cell r="BO40">
            <v>0</v>
          </cell>
          <cell r="BP40">
            <v>37800</v>
          </cell>
          <cell r="BQ40">
            <v>0</v>
          </cell>
          <cell r="BR40">
            <v>840</v>
          </cell>
          <cell r="BT40">
            <v>2</v>
          </cell>
          <cell r="BU40">
            <v>1</v>
          </cell>
          <cell r="BV40" t="str">
            <v>Y</v>
          </cell>
          <cell r="BW40">
            <v>0</v>
          </cell>
          <cell r="BX40">
            <v>0</v>
          </cell>
          <cell r="BY40">
            <v>2026</v>
          </cell>
          <cell r="BZ40" t="str">
            <v>-</v>
          </cell>
          <cell r="CA40" t="str">
            <v>-</v>
          </cell>
        </row>
        <row r="41">
          <cell r="A41" t="str">
            <v>Lucknow</v>
          </cell>
          <cell r="B41" t="str">
            <v>Titans</v>
          </cell>
          <cell r="C41" t="str">
            <v>Mid Level</v>
          </cell>
          <cell r="D41" t="str">
            <v>Noor Beg</v>
          </cell>
          <cell r="E41" t="str">
            <v>-</v>
          </cell>
          <cell r="F41" t="str">
            <v>Non-MSP</v>
          </cell>
          <cell r="H41" t="str">
            <v>Pass Through</v>
          </cell>
          <cell r="J41" t="str">
            <v>ACH</v>
          </cell>
          <cell r="L41" t="str">
            <v>New</v>
          </cell>
          <cell r="M41">
            <v>46057</v>
          </cell>
          <cell r="N41">
            <v>145</v>
          </cell>
          <cell r="P41">
            <v>46422</v>
          </cell>
          <cell r="Q41" t="str">
            <v>PLC-Passthrough</v>
          </cell>
          <cell r="R41" t="str">
            <v>Anne Katrine Holst</v>
          </cell>
          <cell r="S41" t="str">
            <v>Individual</v>
          </cell>
          <cell r="T41" t="str">
            <v>C2C</v>
          </cell>
          <cell r="U41" t="str">
            <v>Genpact</v>
          </cell>
          <cell r="V41">
            <v>225</v>
          </cell>
          <cell r="W41">
            <v>0</v>
          </cell>
          <cell r="X41" t="str">
            <v>USD</v>
          </cell>
          <cell r="Y41">
            <v>230</v>
          </cell>
          <cell r="Z41">
            <v>0</v>
          </cell>
          <cell r="AA41">
            <v>0</v>
          </cell>
          <cell r="AB41">
            <v>0</v>
          </cell>
          <cell r="AC41">
            <v>46157</v>
          </cell>
          <cell r="AD41">
            <v>22</v>
          </cell>
          <cell r="AE41">
            <v>46387</v>
          </cell>
          <cell r="AF41">
            <v>225</v>
          </cell>
          <cell r="AG41">
            <v>0</v>
          </cell>
          <cell r="AH41">
            <v>225</v>
          </cell>
          <cell r="AI41">
            <v>230</v>
          </cell>
          <cell r="AJ41">
            <v>0</v>
          </cell>
          <cell r="AK41">
            <v>0</v>
          </cell>
          <cell r="AL41">
            <v>5</v>
          </cell>
          <cell r="AM41">
            <v>0</v>
          </cell>
          <cell r="AN41">
            <v>5</v>
          </cell>
          <cell r="AO41">
            <v>0</v>
          </cell>
          <cell r="AP41">
            <v>5</v>
          </cell>
          <cell r="AQ41" t="str">
            <v>US_GB_00055</v>
          </cell>
          <cell r="AR41">
            <v>0</v>
          </cell>
          <cell r="AS41">
            <v>116.5</v>
          </cell>
          <cell r="AU41">
            <v>116.5</v>
          </cell>
          <cell r="AV41">
            <v>0</v>
          </cell>
          <cell r="AW41">
            <v>582.5</v>
          </cell>
          <cell r="AX41">
            <v>576.67499999999995</v>
          </cell>
          <cell r="AY41">
            <v>0</v>
          </cell>
          <cell r="AZ41">
            <v>582.5</v>
          </cell>
          <cell r="BA41">
            <v>576.67499999999995</v>
          </cell>
          <cell r="BB41">
            <v>582.5</v>
          </cell>
          <cell r="BC41">
            <v>0</v>
          </cell>
          <cell r="BD41">
            <v>0</v>
          </cell>
          <cell r="BE41">
            <v>0</v>
          </cell>
          <cell r="BG41">
            <v>576.67499999999995</v>
          </cell>
          <cell r="BI41">
            <v>576.67499999999995</v>
          </cell>
          <cell r="BJ41">
            <v>26795</v>
          </cell>
          <cell r="BK41">
            <v>26795</v>
          </cell>
          <cell r="BL41">
            <v>26212.5</v>
          </cell>
          <cell r="BM41">
            <v>0</v>
          </cell>
          <cell r="BN41">
            <v>0</v>
          </cell>
          <cell r="BO41">
            <v>0</v>
          </cell>
          <cell r="BP41">
            <v>26212.5</v>
          </cell>
          <cell r="BQ41">
            <v>0</v>
          </cell>
          <cell r="BR41">
            <v>582.5</v>
          </cell>
          <cell r="BT41">
            <v>2</v>
          </cell>
          <cell r="BU41">
            <v>1</v>
          </cell>
          <cell r="BV41" t="str">
            <v>Y</v>
          </cell>
          <cell r="BW41">
            <v>0</v>
          </cell>
          <cell r="BX41">
            <v>0</v>
          </cell>
          <cell r="BY41">
            <v>2026</v>
          </cell>
          <cell r="BZ41" t="str">
            <v>-</v>
          </cell>
          <cell r="CA41" t="str">
            <v>-</v>
          </cell>
        </row>
        <row r="42">
          <cell r="A42" t="str">
            <v>Lucknow</v>
          </cell>
          <cell r="B42" t="str">
            <v>Trust</v>
          </cell>
          <cell r="C42" t="str">
            <v>Mid Level</v>
          </cell>
          <cell r="D42" t="str">
            <v>Shashank Yadav</v>
          </cell>
          <cell r="F42" t="str">
            <v>Non-MSP</v>
          </cell>
          <cell r="H42" t="str">
            <v>Mohd Akbar</v>
          </cell>
          <cell r="J42" t="str">
            <v>ACH</v>
          </cell>
          <cell r="L42" t="str">
            <v>New</v>
          </cell>
          <cell r="M42">
            <v>46162</v>
          </cell>
          <cell r="N42">
            <v>40</v>
          </cell>
          <cell r="P42">
            <v>46527</v>
          </cell>
          <cell r="R42" t="str">
            <v>Anthony Ray Lewis</v>
          </cell>
          <cell r="S42" t="str">
            <v>Individual</v>
          </cell>
          <cell r="T42" t="str">
            <v>W2</v>
          </cell>
          <cell r="U42" t="str">
            <v>HII</v>
          </cell>
          <cell r="V42">
            <v>47.11</v>
          </cell>
          <cell r="W42">
            <v>0</v>
          </cell>
          <cell r="X42" t="str">
            <v>USD</v>
          </cell>
          <cell r="Y42">
            <v>58.93</v>
          </cell>
          <cell r="Z42">
            <v>0</v>
          </cell>
          <cell r="AA42">
            <v>0</v>
          </cell>
          <cell r="AB42">
            <v>0</v>
          </cell>
          <cell r="AC42">
            <v>46157</v>
          </cell>
          <cell r="AD42">
            <v>8</v>
          </cell>
          <cell r="AE42">
            <v>46387</v>
          </cell>
          <cell r="AF42">
            <v>54.176499999999997</v>
          </cell>
          <cell r="AG42">
            <v>0</v>
          </cell>
          <cell r="AH42">
            <v>54.176499999999997</v>
          </cell>
          <cell r="AI42">
            <v>57.751399999999997</v>
          </cell>
          <cell r="AJ42">
            <v>0</v>
          </cell>
          <cell r="AK42">
            <v>0</v>
          </cell>
          <cell r="AL42">
            <v>3.5748999999999995</v>
          </cell>
          <cell r="AM42">
            <v>0</v>
          </cell>
          <cell r="AN42">
            <v>3.5748999999999995</v>
          </cell>
          <cell r="AO42">
            <v>0</v>
          </cell>
          <cell r="AP42">
            <v>3.5748999999999995</v>
          </cell>
          <cell r="AQ42" t="str">
            <v>HII134</v>
          </cell>
          <cell r="AR42">
            <v>0</v>
          </cell>
          <cell r="AS42">
            <v>54.5</v>
          </cell>
          <cell r="AU42">
            <v>54.5</v>
          </cell>
          <cell r="AV42">
            <v>0</v>
          </cell>
          <cell r="AW42">
            <v>194.83204999999998</v>
          </cell>
          <cell r="AX42">
            <v>192.88372949999999</v>
          </cell>
          <cell r="AY42">
            <v>0</v>
          </cell>
          <cell r="AZ42">
            <v>194.83204999999998</v>
          </cell>
          <cell r="BA42">
            <v>192.88372949999999</v>
          </cell>
          <cell r="BB42">
            <v>194.83204999999998</v>
          </cell>
          <cell r="BC42">
            <v>0</v>
          </cell>
          <cell r="BD42">
            <v>0</v>
          </cell>
          <cell r="BE42">
            <v>0</v>
          </cell>
          <cell r="BG42">
            <v>192.88372949999999</v>
          </cell>
          <cell r="BI42">
            <v>0</v>
          </cell>
          <cell r="BJ42">
            <v>3211.6849999999999</v>
          </cell>
          <cell r="BK42">
            <v>3147.4512999999997</v>
          </cell>
          <cell r="BL42">
            <v>2567.4949999999999</v>
          </cell>
          <cell r="BM42">
            <v>7.0664999999999996</v>
          </cell>
          <cell r="BN42">
            <v>0</v>
          </cell>
          <cell r="BO42">
            <v>385.12424999999996</v>
          </cell>
          <cell r="BP42">
            <v>2952.6192499999997</v>
          </cell>
          <cell r="BQ42">
            <v>7.0664999999999996</v>
          </cell>
          <cell r="BR42">
            <v>194.83204999999987</v>
          </cell>
          <cell r="BS42" t="str">
            <v>Y</v>
          </cell>
          <cell r="BT42">
            <v>2</v>
          </cell>
          <cell r="BU42">
            <v>2</v>
          </cell>
          <cell r="BV42" t="str">
            <v>N</v>
          </cell>
          <cell r="BW42">
            <v>0</v>
          </cell>
          <cell r="BX42">
            <v>0</v>
          </cell>
          <cell r="BY42">
            <v>2026</v>
          </cell>
          <cell r="BZ42" t="str">
            <v>-</v>
          </cell>
          <cell r="CA42" t="str">
            <v>-</v>
          </cell>
        </row>
        <row r="43">
          <cell r="A43" t="str">
            <v>Lucknow</v>
          </cell>
          <cell r="B43" t="str">
            <v>Mavericks</v>
          </cell>
          <cell r="C43" t="str">
            <v>Mid Level</v>
          </cell>
          <cell r="D43" t="str">
            <v>Kashif Nabi</v>
          </cell>
          <cell r="E43" t="str">
            <v>-</v>
          </cell>
          <cell r="F43" t="str">
            <v>Non-MSP</v>
          </cell>
          <cell r="H43" t="str">
            <v>Priyanka Sharma</v>
          </cell>
          <cell r="L43" t="str">
            <v>New</v>
          </cell>
          <cell r="M43">
            <v>46035</v>
          </cell>
          <cell r="N43">
            <v>167</v>
          </cell>
          <cell r="O43">
            <v>46124</v>
          </cell>
          <cell r="P43">
            <v>46400</v>
          </cell>
          <cell r="Q43" t="str">
            <v>PLC-4654</v>
          </cell>
          <cell r="R43" t="str">
            <v>Anusha Kiranmai Velidi</v>
          </cell>
          <cell r="S43" t="str">
            <v>Individual</v>
          </cell>
          <cell r="T43" t="str">
            <v>C2C</v>
          </cell>
          <cell r="U43" t="str">
            <v>Genpact</v>
          </cell>
          <cell r="V43">
            <v>80</v>
          </cell>
          <cell r="W43">
            <v>0</v>
          </cell>
          <cell r="X43" t="str">
            <v>USD</v>
          </cell>
          <cell r="Y43">
            <v>85</v>
          </cell>
          <cell r="Z43">
            <v>0</v>
          </cell>
          <cell r="AA43">
            <v>0</v>
          </cell>
          <cell r="AB43">
            <v>0</v>
          </cell>
          <cell r="AC43">
            <v>46037</v>
          </cell>
          <cell r="AD43">
            <v>14</v>
          </cell>
          <cell r="AE43">
            <v>46387</v>
          </cell>
          <cell r="AF43">
            <v>80</v>
          </cell>
          <cell r="AG43">
            <v>0</v>
          </cell>
          <cell r="AH43">
            <v>80</v>
          </cell>
          <cell r="AI43">
            <v>85</v>
          </cell>
          <cell r="AJ43">
            <v>0</v>
          </cell>
          <cell r="AK43">
            <v>0</v>
          </cell>
          <cell r="AL43">
            <v>5</v>
          </cell>
          <cell r="AM43">
            <v>0</v>
          </cell>
          <cell r="AN43">
            <v>5</v>
          </cell>
          <cell r="AO43">
            <v>0</v>
          </cell>
          <cell r="AP43">
            <v>5</v>
          </cell>
          <cell r="AQ43" t="str">
            <v>US_26943</v>
          </cell>
          <cell r="AR43">
            <v>0</v>
          </cell>
          <cell r="AS43">
            <v>112</v>
          </cell>
          <cell r="AU43">
            <v>112</v>
          </cell>
          <cell r="AV43">
            <v>0</v>
          </cell>
          <cell r="AW43">
            <v>560</v>
          </cell>
          <cell r="AX43">
            <v>560</v>
          </cell>
          <cell r="AY43">
            <v>0</v>
          </cell>
          <cell r="AZ43">
            <v>560</v>
          </cell>
          <cell r="BA43">
            <v>560</v>
          </cell>
          <cell r="BB43">
            <v>560</v>
          </cell>
          <cell r="BC43">
            <v>0</v>
          </cell>
          <cell r="BD43">
            <v>0</v>
          </cell>
          <cell r="BE43">
            <v>0</v>
          </cell>
          <cell r="BG43">
            <v>560</v>
          </cell>
          <cell r="BI43">
            <v>560</v>
          </cell>
          <cell r="BJ43">
            <v>9520</v>
          </cell>
          <cell r="BK43">
            <v>9520</v>
          </cell>
          <cell r="BL43">
            <v>8960</v>
          </cell>
          <cell r="BM43">
            <v>0</v>
          </cell>
          <cell r="BN43">
            <v>0</v>
          </cell>
          <cell r="BO43">
            <v>0</v>
          </cell>
          <cell r="BP43">
            <v>8960</v>
          </cell>
          <cell r="BQ43">
            <v>0</v>
          </cell>
          <cell r="BR43">
            <v>560</v>
          </cell>
          <cell r="BS43" t="str">
            <v>Y</v>
          </cell>
          <cell r="BT43">
            <v>1</v>
          </cell>
          <cell r="BU43">
            <v>1</v>
          </cell>
          <cell r="BV43" t="str">
            <v>Y</v>
          </cell>
          <cell r="BW43">
            <v>0</v>
          </cell>
          <cell r="BX43">
            <v>0</v>
          </cell>
          <cell r="BY43">
            <v>2026</v>
          </cell>
          <cell r="BZ43" t="str">
            <v>-</v>
          </cell>
          <cell r="CA43" t="str">
            <v>-</v>
          </cell>
        </row>
        <row r="44">
          <cell r="A44" t="str">
            <v>Lucknow</v>
          </cell>
          <cell r="B44" t="str">
            <v>Mavericks</v>
          </cell>
          <cell r="C44" t="str">
            <v>Mid Level</v>
          </cell>
          <cell r="D44" t="str">
            <v>Kashif Nabi</v>
          </cell>
          <cell r="E44" t="str">
            <v>-</v>
          </cell>
          <cell r="F44" t="str">
            <v>Non-MSP</v>
          </cell>
          <cell r="H44" t="str">
            <v>Priyanka Sharma</v>
          </cell>
          <cell r="L44" t="str">
            <v>New</v>
          </cell>
          <cell r="M44">
            <v>46035</v>
          </cell>
          <cell r="N44">
            <v>167</v>
          </cell>
          <cell r="O44">
            <v>46124</v>
          </cell>
          <cell r="P44">
            <v>46400</v>
          </cell>
          <cell r="Q44" t="str">
            <v>PLC-4654</v>
          </cell>
          <cell r="R44" t="str">
            <v>Anusha Kiranmai Velidi</v>
          </cell>
          <cell r="S44" t="str">
            <v>Individual</v>
          </cell>
          <cell r="T44" t="str">
            <v>C2C</v>
          </cell>
          <cell r="U44" t="str">
            <v>Genpact</v>
          </cell>
          <cell r="V44">
            <v>80</v>
          </cell>
          <cell r="W44">
            <v>0</v>
          </cell>
          <cell r="X44" t="str">
            <v>USD</v>
          </cell>
          <cell r="Y44">
            <v>85</v>
          </cell>
          <cell r="Z44">
            <v>0</v>
          </cell>
          <cell r="AA44">
            <v>0</v>
          </cell>
          <cell r="AB44">
            <v>0</v>
          </cell>
          <cell r="AC44">
            <v>46068</v>
          </cell>
          <cell r="AD44">
            <v>20</v>
          </cell>
          <cell r="AE44">
            <v>46387</v>
          </cell>
          <cell r="AF44">
            <v>80</v>
          </cell>
          <cell r="AG44">
            <v>0</v>
          </cell>
          <cell r="AH44">
            <v>80</v>
          </cell>
          <cell r="AI44">
            <v>85</v>
          </cell>
          <cell r="AJ44">
            <v>0</v>
          </cell>
          <cell r="AK44">
            <v>0</v>
          </cell>
          <cell r="AL44">
            <v>5</v>
          </cell>
          <cell r="AM44">
            <v>0</v>
          </cell>
          <cell r="AN44">
            <v>5</v>
          </cell>
          <cell r="AO44">
            <v>0</v>
          </cell>
          <cell r="AP44">
            <v>5</v>
          </cell>
          <cell r="AQ44" t="str">
            <v>US_27089</v>
          </cell>
          <cell r="AR44">
            <v>0</v>
          </cell>
          <cell r="AS44">
            <v>144</v>
          </cell>
          <cell r="AU44">
            <v>144</v>
          </cell>
          <cell r="AV44">
            <v>0</v>
          </cell>
          <cell r="AW44">
            <v>720</v>
          </cell>
          <cell r="AX44">
            <v>720</v>
          </cell>
          <cell r="AY44">
            <v>0</v>
          </cell>
          <cell r="AZ44">
            <v>720</v>
          </cell>
          <cell r="BA44">
            <v>720</v>
          </cell>
          <cell r="BB44">
            <v>720</v>
          </cell>
          <cell r="BC44">
            <v>0</v>
          </cell>
          <cell r="BD44">
            <v>0</v>
          </cell>
          <cell r="BE44">
            <v>0</v>
          </cell>
          <cell r="BG44">
            <v>720</v>
          </cell>
          <cell r="BI44">
            <v>720</v>
          </cell>
          <cell r="BJ44">
            <v>12240</v>
          </cell>
          <cell r="BK44">
            <v>12240</v>
          </cell>
          <cell r="BL44">
            <v>11520</v>
          </cell>
          <cell r="BM44">
            <v>0</v>
          </cell>
          <cell r="BN44">
            <v>0</v>
          </cell>
          <cell r="BO44">
            <v>0</v>
          </cell>
          <cell r="BP44">
            <v>11520</v>
          </cell>
          <cell r="BQ44">
            <v>0</v>
          </cell>
          <cell r="BR44">
            <v>720</v>
          </cell>
          <cell r="BS44" t="str">
            <v>Y</v>
          </cell>
          <cell r="BT44">
            <v>1</v>
          </cell>
          <cell r="BU44">
            <v>1</v>
          </cell>
          <cell r="BV44" t="str">
            <v>Y</v>
          </cell>
          <cell r="BW44">
            <v>0</v>
          </cell>
          <cell r="BX44">
            <v>0</v>
          </cell>
          <cell r="BY44">
            <v>2026</v>
          </cell>
          <cell r="BZ44" t="str">
            <v>-</v>
          </cell>
          <cell r="CA44" t="str">
            <v>-</v>
          </cell>
        </row>
        <row r="45">
          <cell r="A45" t="str">
            <v>Lucknow</v>
          </cell>
          <cell r="B45" t="str">
            <v>Mavericks</v>
          </cell>
          <cell r="C45" t="str">
            <v>Mid Level</v>
          </cell>
          <cell r="D45" t="str">
            <v>Kashif Nabi</v>
          </cell>
          <cell r="E45" t="str">
            <v>-</v>
          </cell>
          <cell r="F45" t="str">
            <v>Non-MSP</v>
          </cell>
          <cell r="H45" t="str">
            <v>Priyanka Sharma</v>
          </cell>
          <cell r="L45" t="str">
            <v>New</v>
          </cell>
          <cell r="M45">
            <v>46035</v>
          </cell>
          <cell r="N45">
            <v>167</v>
          </cell>
          <cell r="O45">
            <v>46124</v>
          </cell>
          <cell r="P45">
            <v>46400</v>
          </cell>
          <cell r="Q45" t="str">
            <v>PLC-4654</v>
          </cell>
          <cell r="R45" t="str">
            <v>Anusha Kiranmai Velidi</v>
          </cell>
          <cell r="S45" t="str">
            <v>Individual</v>
          </cell>
          <cell r="T45" t="str">
            <v>C2C</v>
          </cell>
          <cell r="U45" t="str">
            <v>Genpact</v>
          </cell>
          <cell r="V45">
            <v>80</v>
          </cell>
          <cell r="W45">
            <v>0</v>
          </cell>
          <cell r="X45" t="str">
            <v>USD</v>
          </cell>
          <cell r="Y45">
            <v>85</v>
          </cell>
          <cell r="Z45">
            <v>0</v>
          </cell>
          <cell r="AA45">
            <v>0</v>
          </cell>
          <cell r="AB45">
            <v>0</v>
          </cell>
          <cell r="AC45">
            <v>46096</v>
          </cell>
          <cell r="AD45">
            <v>22</v>
          </cell>
          <cell r="AE45">
            <v>46387</v>
          </cell>
          <cell r="AF45">
            <v>80</v>
          </cell>
          <cell r="AG45">
            <v>0</v>
          </cell>
          <cell r="AH45">
            <v>80</v>
          </cell>
          <cell r="AI45">
            <v>85</v>
          </cell>
          <cell r="AJ45">
            <v>0</v>
          </cell>
          <cell r="AK45">
            <v>0</v>
          </cell>
          <cell r="AL45">
            <v>5</v>
          </cell>
          <cell r="AM45">
            <v>0</v>
          </cell>
          <cell r="AN45">
            <v>5</v>
          </cell>
          <cell r="AO45">
            <v>0</v>
          </cell>
          <cell r="AP45">
            <v>5</v>
          </cell>
          <cell r="AQ45" t="str">
            <v>US_27214</v>
          </cell>
          <cell r="AR45">
            <v>0</v>
          </cell>
          <cell r="AS45">
            <v>176</v>
          </cell>
          <cell r="AU45">
            <v>176</v>
          </cell>
          <cell r="AV45">
            <v>0</v>
          </cell>
          <cell r="AW45">
            <v>880</v>
          </cell>
          <cell r="AX45">
            <v>880</v>
          </cell>
          <cell r="AY45">
            <v>0</v>
          </cell>
          <cell r="AZ45">
            <v>880</v>
          </cell>
          <cell r="BA45">
            <v>880</v>
          </cell>
          <cell r="BB45">
            <v>880</v>
          </cell>
          <cell r="BC45">
            <v>0</v>
          </cell>
          <cell r="BD45">
            <v>0</v>
          </cell>
          <cell r="BE45">
            <v>0</v>
          </cell>
          <cell r="BG45">
            <v>880</v>
          </cell>
          <cell r="BI45">
            <v>880</v>
          </cell>
          <cell r="BJ45">
            <v>14960</v>
          </cell>
          <cell r="BK45">
            <v>14960</v>
          </cell>
          <cell r="BL45">
            <v>14080</v>
          </cell>
          <cell r="BM45">
            <v>0</v>
          </cell>
          <cell r="BN45">
            <v>0</v>
          </cell>
          <cell r="BO45">
            <v>0</v>
          </cell>
          <cell r="BP45">
            <v>14080</v>
          </cell>
          <cell r="BQ45">
            <v>0</v>
          </cell>
          <cell r="BR45">
            <v>880</v>
          </cell>
          <cell r="BS45" t="str">
            <v>Y</v>
          </cell>
          <cell r="BT45">
            <v>1</v>
          </cell>
          <cell r="BU45">
            <v>1</v>
          </cell>
          <cell r="BV45" t="str">
            <v>Y</v>
          </cell>
          <cell r="BW45">
            <v>0</v>
          </cell>
          <cell r="BX45">
            <v>0</v>
          </cell>
          <cell r="BY45">
            <v>2026</v>
          </cell>
          <cell r="BZ45" t="str">
            <v>-</v>
          </cell>
          <cell r="CA45" t="str">
            <v>-</v>
          </cell>
        </row>
        <row r="46">
          <cell r="A46" t="str">
            <v>Lucknow</v>
          </cell>
          <cell r="B46" t="str">
            <v>Mavericks</v>
          </cell>
          <cell r="C46" t="str">
            <v>Mid Level</v>
          </cell>
          <cell r="D46" t="str">
            <v>Kashif Nabi</v>
          </cell>
          <cell r="E46" t="str">
            <v>-</v>
          </cell>
          <cell r="F46" t="str">
            <v>Non-MSP</v>
          </cell>
          <cell r="H46" t="str">
            <v>Priyanka Sharma</v>
          </cell>
          <cell r="J46" t="str">
            <v>ACH</v>
          </cell>
          <cell r="L46" t="str">
            <v>New</v>
          </cell>
          <cell r="M46">
            <v>46035</v>
          </cell>
          <cell r="N46">
            <v>167</v>
          </cell>
          <cell r="O46">
            <v>46124</v>
          </cell>
          <cell r="P46">
            <v>46400</v>
          </cell>
          <cell r="Q46" t="str">
            <v>PLC-4654</v>
          </cell>
          <cell r="R46" t="str">
            <v>Anusha Kiranmai Velidi</v>
          </cell>
          <cell r="S46" t="str">
            <v>Individual</v>
          </cell>
          <cell r="T46" t="str">
            <v>C2C</v>
          </cell>
          <cell r="U46" t="str">
            <v>Genpact</v>
          </cell>
          <cell r="V46">
            <v>80</v>
          </cell>
          <cell r="W46">
            <v>0</v>
          </cell>
          <cell r="X46" t="str">
            <v>USD</v>
          </cell>
          <cell r="Y46">
            <v>85</v>
          </cell>
          <cell r="Z46">
            <v>0</v>
          </cell>
          <cell r="AA46">
            <v>0</v>
          </cell>
          <cell r="AB46">
            <v>0</v>
          </cell>
          <cell r="AC46">
            <v>46127</v>
          </cell>
          <cell r="AD46">
            <v>22</v>
          </cell>
          <cell r="AE46">
            <v>46387</v>
          </cell>
          <cell r="AF46">
            <v>80</v>
          </cell>
          <cell r="AG46">
            <v>0</v>
          </cell>
          <cell r="AH46">
            <v>80</v>
          </cell>
          <cell r="AI46">
            <v>85</v>
          </cell>
          <cell r="AJ46">
            <v>0</v>
          </cell>
          <cell r="AK46">
            <v>0</v>
          </cell>
          <cell r="AL46">
            <v>5</v>
          </cell>
          <cell r="AM46">
            <v>0</v>
          </cell>
          <cell r="AN46">
            <v>5</v>
          </cell>
          <cell r="AO46">
            <v>0</v>
          </cell>
          <cell r="AP46">
            <v>5</v>
          </cell>
          <cell r="AQ46" t="str">
            <v>US_27465</v>
          </cell>
          <cell r="AR46">
            <v>0</v>
          </cell>
          <cell r="AS46">
            <v>168</v>
          </cell>
          <cell r="AU46">
            <v>168</v>
          </cell>
          <cell r="AV46">
            <v>0</v>
          </cell>
          <cell r="AW46">
            <v>840</v>
          </cell>
          <cell r="AX46">
            <v>831.6</v>
          </cell>
          <cell r="AY46">
            <v>0</v>
          </cell>
          <cell r="AZ46">
            <v>840</v>
          </cell>
          <cell r="BA46">
            <v>831.6</v>
          </cell>
          <cell r="BB46">
            <v>840</v>
          </cell>
          <cell r="BC46">
            <v>0</v>
          </cell>
          <cell r="BD46">
            <v>0</v>
          </cell>
          <cell r="BE46">
            <v>0</v>
          </cell>
          <cell r="BG46">
            <v>831.6</v>
          </cell>
          <cell r="BI46">
            <v>831.6</v>
          </cell>
          <cell r="BJ46">
            <v>14280</v>
          </cell>
          <cell r="BK46">
            <v>14280</v>
          </cell>
          <cell r="BL46">
            <v>13440</v>
          </cell>
          <cell r="BM46">
            <v>0</v>
          </cell>
          <cell r="BN46">
            <v>0</v>
          </cell>
          <cell r="BO46">
            <v>0</v>
          </cell>
          <cell r="BP46">
            <v>13440</v>
          </cell>
          <cell r="BQ46">
            <v>0</v>
          </cell>
          <cell r="BR46">
            <v>840</v>
          </cell>
          <cell r="BT46">
            <v>2</v>
          </cell>
          <cell r="BU46">
            <v>1</v>
          </cell>
          <cell r="BV46" t="str">
            <v>Y</v>
          </cell>
          <cell r="BW46">
            <v>0</v>
          </cell>
          <cell r="BX46">
            <v>0</v>
          </cell>
          <cell r="BY46">
            <v>2026</v>
          </cell>
          <cell r="BZ46" t="str">
            <v>-</v>
          </cell>
          <cell r="CA46" t="str">
            <v>-</v>
          </cell>
        </row>
        <row r="47">
          <cell r="A47" t="str">
            <v>Lucknow</v>
          </cell>
          <cell r="B47" t="str">
            <v>Titans</v>
          </cell>
          <cell r="C47" t="str">
            <v>Mid Level</v>
          </cell>
          <cell r="D47" t="str">
            <v>Nitin Saxena</v>
          </cell>
          <cell r="F47" t="str">
            <v>Non-MSP</v>
          </cell>
          <cell r="H47" t="str">
            <v>Hamza Ali</v>
          </cell>
          <cell r="J47" t="str">
            <v>ACH</v>
          </cell>
          <cell r="L47" t="str">
            <v>New</v>
          </cell>
          <cell r="M47">
            <v>46132</v>
          </cell>
          <cell r="N47">
            <v>70</v>
          </cell>
          <cell r="O47">
            <v>46140</v>
          </cell>
          <cell r="P47">
            <v>46497</v>
          </cell>
          <cell r="Q47" t="str">
            <v>PLC-4851</v>
          </cell>
          <cell r="R47" t="str">
            <v>Artem Pavlovich Osiptsov</v>
          </cell>
          <cell r="S47" t="str">
            <v>Individual</v>
          </cell>
          <cell r="T47">
            <v>1099</v>
          </cell>
          <cell r="U47" t="str">
            <v>Genpact</v>
          </cell>
          <cell r="V47">
            <v>40</v>
          </cell>
          <cell r="W47">
            <v>0</v>
          </cell>
          <cell r="X47" t="str">
            <v>USD</v>
          </cell>
          <cell r="Y47">
            <v>50</v>
          </cell>
          <cell r="Z47">
            <v>0</v>
          </cell>
          <cell r="AA47">
            <v>0</v>
          </cell>
          <cell r="AB47">
            <v>0</v>
          </cell>
          <cell r="AC47">
            <v>46127</v>
          </cell>
          <cell r="AD47">
            <v>9</v>
          </cell>
          <cell r="AE47">
            <v>46387</v>
          </cell>
          <cell r="AF47">
            <v>42.800000000000004</v>
          </cell>
          <cell r="AG47">
            <v>0</v>
          </cell>
          <cell r="AH47">
            <v>42.800000000000004</v>
          </cell>
          <cell r="AI47">
            <v>50</v>
          </cell>
          <cell r="AJ47">
            <v>0</v>
          </cell>
          <cell r="AK47">
            <v>0</v>
          </cell>
          <cell r="AL47">
            <v>7.1999999999999957</v>
          </cell>
          <cell r="AM47">
            <v>0</v>
          </cell>
          <cell r="AN47">
            <v>7.1999999999999957</v>
          </cell>
          <cell r="AO47">
            <v>0</v>
          </cell>
          <cell r="AP47">
            <v>7.1999999999999957</v>
          </cell>
          <cell r="AU47">
            <v>72</v>
          </cell>
          <cell r="BB47">
            <v>518.39999999999964</v>
          </cell>
          <cell r="BC47">
            <v>50</v>
          </cell>
          <cell r="BI47">
            <v>0</v>
          </cell>
          <cell r="BK47">
            <v>3600</v>
          </cell>
          <cell r="BL47">
            <v>2880</v>
          </cell>
          <cell r="BM47">
            <v>2.8000000000000003</v>
          </cell>
          <cell r="BN47">
            <v>0</v>
          </cell>
          <cell r="BO47">
            <v>201.60000000000002</v>
          </cell>
          <cell r="BP47">
            <v>3081.6</v>
          </cell>
          <cell r="BQ47">
            <v>2.8000000000000003</v>
          </cell>
          <cell r="BR47">
            <v>518.4</v>
          </cell>
          <cell r="BT47">
            <v>2</v>
          </cell>
          <cell r="BU47">
            <v>2</v>
          </cell>
          <cell r="BV47" t="str">
            <v>Y</v>
          </cell>
          <cell r="BY47">
            <v>2026</v>
          </cell>
          <cell r="BZ47" t="str">
            <v>-</v>
          </cell>
          <cell r="CA47" t="str">
            <v>-</v>
          </cell>
        </row>
        <row r="48">
          <cell r="A48" t="str">
            <v>Lucknow</v>
          </cell>
          <cell r="B48" t="str">
            <v>Mavericks</v>
          </cell>
          <cell r="C48" t="str">
            <v>Mid Level</v>
          </cell>
          <cell r="D48" t="str">
            <v>Rohit Gupta</v>
          </cell>
          <cell r="E48" t="str">
            <v>Vivek Yadav</v>
          </cell>
          <cell r="F48" t="str">
            <v>Non-MSP</v>
          </cell>
          <cell r="H48" t="str">
            <v>Pass Through</v>
          </cell>
          <cell r="L48" t="str">
            <v>New</v>
          </cell>
          <cell r="M48">
            <v>46034</v>
          </cell>
          <cell r="N48">
            <v>168</v>
          </cell>
          <cell r="P48">
            <v>46399</v>
          </cell>
          <cell r="Q48" t="str">
            <v>PLC-Passthrough</v>
          </cell>
          <cell r="R48" t="str">
            <v>Arunkumar Janarthanan</v>
          </cell>
          <cell r="S48" t="str">
            <v>Individual</v>
          </cell>
          <cell r="T48" t="str">
            <v>C2C Canada</v>
          </cell>
          <cell r="U48" t="str">
            <v>CoForge</v>
          </cell>
          <cell r="V48">
            <v>78</v>
          </cell>
          <cell r="W48">
            <v>0</v>
          </cell>
          <cell r="X48" t="str">
            <v>CAD</v>
          </cell>
          <cell r="Y48">
            <v>79</v>
          </cell>
          <cell r="Z48">
            <v>0</v>
          </cell>
          <cell r="AA48">
            <v>0</v>
          </cell>
          <cell r="AB48">
            <v>0</v>
          </cell>
          <cell r="AC48">
            <v>46037</v>
          </cell>
          <cell r="AD48">
            <v>15</v>
          </cell>
          <cell r="AE48">
            <v>46387</v>
          </cell>
          <cell r="AF48">
            <v>55.379999999999995</v>
          </cell>
          <cell r="AG48">
            <v>0</v>
          </cell>
          <cell r="AH48">
            <v>55.379999999999995</v>
          </cell>
          <cell r="AI48">
            <v>56.089999999999996</v>
          </cell>
          <cell r="AJ48">
            <v>0</v>
          </cell>
          <cell r="AK48">
            <v>0</v>
          </cell>
          <cell r="AL48">
            <v>0.71000000000000085</v>
          </cell>
          <cell r="AM48">
            <v>0</v>
          </cell>
          <cell r="AN48">
            <v>0.71000000000000085</v>
          </cell>
          <cell r="AO48">
            <v>0</v>
          </cell>
          <cell r="AP48">
            <v>0.71000000000000085</v>
          </cell>
          <cell r="AQ48" t="str">
            <v>CAD_1932</v>
          </cell>
          <cell r="AR48">
            <v>0</v>
          </cell>
          <cell r="AS48">
            <v>120</v>
          </cell>
          <cell r="AU48">
            <v>120</v>
          </cell>
          <cell r="AV48">
            <v>0</v>
          </cell>
          <cell r="AW48">
            <v>85.200000000000102</v>
          </cell>
          <cell r="AX48">
            <v>85.200000000000102</v>
          </cell>
          <cell r="AY48">
            <v>0</v>
          </cell>
          <cell r="AZ48">
            <v>85.200000000000102</v>
          </cell>
          <cell r="BA48">
            <v>85.200000000000102</v>
          </cell>
          <cell r="BB48">
            <v>85.200000000000102</v>
          </cell>
          <cell r="BC48">
            <v>0</v>
          </cell>
          <cell r="BD48">
            <v>0</v>
          </cell>
          <cell r="BE48">
            <v>0</v>
          </cell>
          <cell r="BG48">
            <v>85.200000000000102</v>
          </cell>
          <cell r="BI48">
            <v>85.200000000000102</v>
          </cell>
          <cell r="BJ48">
            <v>9480</v>
          </cell>
          <cell r="BK48">
            <v>6730.7999999999993</v>
          </cell>
          <cell r="BL48">
            <v>6934.8239999999996</v>
          </cell>
          <cell r="BM48">
            <v>0</v>
          </cell>
          <cell r="BN48">
            <v>0</v>
          </cell>
          <cell r="BO48">
            <v>0</v>
          </cell>
          <cell r="BP48">
            <v>6934.8239999999996</v>
          </cell>
          <cell r="BQ48">
            <v>0</v>
          </cell>
          <cell r="BR48">
            <v>-204.02400000000034</v>
          </cell>
          <cell r="BS48" t="str">
            <v>Y</v>
          </cell>
          <cell r="BT48">
            <v>1</v>
          </cell>
          <cell r="BU48">
            <v>1</v>
          </cell>
          <cell r="BV48" t="str">
            <v>Y</v>
          </cell>
          <cell r="BW48">
            <v>0</v>
          </cell>
          <cell r="BX48">
            <v>0</v>
          </cell>
          <cell r="BY48">
            <v>2026</v>
          </cell>
          <cell r="BZ48" t="str">
            <v>-</v>
          </cell>
          <cell r="CA48" t="str">
            <v>-</v>
          </cell>
        </row>
        <row r="49">
          <cell r="A49" t="str">
            <v>Lucknow</v>
          </cell>
          <cell r="B49" t="str">
            <v>Mavericks</v>
          </cell>
          <cell r="C49" t="str">
            <v>Mid Level</v>
          </cell>
          <cell r="D49" t="str">
            <v>Rohit Gupta</v>
          </cell>
          <cell r="E49" t="str">
            <v>Vivek Yadav</v>
          </cell>
          <cell r="F49" t="str">
            <v>Non-MSP</v>
          </cell>
          <cell r="H49" t="str">
            <v>Pass Through</v>
          </cell>
          <cell r="L49" t="str">
            <v>New</v>
          </cell>
          <cell r="M49">
            <v>46034</v>
          </cell>
          <cell r="N49">
            <v>168</v>
          </cell>
          <cell r="P49">
            <v>46399</v>
          </cell>
          <cell r="Q49" t="str">
            <v>PLC-Passthrough</v>
          </cell>
          <cell r="R49" t="str">
            <v>Arunkumar Janarthanan</v>
          </cell>
          <cell r="S49" t="str">
            <v>Individual</v>
          </cell>
          <cell r="T49" t="str">
            <v>C2C Canada</v>
          </cell>
          <cell r="U49" t="str">
            <v>CoForge</v>
          </cell>
          <cell r="V49">
            <v>78</v>
          </cell>
          <cell r="W49">
            <v>0</v>
          </cell>
          <cell r="X49" t="str">
            <v>CAD</v>
          </cell>
          <cell r="Y49">
            <v>79</v>
          </cell>
          <cell r="Z49">
            <v>0</v>
          </cell>
          <cell r="AA49">
            <v>0</v>
          </cell>
          <cell r="AB49">
            <v>0</v>
          </cell>
          <cell r="AC49">
            <v>46068</v>
          </cell>
          <cell r="AD49">
            <v>20</v>
          </cell>
          <cell r="AE49">
            <v>46387</v>
          </cell>
          <cell r="AF49">
            <v>55.379999999999995</v>
          </cell>
          <cell r="AG49">
            <v>0</v>
          </cell>
          <cell r="AH49">
            <v>55.379999999999995</v>
          </cell>
          <cell r="AI49">
            <v>56.089999999999996</v>
          </cell>
          <cell r="AJ49">
            <v>0</v>
          </cell>
          <cell r="AK49">
            <v>0</v>
          </cell>
          <cell r="AL49">
            <v>0.71000000000000085</v>
          </cell>
          <cell r="AM49">
            <v>0</v>
          </cell>
          <cell r="AN49">
            <v>0.71000000000000085</v>
          </cell>
          <cell r="AO49">
            <v>0</v>
          </cell>
          <cell r="AP49">
            <v>0.71000000000000085</v>
          </cell>
          <cell r="AQ49" t="str">
            <v>CAD_1947</v>
          </cell>
          <cell r="AR49">
            <v>0</v>
          </cell>
          <cell r="AS49">
            <v>152</v>
          </cell>
          <cell r="AU49">
            <v>152</v>
          </cell>
          <cell r="AV49">
            <v>0</v>
          </cell>
          <cell r="AW49">
            <v>107.92000000000013</v>
          </cell>
          <cell r="AX49">
            <v>107.92000000000013</v>
          </cell>
          <cell r="AY49">
            <v>0</v>
          </cell>
          <cell r="AZ49">
            <v>107.92000000000013</v>
          </cell>
          <cell r="BA49">
            <v>107.92000000000013</v>
          </cell>
          <cell r="BB49">
            <v>107.92000000000013</v>
          </cell>
          <cell r="BC49">
            <v>0</v>
          </cell>
          <cell r="BD49">
            <v>0</v>
          </cell>
          <cell r="BE49">
            <v>0</v>
          </cell>
          <cell r="BG49">
            <v>107.92000000000013</v>
          </cell>
          <cell r="BI49">
            <v>107.92000000000013</v>
          </cell>
          <cell r="BJ49">
            <v>12008</v>
          </cell>
          <cell r="BK49">
            <v>8525.68</v>
          </cell>
          <cell r="BL49">
            <v>8784.1103999999996</v>
          </cell>
          <cell r="BM49">
            <v>0</v>
          </cell>
          <cell r="BN49">
            <v>0</v>
          </cell>
          <cell r="BO49">
            <v>0</v>
          </cell>
          <cell r="BP49">
            <v>8784.1103999999996</v>
          </cell>
          <cell r="BQ49">
            <v>0</v>
          </cell>
          <cell r="BR49">
            <v>-258.43039999999928</v>
          </cell>
          <cell r="BS49" t="str">
            <v>Y</v>
          </cell>
          <cell r="BT49">
            <v>1</v>
          </cell>
          <cell r="BU49">
            <v>1</v>
          </cell>
          <cell r="BV49" t="str">
            <v>Y</v>
          </cell>
          <cell r="BW49">
            <v>0</v>
          </cell>
          <cell r="BX49">
            <v>0</v>
          </cell>
          <cell r="BY49">
            <v>2026</v>
          </cell>
          <cell r="BZ49" t="str">
            <v>-</v>
          </cell>
          <cell r="CA49" t="str">
            <v>-</v>
          </cell>
        </row>
        <row r="50">
          <cell r="A50" t="str">
            <v>Lucknow</v>
          </cell>
          <cell r="B50" t="str">
            <v>Mavericks</v>
          </cell>
          <cell r="C50" t="str">
            <v>Mid Level</v>
          </cell>
          <cell r="D50" t="str">
            <v>Rohit Gupta</v>
          </cell>
          <cell r="E50" t="str">
            <v>Vivek Yadav</v>
          </cell>
          <cell r="F50" t="str">
            <v>Non-MSP</v>
          </cell>
          <cell r="H50" t="str">
            <v>Pass Through</v>
          </cell>
          <cell r="L50" t="str">
            <v>New</v>
          </cell>
          <cell r="M50">
            <v>46034</v>
          </cell>
          <cell r="N50">
            <v>168</v>
          </cell>
          <cell r="P50">
            <v>46399</v>
          </cell>
          <cell r="Q50" t="str">
            <v>PLC-Passthrough</v>
          </cell>
          <cell r="R50" t="str">
            <v>Arunkumar Janarthanan</v>
          </cell>
          <cell r="S50" t="str">
            <v>Individual</v>
          </cell>
          <cell r="T50" t="str">
            <v>C2C Canada</v>
          </cell>
          <cell r="U50" t="str">
            <v>CoForge</v>
          </cell>
          <cell r="V50">
            <v>78</v>
          </cell>
          <cell r="W50">
            <v>0</v>
          </cell>
          <cell r="X50" t="str">
            <v>CAD</v>
          </cell>
          <cell r="Y50">
            <v>79</v>
          </cell>
          <cell r="Z50">
            <v>0</v>
          </cell>
          <cell r="AA50">
            <v>0</v>
          </cell>
          <cell r="AB50">
            <v>0</v>
          </cell>
          <cell r="AC50">
            <v>46096</v>
          </cell>
          <cell r="AD50">
            <v>22</v>
          </cell>
          <cell r="AE50">
            <v>46387</v>
          </cell>
          <cell r="AF50">
            <v>55.379999999999995</v>
          </cell>
          <cell r="AG50">
            <v>0</v>
          </cell>
          <cell r="AH50">
            <v>55.379999999999995</v>
          </cell>
          <cell r="AI50">
            <v>56.089999999999996</v>
          </cell>
          <cell r="AJ50">
            <v>0</v>
          </cell>
          <cell r="AK50">
            <v>0</v>
          </cell>
          <cell r="AL50">
            <v>0.71000000000000085</v>
          </cell>
          <cell r="AM50">
            <v>0</v>
          </cell>
          <cell r="AN50">
            <v>0.71000000000000085</v>
          </cell>
          <cell r="AO50">
            <v>0</v>
          </cell>
          <cell r="AP50">
            <v>0.71000000000000085</v>
          </cell>
          <cell r="AQ50" t="str">
            <v>CAD_2000</v>
          </cell>
          <cell r="AR50">
            <v>0</v>
          </cell>
          <cell r="AS50">
            <v>176</v>
          </cell>
          <cell r="AU50">
            <v>176</v>
          </cell>
          <cell r="AV50">
            <v>0</v>
          </cell>
          <cell r="AW50">
            <v>124.96000000000015</v>
          </cell>
          <cell r="AX50">
            <v>124.96000000000015</v>
          </cell>
          <cell r="AY50">
            <v>0</v>
          </cell>
          <cell r="AZ50">
            <v>124.96000000000015</v>
          </cell>
          <cell r="BA50">
            <v>124.96000000000015</v>
          </cell>
          <cell r="BB50">
            <v>124.96000000000015</v>
          </cell>
          <cell r="BC50">
            <v>0</v>
          </cell>
          <cell r="BD50">
            <v>0</v>
          </cell>
          <cell r="BE50">
            <v>0</v>
          </cell>
          <cell r="BG50">
            <v>124.96000000000015</v>
          </cell>
          <cell r="BI50">
            <v>124.96000000000015</v>
          </cell>
          <cell r="BJ50">
            <v>13904</v>
          </cell>
          <cell r="BK50">
            <v>9871.84</v>
          </cell>
          <cell r="BL50">
            <v>10171.075199999999</v>
          </cell>
          <cell r="BM50">
            <v>0</v>
          </cell>
          <cell r="BN50">
            <v>0</v>
          </cell>
          <cell r="BO50">
            <v>0</v>
          </cell>
          <cell r="BP50">
            <v>10171.075199999999</v>
          </cell>
          <cell r="BQ50">
            <v>0</v>
          </cell>
          <cell r="BR50">
            <v>-299.23519999999917</v>
          </cell>
          <cell r="BS50" t="str">
            <v>Y</v>
          </cell>
          <cell r="BT50">
            <v>1</v>
          </cell>
          <cell r="BU50">
            <v>1</v>
          </cell>
          <cell r="BV50" t="str">
            <v>Y</v>
          </cell>
          <cell r="BW50">
            <v>0</v>
          </cell>
          <cell r="BX50">
            <v>0</v>
          </cell>
          <cell r="BY50">
            <v>2026</v>
          </cell>
          <cell r="BZ50" t="str">
            <v>-</v>
          </cell>
          <cell r="CA50" t="str">
            <v>-</v>
          </cell>
        </row>
        <row r="51">
          <cell r="A51" t="str">
            <v>Lucknow</v>
          </cell>
          <cell r="B51" t="str">
            <v>Mavericks</v>
          </cell>
          <cell r="C51" t="str">
            <v>Mid Level</v>
          </cell>
          <cell r="D51" t="str">
            <v>Rohit Gupta</v>
          </cell>
          <cell r="E51" t="str">
            <v>Vivek Yadav</v>
          </cell>
          <cell r="F51" t="str">
            <v>Non-MSP</v>
          </cell>
          <cell r="H51" t="str">
            <v>Pass Through</v>
          </cell>
          <cell r="J51" t="str">
            <v>ACH</v>
          </cell>
          <cell r="L51" t="str">
            <v>New</v>
          </cell>
          <cell r="M51">
            <v>46034</v>
          </cell>
          <cell r="N51">
            <v>168</v>
          </cell>
          <cell r="P51">
            <v>46399</v>
          </cell>
          <cell r="Q51" t="str">
            <v>PLC-Passthrough</v>
          </cell>
          <cell r="R51" t="str">
            <v>Arunkumar Janarthanan</v>
          </cell>
          <cell r="S51" t="str">
            <v>Individual</v>
          </cell>
          <cell r="T51" t="str">
            <v>C2C Canada</v>
          </cell>
          <cell r="U51" t="str">
            <v>CoForge</v>
          </cell>
          <cell r="V51">
            <v>78</v>
          </cell>
          <cell r="W51">
            <v>0</v>
          </cell>
          <cell r="X51" t="str">
            <v>CAD</v>
          </cell>
          <cell r="Y51">
            <v>79</v>
          </cell>
          <cell r="Z51">
            <v>0</v>
          </cell>
          <cell r="AA51">
            <v>0</v>
          </cell>
          <cell r="AB51">
            <v>0</v>
          </cell>
          <cell r="AC51">
            <v>46127</v>
          </cell>
          <cell r="AD51">
            <v>22</v>
          </cell>
          <cell r="AE51">
            <v>46387</v>
          </cell>
          <cell r="AF51">
            <v>55.379999999999995</v>
          </cell>
          <cell r="AG51">
            <v>0</v>
          </cell>
          <cell r="AH51">
            <v>55.379999999999995</v>
          </cell>
          <cell r="AI51">
            <v>56.089999999999996</v>
          </cell>
          <cell r="AJ51">
            <v>0</v>
          </cell>
          <cell r="AK51">
            <v>0</v>
          </cell>
          <cell r="AL51">
            <v>0.71000000000000085</v>
          </cell>
          <cell r="AM51">
            <v>0</v>
          </cell>
          <cell r="AN51">
            <v>0.71000000000000085</v>
          </cell>
          <cell r="AO51">
            <v>0</v>
          </cell>
          <cell r="AP51">
            <v>0.71000000000000085</v>
          </cell>
          <cell r="AQ51" t="str">
            <v>CAD_2085</v>
          </cell>
          <cell r="AR51">
            <v>0</v>
          </cell>
          <cell r="AS51">
            <v>168</v>
          </cell>
          <cell r="AU51">
            <v>168</v>
          </cell>
          <cell r="AV51">
            <v>0</v>
          </cell>
          <cell r="AW51">
            <v>119.28000000000014</v>
          </cell>
          <cell r="AX51">
            <v>118.08720000000014</v>
          </cell>
          <cell r="AY51">
            <v>0</v>
          </cell>
          <cell r="AZ51">
            <v>119.28000000000014</v>
          </cell>
          <cell r="BA51">
            <v>118.08720000000014</v>
          </cell>
          <cell r="BB51">
            <v>119.28000000000014</v>
          </cell>
          <cell r="BC51">
            <v>0</v>
          </cell>
          <cell r="BD51">
            <v>0</v>
          </cell>
          <cell r="BE51">
            <v>0</v>
          </cell>
          <cell r="BG51">
            <v>118.08720000000014</v>
          </cell>
          <cell r="BI51">
            <v>118.08720000000014</v>
          </cell>
          <cell r="BJ51">
            <v>13272</v>
          </cell>
          <cell r="BK51">
            <v>9423.119999999999</v>
          </cell>
          <cell r="BL51">
            <v>9708.7536</v>
          </cell>
          <cell r="BM51">
            <v>0</v>
          </cell>
          <cell r="BN51">
            <v>0</v>
          </cell>
          <cell r="BO51">
            <v>0</v>
          </cell>
          <cell r="BP51">
            <v>9708.7536</v>
          </cell>
          <cell r="BQ51">
            <v>0</v>
          </cell>
          <cell r="BR51">
            <v>-285.63360000000102</v>
          </cell>
          <cell r="BS51" t="str">
            <v>Y</v>
          </cell>
          <cell r="BT51">
            <v>2</v>
          </cell>
          <cell r="BU51">
            <v>1</v>
          </cell>
          <cell r="BV51" t="str">
            <v>Y</v>
          </cell>
          <cell r="BW51">
            <v>0</v>
          </cell>
          <cell r="BX51">
            <v>0</v>
          </cell>
          <cell r="BY51">
            <v>2026</v>
          </cell>
          <cell r="BZ51" t="str">
            <v>-</v>
          </cell>
          <cell r="CA51" t="str">
            <v>-</v>
          </cell>
        </row>
        <row r="52">
          <cell r="A52" t="str">
            <v>Lucknow</v>
          </cell>
          <cell r="B52" t="str">
            <v>Mavericks</v>
          </cell>
          <cell r="C52" t="str">
            <v>Mid Level</v>
          </cell>
          <cell r="D52" t="str">
            <v>Rohit Gupta</v>
          </cell>
          <cell r="E52" t="str">
            <v>Vivek Yadav</v>
          </cell>
          <cell r="F52" t="str">
            <v>Non-MSP</v>
          </cell>
          <cell r="H52" t="str">
            <v>Pass Through</v>
          </cell>
          <cell r="J52" t="str">
            <v>ACH</v>
          </cell>
          <cell r="L52" t="str">
            <v>New</v>
          </cell>
          <cell r="M52">
            <v>46034</v>
          </cell>
          <cell r="N52">
            <v>168</v>
          </cell>
          <cell r="P52">
            <v>46399</v>
          </cell>
          <cell r="Q52" t="str">
            <v>PLC-Passthrough</v>
          </cell>
          <cell r="R52" t="str">
            <v>Arunkumar Janarthanan</v>
          </cell>
          <cell r="S52" t="str">
            <v>Individual</v>
          </cell>
          <cell r="T52" t="str">
            <v>C2C Canada</v>
          </cell>
          <cell r="U52" t="str">
            <v>CoForge</v>
          </cell>
          <cell r="V52">
            <v>78</v>
          </cell>
          <cell r="W52">
            <v>0</v>
          </cell>
          <cell r="X52" t="str">
            <v>CAD</v>
          </cell>
          <cell r="Y52">
            <v>79</v>
          </cell>
          <cell r="Z52">
            <v>0</v>
          </cell>
          <cell r="AA52">
            <v>0</v>
          </cell>
          <cell r="AB52">
            <v>0</v>
          </cell>
          <cell r="AC52">
            <v>46157</v>
          </cell>
          <cell r="AD52">
            <v>22</v>
          </cell>
          <cell r="AE52">
            <v>46387</v>
          </cell>
          <cell r="AF52">
            <v>55.379999999999995</v>
          </cell>
          <cell r="AG52">
            <v>0</v>
          </cell>
          <cell r="AH52">
            <v>55.379999999999995</v>
          </cell>
          <cell r="AI52">
            <v>56.089999999999996</v>
          </cell>
          <cell r="AJ52">
            <v>0</v>
          </cell>
          <cell r="AK52">
            <v>0</v>
          </cell>
          <cell r="AL52">
            <v>0.71000000000000085</v>
          </cell>
          <cell r="AM52">
            <v>0</v>
          </cell>
          <cell r="AN52">
            <v>0.71000000000000085</v>
          </cell>
          <cell r="AO52">
            <v>0</v>
          </cell>
          <cell r="AP52">
            <v>0.71000000000000085</v>
          </cell>
          <cell r="AQ52" t="str">
            <v>CAD_2162</v>
          </cell>
          <cell r="AR52">
            <v>0</v>
          </cell>
          <cell r="AS52">
            <v>168</v>
          </cell>
          <cell r="AU52">
            <v>168</v>
          </cell>
          <cell r="AV52">
            <v>0</v>
          </cell>
          <cell r="AW52">
            <v>119.28000000000014</v>
          </cell>
          <cell r="AX52">
            <v>118.08720000000014</v>
          </cell>
          <cell r="AY52">
            <v>0</v>
          </cell>
          <cell r="AZ52">
            <v>119.28000000000014</v>
          </cell>
          <cell r="BA52">
            <v>118.08720000000014</v>
          </cell>
          <cell r="BB52">
            <v>119.28000000000014</v>
          </cell>
          <cell r="BC52">
            <v>0</v>
          </cell>
          <cell r="BD52">
            <v>0</v>
          </cell>
          <cell r="BE52">
            <v>0</v>
          </cell>
          <cell r="BG52">
            <v>118.08720000000014</v>
          </cell>
          <cell r="BI52">
            <v>118.08720000000014</v>
          </cell>
          <cell r="BJ52">
            <v>13272</v>
          </cell>
          <cell r="BK52">
            <v>9423.119999999999</v>
          </cell>
          <cell r="BL52">
            <v>9708.7536</v>
          </cell>
          <cell r="BM52">
            <v>0</v>
          </cell>
          <cell r="BN52">
            <v>0</v>
          </cell>
          <cell r="BO52">
            <v>0</v>
          </cell>
          <cell r="BP52">
            <v>9708.7536</v>
          </cell>
          <cell r="BQ52">
            <v>0</v>
          </cell>
          <cell r="BR52">
            <v>-285.63360000000102</v>
          </cell>
          <cell r="BT52">
            <v>2</v>
          </cell>
          <cell r="BU52">
            <v>1</v>
          </cell>
          <cell r="BV52" t="str">
            <v>Y</v>
          </cell>
          <cell r="BW52">
            <v>0</v>
          </cell>
          <cell r="BX52">
            <v>0</v>
          </cell>
          <cell r="BY52">
            <v>2026</v>
          </cell>
          <cell r="BZ52" t="str">
            <v>-</v>
          </cell>
          <cell r="CA52" t="str">
            <v>-</v>
          </cell>
        </row>
        <row r="53">
          <cell r="A53" t="str">
            <v>Lucknow</v>
          </cell>
          <cell r="B53" t="str">
            <v>Chennai</v>
          </cell>
          <cell r="C53" t="str">
            <v>Mid Level</v>
          </cell>
          <cell r="D53" t="str">
            <v>Vinoth L</v>
          </cell>
          <cell r="E53" t="str">
            <v>-</v>
          </cell>
          <cell r="F53" t="str">
            <v>Non-MSP</v>
          </cell>
          <cell r="H53" t="str">
            <v>Dinesh Kumar Veluchamy</v>
          </cell>
          <cell r="J53" t="str">
            <v>ACH</v>
          </cell>
          <cell r="L53" t="str">
            <v>New</v>
          </cell>
          <cell r="M53">
            <v>46071</v>
          </cell>
          <cell r="N53">
            <v>131</v>
          </cell>
          <cell r="P53">
            <v>46436</v>
          </cell>
          <cell r="Q53" t="str">
            <v>PLC-4730</v>
          </cell>
          <cell r="R53" t="str">
            <v>Asad Mahmood</v>
          </cell>
          <cell r="S53" t="str">
            <v>Individual</v>
          </cell>
          <cell r="T53" t="str">
            <v>C2C</v>
          </cell>
          <cell r="U53" t="str">
            <v>Citius Tech</v>
          </cell>
          <cell r="V53">
            <v>65</v>
          </cell>
          <cell r="W53">
            <v>0</v>
          </cell>
          <cell r="X53" t="str">
            <v>USD</v>
          </cell>
          <cell r="Y53">
            <v>71</v>
          </cell>
          <cell r="Z53">
            <v>0</v>
          </cell>
          <cell r="AA53">
            <v>0</v>
          </cell>
          <cell r="AB53">
            <v>0</v>
          </cell>
          <cell r="AC53">
            <v>46068</v>
          </cell>
          <cell r="AD53">
            <v>8</v>
          </cell>
          <cell r="AE53">
            <v>46387</v>
          </cell>
          <cell r="AF53">
            <v>65</v>
          </cell>
          <cell r="AG53">
            <v>0</v>
          </cell>
          <cell r="AH53">
            <v>65</v>
          </cell>
          <cell r="AI53">
            <v>71</v>
          </cell>
          <cell r="AJ53">
            <v>0</v>
          </cell>
          <cell r="AK53">
            <v>0</v>
          </cell>
          <cell r="AL53">
            <v>6</v>
          </cell>
          <cell r="AM53">
            <v>0</v>
          </cell>
          <cell r="AN53">
            <v>6</v>
          </cell>
          <cell r="AO53">
            <v>0</v>
          </cell>
          <cell r="AP53">
            <v>6</v>
          </cell>
          <cell r="AQ53" t="str">
            <v>US_27179</v>
          </cell>
          <cell r="AR53">
            <v>0</v>
          </cell>
          <cell r="AS53">
            <v>64</v>
          </cell>
          <cell r="AU53">
            <v>64</v>
          </cell>
          <cell r="AV53">
            <v>0</v>
          </cell>
          <cell r="AW53">
            <v>384</v>
          </cell>
          <cell r="AX53">
            <v>380.15999999999997</v>
          </cell>
          <cell r="AY53">
            <v>0</v>
          </cell>
          <cell r="AZ53">
            <v>384</v>
          </cell>
          <cell r="BA53">
            <v>380.15999999999997</v>
          </cell>
          <cell r="BB53">
            <v>384</v>
          </cell>
          <cell r="BC53">
            <v>116.66666666666667</v>
          </cell>
          <cell r="BD53">
            <v>669.08159999999987</v>
          </cell>
          <cell r="BE53">
            <v>669.08159999999987</v>
          </cell>
          <cell r="BG53">
            <v>380.15999999999997</v>
          </cell>
          <cell r="BI53">
            <v>380.15999999999997</v>
          </cell>
          <cell r="BJ53">
            <v>4544</v>
          </cell>
          <cell r="BK53">
            <v>4544</v>
          </cell>
          <cell r="BL53">
            <v>4160</v>
          </cell>
          <cell r="BM53">
            <v>0</v>
          </cell>
          <cell r="BN53">
            <v>0</v>
          </cell>
          <cell r="BO53">
            <v>0</v>
          </cell>
          <cell r="BP53">
            <v>4160</v>
          </cell>
          <cell r="BQ53">
            <v>0</v>
          </cell>
          <cell r="BR53">
            <v>384</v>
          </cell>
          <cell r="BS53" t="str">
            <v>Y</v>
          </cell>
          <cell r="BT53">
            <v>1</v>
          </cell>
          <cell r="BU53">
            <v>1</v>
          </cell>
          <cell r="BV53" t="str">
            <v>Y</v>
          </cell>
          <cell r="BW53">
            <v>1338.1631999999997</v>
          </cell>
          <cell r="BX53">
            <v>1338.1631999999997</v>
          </cell>
          <cell r="BY53">
            <v>2026</v>
          </cell>
          <cell r="BZ53" t="str">
            <v>-</v>
          </cell>
          <cell r="CA53" t="str">
            <v>-</v>
          </cell>
        </row>
        <row r="54">
          <cell r="A54" t="str">
            <v>Lucknow</v>
          </cell>
          <cell r="B54" t="str">
            <v>Chennai</v>
          </cell>
          <cell r="C54" t="str">
            <v>Mid Level</v>
          </cell>
          <cell r="D54" t="str">
            <v>Vinoth L</v>
          </cell>
          <cell r="E54" t="str">
            <v>-</v>
          </cell>
          <cell r="F54" t="str">
            <v>Non-MSP</v>
          </cell>
          <cell r="H54" t="str">
            <v>Dinesh Kumar Veluchamy</v>
          </cell>
          <cell r="J54" t="str">
            <v>ACH</v>
          </cell>
          <cell r="L54" t="str">
            <v>New</v>
          </cell>
          <cell r="M54">
            <v>46071</v>
          </cell>
          <cell r="N54">
            <v>131</v>
          </cell>
          <cell r="P54">
            <v>46436</v>
          </cell>
          <cell r="Q54" t="str">
            <v>PLC-4730</v>
          </cell>
          <cell r="R54" t="str">
            <v>Asad Mahmood</v>
          </cell>
          <cell r="S54" t="str">
            <v>Individual</v>
          </cell>
          <cell r="T54" t="str">
            <v>C2C</v>
          </cell>
          <cell r="U54" t="str">
            <v>Citius Tech</v>
          </cell>
          <cell r="V54">
            <v>65</v>
          </cell>
          <cell r="W54">
            <v>0</v>
          </cell>
          <cell r="X54" t="str">
            <v>USD</v>
          </cell>
          <cell r="Y54">
            <v>71</v>
          </cell>
          <cell r="Z54">
            <v>0</v>
          </cell>
          <cell r="AA54">
            <v>0</v>
          </cell>
          <cell r="AB54">
            <v>0</v>
          </cell>
          <cell r="AC54">
            <v>46096</v>
          </cell>
          <cell r="AD54">
            <v>22</v>
          </cell>
          <cell r="AE54">
            <v>46387</v>
          </cell>
          <cell r="AF54">
            <v>65</v>
          </cell>
          <cell r="AG54">
            <v>0</v>
          </cell>
          <cell r="AH54">
            <v>65</v>
          </cell>
          <cell r="AI54">
            <v>71</v>
          </cell>
          <cell r="AJ54">
            <v>0</v>
          </cell>
          <cell r="AK54">
            <v>0</v>
          </cell>
          <cell r="AL54">
            <v>6</v>
          </cell>
          <cell r="AM54">
            <v>0</v>
          </cell>
          <cell r="AN54">
            <v>6</v>
          </cell>
          <cell r="AO54">
            <v>0</v>
          </cell>
          <cell r="AP54">
            <v>6</v>
          </cell>
          <cell r="AQ54" t="str">
            <v>US_27392</v>
          </cell>
          <cell r="AR54">
            <v>0</v>
          </cell>
          <cell r="AS54">
            <v>176</v>
          </cell>
          <cell r="AU54">
            <v>176</v>
          </cell>
          <cell r="AV54">
            <v>0</v>
          </cell>
          <cell r="AW54">
            <v>1056</v>
          </cell>
          <cell r="AX54">
            <v>1045.44</v>
          </cell>
          <cell r="AY54">
            <v>0</v>
          </cell>
          <cell r="AZ54">
            <v>1056</v>
          </cell>
          <cell r="BA54">
            <v>1045.44</v>
          </cell>
          <cell r="BB54">
            <v>1056</v>
          </cell>
          <cell r="BC54">
            <v>116.66666666666667</v>
          </cell>
          <cell r="BD54">
            <v>1839.9744000000001</v>
          </cell>
          <cell r="BE54">
            <v>1839.9744000000001</v>
          </cell>
          <cell r="BG54">
            <v>1045.44</v>
          </cell>
          <cell r="BI54">
            <v>1045.44</v>
          </cell>
          <cell r="BJ54">
            <v>12496</v>
          </cell>
          <cell r="BK54">
            <v>12496</v>
          </cell>
          <cell r="BL54">
            <v>11440</v>
          </cell>
          <cell r="BM54">
            <v>0</v>
          </cell>
          <cell r="BN54">
            <v>0</v>
          </cell>
          <cell r="BO54">
            <v>0</v>
          </cell>
          <cell r="BP54">
            <v>11440</v>
          </cell>
          <cell r="BQ54">
            <v>0</v>
          </cell>
          <cell r="BR54">
            <v>1056</v>
          </cell>
          <cell r="BS54" t="str">
            <v>Y</v>
          </cell>
          <cell r="BT54">
            <v>1</v>
          </cell>
          <cell r="BU54">
            <v>1</v>
          </cell>
          <cell r="BV54" t="str">
            <v>Y</v>
          </cell>
          <cell r="BW54">
            <v>3679.9488000000001</v>
          </cell>
          <cell r="BX54">
            <v>3679.9488000000001</v>
          </cell>
          <cell r="BY54">
            <v>2026</v>
          </cell>
          <cell r="BZ54" t="str">
            <v>-</v>
          </cell>
          <cell r="CA54" t="str">
            <v>-</v>
          </cell>
        </row>
        <row r="55">
          <cell r="A55" t="str">
            <v>Lucknow</v>
          </cell>
          <cell r="B55" t="str">
            <v>Chennai</v>
          </cell>
          <cell r="C55" t="str">
            <v>Mid Level</v>
          </cell>
          <cell r="D55" t="str">
            <v>Vinoth L</v>
          </cell>
          <cell r="E55" t="str">
            <v>-</v>
          </cell>
          <cell r="F55" t="str">
            <v>Non-MSP</v>
          </cell>
          <cell r="H55" t="str">
            <v>Dinesh Kumar Veluchamy</v>
          </cell>
          <cell r="J55" t="str">
            <v>ACH</v>
          </cell>
          <cell r="L55" t="str">
            <v>New</v>
          </cell>
          <cell r="M55">
            <v>46071</v>
          </cell>
          <cell r="N55">
            <v>131</v>
          </cell>
          <cell r="P55">
            <v>46436</v>
          </cell>
          <cell r="Q55" t="str">
            <v>PLC-4730</v>
          </cell>
          <cell r="R55" t="str">
            <v>Asad Mahmood</v>
          </cell>
          <cell r="S55" t="str">
            <v>Individual</v>
          </cell>
          <cell r="T55" t="str">
            <v>C2C</v>
          </cell>
          <cell r="U55" t="str">
            <v>Citius Tech</v>
          </cell>
          <cell r="V55">
            <v>65</v>
          </cell>
          <cell r="W55">
            <v>0</v>
          </cell>
          <cell r="X55" t="str">
            <v>USD</v>
          </cell>
          <cell r="Y55">
            <v>71</v>
          </cell>
          <cell r="Z55">
            <v>0</v>
          </cell>
          <cell r="AA55">
            <v>0</v>
          </cell>
          <cell r="AB55">
            <v>0</v>
          </cell>
          <cell r="AC55">
            <v>46127</v>
          </cell>
          <cell r="AD55">
            <v>22</v>
          </cell>
          <cell r="AE55">
            <v>46387</v>
          </cell>
          <cell r="AF55">
            <v>65</v>
          </cell>
          <cell r="AG55">
            <v>0</v>
          </cell>
          <cell r="AH55">
            <v>65</v>
          </cell>
          <cell r="AI55">
            <v>71</v>
          </cell>
          <cell r="AJ55">
            <v>0</v>
          </cell>
          <cell r="AK55">
            <v>0</v>
          </cell>
          <cell r="AL55">
            <v>6</v>
          </cell>
          <cell r="AM55">
            <v>0</v>
          </cell>
          <cell r="AN55">
            <v>6</v>
          </cell>
          <cell r="AO55">
            <v>0</v>
          </cell>
          <cell r="AP55">
            <v>6</v>
          </cell>
          <cell r="AQ55" t="str">
            <v>US_27625</v>
          </cell>
          <cell r="AR55">
            <v>0</v>
          </cell>
          <cell r="AS55">
            <v>176</v>
          </cell>
          <cell r="AU55">
            <v>176</v>
          </cell>
          <cell r="AV55">
            <v>0</v>
          </cell>
          <cell r="AW55">
            <v>1056</v>
          </cell>
          <cell r="AX55">
            <v>1045.44</v>
          </cell>
          <cell r="AY55">
            <v>0</v>
          </cell>
          <cell r="AZ55">
            <v>1056</v>
          </cell>
          <cell r="BA55">
            <v>1045.44</v>
          </cell>
          <cell r="BB55">
            <v>1056</v>
          </cell>
          <cell r="BC55">
            <v>116.66666666666667</v>
          </cell>
          <cell r="BD55">
            <v>1839.9744000000001</v>
          </cell>
          <cell r="BE55">
            <v>1839.9744000000001</v>
          </cell>
          <cell r="BG55">
            <v>1045.44</v>
          </cell>
          <cell r="BI55">
            <v>1045.44</v>
          </cell>
          <cell r="BJ55">
            <v>12496</v>
          </cell>
          <cell r="BK55">
            <v>12496</v>
          </cell>
          <cell r="BL55">
            <v>11440</v>
          </cell>
          <cell r="BM55">
            <v>0</v>
          </cell>
          <cell r="BN55">
            <v>0</v>
          </cell>
          <cell r="BO55">
            <v>0</v>
          </cell>
          <cell r="BP55">
            <v>11440</v>
          </cell>
          <cell r="BQ55">
            <v>0</v>
          </cell>
          <cell r="BR55">
            <v>1056</v>
          </cell>
          <cell r="BS55" t="str">
            <v>Y</v>
          </cell>
          <cell r="BT55">
            <v>2</v>
          </cell>
          <cell r="BU55">
            <v>1</v>
          </cell>
          <cell r="BV55" t="str">
            <v>Y</v>
          </cell>
          <cell r="BW55">
            <v>3679.9488000000001</v>
          </cell>
          <cell r="BX55">
            <v>3679.9488000000001</v>
          </cell>
          <cell r="BY55">
            <v>2026</v>
          </cell>
          <cell r="BZ55" t="str">
            <v>-</v>
          </cell>
          <cell r="CA55" t="str">
            <v>-</v>
          </cell>
        </row>
        <row r="56">
          <cell r="A56" t="str">
            <v>Lucknow</v>
          </cell>
          <cell r="B56" t="str">
            <v>Chennai</v>
          </cell>
          <cell r="C56" t="str">
            <v>Mid Level</v>
          </cell>
          <cell r="D56" t="str">
            <v>Vinoth L</v>
          </cell>
          <cell r="E56" t="str">
            <v>-</v>
          </cell>
          <cell r="F56" t="str">
            <v>Non-MSP</v>
          </cell>
          <cell r="H56" t="str">
            <v>Dinesh Kumar Veluchamy</v>
          </cell>
          <cell r="J56" t="str">
            <v>ACH</v>
          </cell>
          <cell r="L56" t="str">
            <v>New</v>
          </cell>
          <cell r="M56">
            <v>46071</v>
          </cell>
          <cell r="N56">
            <v>131</v>
          </cell>
          <cell r="P56">
            <v>46436</v>
          </cell>
          <cell r="Q56" t="str">
            <v>PLC-4730</v>
          </cell>
          <cell r="R56" t="str">
            <v>Asad Mahmood</v>
          </cell>
          <cell r="S56" t="str">
            <v>Individual</v>
          </cell>
          <cell r="T56" t="str">
            <v>C2C</v>
          </cell>
          <cell r="U56" t="str">
            <v>Citius Tech</v>
          </cell>
          <cell r="V56">
            <v>65</v>
          </cell>
          <cell r="W56">
            <v>0</v>
          </cell>
          <cell r="X56" t="str">
            <v>USD</v>
          </cell>
          <cell r="Y56">
            <v>71</v>
          </cell>
          <cell r="Z56">
            <v>0</v>
          </cell>
          <cell r="AA56">
            <v>0</v>
          </cell>
          <cell r="AB56">
            <v>0</v>
          </cell>
          <cell r="AC56">
            <v>46157</v>
          </cell>
          <cell r="AD56">
            <v>22</v>
          </cell>
          <cell r="AE56">
            <v>46387</v>
          </cell>
          <cell r="AF56">
            <v>65</v>
          </cell>
          <cell r="AG56">
            <v>0</v>
          </cell>
          <cell r="AH56">
            <v>65</v>
          </cell>
          <cell r="AI56">
            <v>71</v>
          </cell>
          <cell r="AJ56">
            <v>0</v>
          </cell>
          <cell r="AK56">
            <v>0</v>
          </cell>
          <cell r="AL56">
            <v>6</v>
          </cell>
          <cell r="AM56">
            <v>0</v>
          </cell>
          <cell r="AN56">
            <v>6</v>
          </cell>
          <cell r="AO56">
            <v>0</v>
          </cell>
          <cell r="AP56">
            <v>6</v>
          </cell>
          <cell r="AQ56" t="str">
            <v>US_27912</v>
          </cell>
          <cell r="AR56">
            <v>0</v>
          </cell>
          <cell r="AS56">
            <v>160</v>
          </cell>
          <cell r="AU56">
            <v>160</v>
          </cell>
          <cell r="AV56">
            <v>0</v>
          </cell>
          <cell r="AW56">
            <v>960</v>
          </cell>
          <cell r="AX56">
            <v>950.4</v>
          </cell>
          <cell r="AY56">
            <v>0</v>
          </cell>
          <cell r="AZ56">
            <v>960</v>
          </cell>
          <cell r="BA56">
            <v>950.4</v>
          </cell>
          <cell r="BB56">
            <v>960</v>
          </cell>
          <cell r="BC56">
            <v>116.66666666666667</v>
          </cell>
          <cell r="BD56">
            <v>1672.704</v>
          </cell>
          <cell r="BE56">
            <v>1672.704</v>
          </cell>
          <cell r="BG56">
            <v>950.4</v>
          </cell>
          <cell r="BI56">
            <v>950.4</v>
          </cell>
          <cell r="BJ56">
            <v>11360</v>
          </cell>
          <cell r="BK56">
            <v>11360</v>
          </cell>
          <cell r="BL56">
            <v>10400</v>
          </cell>
          <cell r="BM56">
            <v>0</v>
          </cell>
          <cell r="BN56">
            <v>0</v>
          </cell>
          <cell r="BO56">
            <v>0</v>
          </cell>
          <cell r="BP56">
            <v>10400</v>
          </cell>
          <cell r="BQ56">
            <v>0</v>
          </cell>
          <cell r="BR56">
            <v>960</v>
          </cell>
          <cell r="BT56">
            <v>2</v>
          </cell>
          <cell r="BU56">
            <v>1</v>
          </cell>
          <cell r="BV56" t="str">
            <v>Y</v>
          </cell>
          <cell r="BW56">
            <v>3345.4079999999999</v>
          </cell>
          <cell r="BX56">
            <v>3345.4079999999999</v>
          </cell>
          <cell r="BY56">
            <v>2026</v>
          </cell>
          <cell r="BZ56" t="str">
            <v>-</v>
          </cell>
          <cell r="CA56" t="str">
            <v>-</v>
          </cell>
        </row>
        <row r="57">
          <cell r="A57" t="str">
            <v>Lucknow</v>
          </cell>
          <cell r="B57" t="str">
            <v>Mavericks</v>
          </cell>
          <cell r="C57" t="str">
            <v>Mid Level</v>
          </cell>
          <cell r="D57" t="str">
            <v>Kashif Nabi</v>
          </cell>
          <cell r="E57" t="str">
            <v>Khatib UR Rahman</v>
          </cell>
          <cell r="F57" t="str">
            <v>Non-MSP</v>
          </cell>
          <cell r="H57" t="str">
            <v>Khatib Rahman</v>
          </cell>
          <cell r="J57" t="str">
            <v>ACH</v>
          </cell>
          <cell r="L57" t="str">
            <v>New</v>
          </cell>
          <cell r="M57">
            <v>46161</v>
          </cell>
          <cell r="N57">
            <v>41</v>
          </cell>
          <cell r="P57">
            <v>46526</v>
          </cell>
          <cell r="Q57" t="str">
            <v>PLC-4890</v>
          </cell>
          <cell r="R57" t="str">
            <v>Atif Munir</v>
          </cell>
          <cell r="S57" t="str">
            <v>Individual</v>
          </cell>
          <cell r="T57" t="str">
            <v>C2C Canada</v>
          </cell>
          <cell r="U57" t="str">
            <v>Cigniti</v>
          </cell>
          <cell r="V57">
            <v>80</v>
          </cell>
          <cell r="W57">
            <v>0</v>
          </cell>
          <cell r="X57" t="str">
            <v>CAD</v>
          </cell>
          <cell r="Y57">
            <v>90</v>
          </cell>
          <cell r="Z57">
            <v>0</v>
          </cell>
          <cell r="AA57">
            <v>0</v>
          </cell>
          <cell r="AB57">
            <v>0</v>
          </cell>
          <cell r="AC57">
            <v>46157</v>
          </cell>
          <cell r="AD57">
            <v>9</v>
          </cell>
          <cell r="AE57">
            <v>46387</v>
          </cell>
          <cell r="AF57">
            <v>56.8</v>
          </cell>
          <cell r="AG57">
            <v>0</v>
          </cell>
          <cell r="AH57">
            <v>56.8</v>
          </cell>
          <cell r="AI57">
            <v>63.9</v>
          </cell>
          <cell r="AJ57">
            <v>0</v>
          </cell>
          <cell r="AK57">
            <v>0</v>
          </cell>
          <cell r="AL57">
            <v>7.1000000000000014</v>
          </cell>
          <cell r="AM57">
            <v>0</v>
          </cell>
          <cell r="AN57">
            <v>7.1000000000000014</v>
          </cell>
          <cell r="AO57">
            <v>0</v>
          </cell>
          <cell r="AP57">
            <v>7.1000000000000014</v>
          </cell>
          <cell r="AQ57" t="str">
            <v>CAD_2171</v>
          </cell>
          <cell r="AR57">
            <v>0</v>
          </cell>
          <cell r="AS57">
            <v>72</v>
          </cell>
          <cell r="AU57">
            <v>72</v>
          </cell>
          <cell r="AV57">
            <v>0</v>
          </cell>
          <cell r="AW57">
            <v>511.2000000000001</v>
          </cell>
          <cell r="AX57">
            <v>506.08800000000008</v>
          </cell>
          <cell r="AY57">
            <v>0</v>
          </cell>
          <cell r="AZ57">
            <v>511.2000000000001</v>
          </cell>
          <cell r="BA57">
            <v>506.08800000000008</v>
          </cell>
          <cell r="BB57">
            <v>511.2000000000001</v>
          </cell>
          <cell r="BC57">
            <v>0</v>
          </cell>
          <cell r="BD57">
            <v>0</v>
          </cell>
          <cell r="BE57">
            <v>0</v>
          </cell>
          <cell r="BG57">
            <v>506.08800000000008</v>
          </cell>
          <cell r="BI57">
            <v>0</v>
          </cell>
          <cell r="BJ57">
            <v>6480</v>
          </cell>
          <cell r="BK57">
            <v>4600.8</v>
          </cell>
          <cell r="BL57">
            <v>4267.5839999999998</v>
          </cell>
          <cell r="BM57">
            <v>0</v>
          </cell>
          <cell r="BN57">
            <v>0</v>
          </cell>
          <cell r="BO57">
            <v>0</v>
          </cell>
          <cell r="BP57">
            <v>4267.5839999999998</v>
          </cell>
          <cell r="BQ57">
            <v>0</v>
          </cell>
          <cell r="BR57">
            <v>333.21600000000035</v>
          </cell>
          <cell r="BT57">
            <v>2</v>
          </cell>
          <cell r="BU57">
            <v>2</v>
          </cell>
          <cell r="BV57" t="str">
            <v>Y</v>
          </cell>
          <cell r="BW57">
            <v>0</v>
          </cell>
          <cell r="BX57">
            <v>0</v>
          </cell>
          <cell r="BY57">
            <v>2026</v>
          </cell>
          <cell r="BZ57" t="str">
            <v>-</v>
          </cell>
          <cell r="CA57" t="str">
            <v>-</v>
          </cell>
        </row>
        <row r="58">
          <cell r="A58" t="str">
            <v>Lucknow</v>
          </cell>
          <cell r="B58" t="str">
            <v>Mavericks</v>
          </cell>
          <cell r="C58" t="str">
            <v>Mid Level</v>
          </cell>
          <cell r="D58" t="str">
            <v>Mohammad Fakhrul</v>
          </cell>
          <cell r="F58" t="str">
            <v>MSP</v>
          </cell>
          <cell r="H58" t="str">
            <v>Pass Through</v>
          </cell>
          <cell r="J58" t="str">
            <v>ACH</v>
          </cell>
          <cell r="L58" t="str">
            <v>New</v>
          </cell>
          <cell r="M58">
            <v>46147</v>
          </cell>
          <cell r="N58">
            <v>55</v>
          </cell>
          <cell r="P58">
            <v>46512</v>
          </cell>
          <cell r="R58" t="str">
            <v>Aurbinda Satpathy</v>
          </cell>
          <cell r="S58" t="str">
            <v>Individual</v>
          </cell>
          <cell r="T58" t="str">
            <v>C2C</v>
          </cell>
          <cell r="U58" t="str">
            <v>Cigniti</v>
          </cell>
          <cell r="V58">
            <v>64</v>
          </cell>
          <cell r="W58">
            <v>0</v>
          </cell>
          <cell r="X58" t="str">
            <v>USD</v>
          </cell>
          <cell r="Y58">
            <v>65</v>
          </cell>
          <cell r="Z58">
            <v>0</v>
          </cell>
          <cell r="AA58">
            <v>0</v>
          </cell>
          <cell r="AB58">
            <v>0</v>
          </cell>
          <cell r="AC58">
            <v>46157</v>
          </cell>
          <cell r="AD58">
            <v>19</v>
          </cell>
          <cell r="AE58">
            <v>46387</v>
          </cell>
          <cell r="AF58">
            <v>64</v>
          </cell>
          <cell r="AG58">
            <v>0</v>
          </cell>
          <cell r="AH58">
            <v>64</v>
          </cell>
          <cell r="AI58">
            <v>65</v>
          </cell>
          <cell r="AJ58">
            <v>0</v>
          </cell>
          <cell r="AK58">
            <v>0</v>
          </cell>
          <cell r="AL58">
            <v>1</v>
          </cell>
          <cell r="AM58">
            <v>0</v>
          </cell>
          <cell r="AN58">
            <v>1</v>
          </cell>
          <cell r="AO58">
            <v>0</v>
          </cell>
          <cell r="AP58">
            <v>1</v>
          </cell>
          <cell r="AQ58" t="str">
            <v>US_CMSP_00889</v>
          </cell>
          <cell r="AR58">
            <v>0</v>
          </cell>
          <cell r="AS58">
            <v>144</v>
          </cell>
          <cell r="AU58">
            <v>144</v>
          </cell>
          <cell r="AV58">
            <v>0</v>
          </cell>
          <cell r="AW58">
            <v>144</v>
          </cell>
          <cell r="AX58">
            <v>142.56</v>
          </cell>
          <cell r="AY58">
            <v>0</v>
          </cell>
          <cell r="AZ58">
            <v>144</v>
          </cell>
          <cell r="BA58">
            <v>142.56</v>
          </cell>
          <cell r="BB58">
            <v>144</v>
          </cell>
          <cell r="BC58">
            <v>0</v>
          </cell>
          <cell r="BD58">
            <v>0</v>
          </cell>
          <cell r="BE58">
            <v>0</v>
          </cell>
          <cell r="BG58">
            <v>142.56</v>
          </cell>
          <cell r="BI58">
            <v>0</v>
          </cell>
          <cell r="BJ58">
            <v>9360</v>
          </cell>
          <cell r="BK58">
            <v>9360</v>
          </cell>
          <cell r="BL58">
            <v>9216</v>
          </cell>
          <cell r="BM58">
            <v>0</v>
          </cell>
          <cell r="BN58">
            <v>0</v>
          </cell>
          <cell r="BO58">
            <v>0</v>
          </cell>
          <cell r="BP58">
            <v>9216</v>
          </cell>
          <cell r="BQ58">
            <v>0</v>
          </cell>
          <cell r="BR58">
            <v>144</v>
          </cell>
          <cell r="BT58">
            <v>2</v>
          </cell>
          <cell r="BU58">
            <v>2</v>
          </cell>
          <cell r="BV58" t="str">
            <v>Y</v>
          </cell>
          <cell r="BW58">
            <v>0</v>
          </cell>
          <cell r="BX58">
            <v>0</v>
          </cell>
          <cell r="BY58">
            <v>2026</v>
          </cell>
          <cell r="BZ58" t="str">
            <v>-</v>
          </cell>
          <cell r="CA58" t="str">
            <v>-</v>
          </cell>
        </row>
        <row r="59">
          <cell r="A59" t="str">
            <v>Lucknow</v>
          </cell>
          <cell r="B59" t="str">
            <v>Mavericks</v>
          </cell>
          <cell r="C59" t="str">
            <v>Mid Level</v>
          </cell>
          <cell r="D59" t="str">
            <v>Mohammad Fakhrul</v>
          </cell>
          <cell r="E59" t="str">
            <v>-</v>
          </cell>
          <cell r="F59" t="str">
            <v>MSP</v>
          </cell>
          <cell r="H59" t="str">
            <v>Pass Through/MSP</v>
          </cell>
          <cell r="L59" t="str">
            <v>New</v>
          </cell>
          <cell r="M59">
            <v>46105</v>
          </cell>
          <cell r="N59">
            <v>97</v>
          </cell>
          <cell r="P59">
            <v>46470</v>
          </cell>
          <cell r="Q59" t="str">
            <v>PLC-Passthrough</v>
          </cell>
          <cell r="R59" t="str">
            <v>Avinash Basetty</v>
          </cell>
          <cell r="S59" t="str">
            <v>Individual</v>
          </cell>
          <cell r="T59" t="str">
            <v>C2C</v>
          </cell>
          <cell r="U59" t="str">
            <v>CoForge</v>
          </cell>
          <cell r="V59">
            <v>77</v>
          </cell>
          <cell r="W59">
            <v>0</v>
          </cell>
          <cell r="X59" t="str">
            <v>USD</v>
          </cell>
          <cell r="Y59">
            <v>79</v>
          </cell>
          <cell r="Z59">
            <v>0</v>
          </cell>
          <cell r="AA59">
            <v>0</v>
          </cell>
          <cell r="AB59">
            <v>0</v>
          </cell>
          <cell r="AC59">
            <v>46096</v>
          </cell>
          <cell r="AD59">
            <v>6</v>
          </cell>
          <cell r="AE59">
            <v>46387</v>
          </cell>
          <cell r="AF59">
            <v>77</v>
          </cell>
          <cell r="AG59">
            <v>0</v>
          </cell>
          <cell r="AH59">
            <v>77</v>
          </cell>
          <cell r="AI59">
            <v>79</v>
          </cell>
          <cell r="AJ59">
            <v>0</v>
          </cell>
          <cell r="AK59">
            <v>0</v>
          </cell>
          <cell r="AL59">
            <v>2</v>
          </cell>
          <cell r="AM59">
            <v>0</v>
          </cell>
          <cell r="AN59">
            <v>2</v>
          </cell>
          <cell r="AO59">
            <v>0</v>
          </cell>
          <cell r="AP59">
            <v>2</v>
          </cell>
          <cell r="AQ59" t="str">
            <v>US_CMSP_00562</v>
          </cell>
          <cell r="AR59">
            <v>0</v>
          </cell>
          <cell r="AS59">
            <v>40</v>
          </cell>
          <cell r="AU59">
            <v>40</v>
          </cell>
          <cell r="AV59">
            <v>0</v>
          </cell>
          <cell r="AW59">
            <v>80</v>
          </cell>
          <cell r="AX59">
            <v>80</v>
          </cell>
          <cell r="AY59">
            <v>0</v>
          </cell>
          <cell r="AZ59">
            <v>80</v>
          </cell>
          <cell r="BA59">
            <v>80</v>
          </cell>
          <cell r="BB59">
            <v>80</v>
          </cell>
          <cell r="BC59">
            <v>0</v>
          </cell>
          <cell r="BD59">
            <v>0</v>
          </cell>
          <cell r="BE59">
            <v>0</v>
          </cell>
          <cell r="BG59">
            <v>80</v>
          </cell>
          <cell r="BI59">
            <v>80</v>
          </cell>
          <cell r="BJ59">
            <v>3160</v>
          </cell>
          <cell r="BK59">
            <v>3160</v>
          </cell>
          <cell r="BL59">
            <v>3080</v>
          </cell>
          <cell r="BM59">
            <v>0</v>
          </cell>
          <cell r="BN59">
            <v>0</v>
          </cell>
          <cell r="BO59">
            <v>0</v>
          </cell>
          <cell r="BP59">
            <v>3080</v>
          </cell>
          <cell r="BQ59">
            <v>0</v>
          </cell>
          <cell r="BR59">
            <v>80</v>
          </cell>
          <cell r="BS59" t="str">
            <v>Y</v>
          </cell>
          <cell r="BT59">
            <v>1</v>
          </cell>
          <cell r="BU59">
            <v>1</v>
          </cell>
          <cell r="BV59" t="str">
            <v>N</v>
          </cell>
          <cell r="BW59">
            <v>0</v>
          </cell>
          <cell r="BX59">
            <v>0</v>
          </cell>
          <cell r="BY59">
            <v>2026</v>
          </cell>
          <cell r="BZ59" t="str">
            <v>-</v>
          </cell>
          <cell r="CA59" t="str">
            <v>-</v>
          </cell>
        </row>
        <row r="60">
          <cell r="A60" t="str">
            <v>Lucknow</v>
          </cell>
          <cell r="B60" t="str">
            <v>Mavericks</v>
          </cell>
          <cell r="C60" t="str">
            <v>Mid Level</v>
          </cell>
          <cell r="D60" t="str">
            <v>Mohammad Fakhrul</v>
          </cell>
          <cell r="E60" t="str">
            <v>-</v>
          </cell>
          <cell r="F60" t="str">
            <v>MSP</v>
          </cell>
          <cell r="H60" t="str">
            <v>Pass Through/MSP</v>
          </cell>
          <cell r="J60" t="str">
            <v>ACH</v>
          </cell>
          <cell r="L60" t="str">
            <v>New</v>
          </cell>
          <cell r="M60">
            <v>46105</v>
          </cell>
          <cell r="N60">
            <v>97</v>
          </cell>
          <cell r="P60">
            <v>46470</v>
          </cell>
          <cell r="Q60" t="str">
            <v>PLC-Passthrough</v>
          </cell>
          <cell r="R60" t="str">
            <v>Avinash Basetty</v>
          </cell>
          <cell r="S60" t="str">
            <v>Individual</v>
          </cell>
          <cell r="T60" t="str">
            <v>C2C</v>
          </cell>
          <cell r="U60" t="str">
            <v>CoForge</v>
          </cell>
          <cell r="V60">
            <v>77</v>
          </cell>
          <cell r="W60">
            <v>0</v>
          </cell>
          <cell r="X60" t="str">
            <v>USD</v>
          </cell>
          <cell r="Y60">
            <v>79</v>
          </cell>
          <cell r="Z60">
            <v>0</v>
          </cell>
          <cell r="AA60">
            <v>0</v>
          </cell>
          <cell r="AB60">
            <v>0</v>
          </cell>
          <cell r="AC60">
            <v>46127</v>
          </cell>
          <cell r="AD60">
            <v>22</v>
          </cell>
          <cell r="AE60">
            <v>46387</v>
          </cell>
          <cell r="AF60">
            <v>77</v>
          </cell>
          <cell r="AG60">
            <v>0</v>
          </cell>
          <cell r="AH60">
            <v>77</v>
          </cell>
          <cell r="AI60">
            <v>79</v>
          </cell>
          <cell r="AJ60">
            <v>0</v>
          </cell>
          <cell r="AK60">
            <v>0</v>
          </cell>
          <cell r="AL60">
            <v>2</v>
          </cell>
          <cell r="AM60">
            <v>0</v>
          </cell>
          <cell r="AN60">
            <v>2</v>
          </cell>
          <cell r="AO60">
            <v>0</v>
          </cell>
          <cell r="AP60">
            <v>2</v>
          </cell>
          <cell r="AQ60" t="str">
            <v>US_CMSP_00707</v>
          </cell>
          <cell r="AR60">
            <v>0</v>
          </cell>
          <cell r="AS60">
            <v>176</v>
          </cell>
          <cell r="AU60">
            <v>176</v>
          </cell>
          <cell r="AV60">
            <v>0</v>
          </cell>
          <cell r="AW60">
            <v>352</v>
          </cell>
          <cell r="AX60">
            <v>348.48</v>
          </cell>
          <cell r="AY60">
            <v>0</v>
          </cell>
          <cell r="AZ60">
            <v>352</v>
          </cell>
          <cell r="BA60">
            <v>348.48</v>
          </cell>
          <cell r="BB60">
            <v>352</v>
          </cell>
          <cell r="BC60">
            <v>0</v>
          </cell>
          <cell r="BD60">
            <v>0</v>
          </cell>
          <cell r="BE60">
            <v>0</v>
          </cell>
          <cell r="BG60">
            <v>348.48</v>
          </cell>
          <cell r="BI60">
            <v>348.48</v>
          </cell>
          <cell r="BJ60">
            <v>13904</v>
          </cell>
          <cell r="BK60">
            <v>13904</v>
          </cell>
          <cell r="BL60">
            <v>13552</v>
          </cell>
          <cell r="BM60">
            <v>0</v>
          </cell>
          <cell r="BN60">
            <v>0</v>
          </cell>
          <cell r="BO60">
            <v>0</v>
          </cell>
          <cell r="BP60">
            <v>13552</v>
          </cell>
          <cell r="BQ60">
            <v>0</v>
          </cell>
          <cell r="BR60">
            <v>352</v>
          </cell>
          <cell r="BS60" t="str">
            <v>Y</v>
          </cell>
          <cell r="BT60">
            <v>2</v>
          </cell>
          <cell r="BU60">
            <v>1</v>
          </cell>
          <cell r="BV60" t="str">
            <v>N</v>
          </cell>
          <cell r="BW60">
            <v>0</v>
          </cell>
          <cell r="BX60">
            <v>0</v>
          </cell>
          <cell r="BY60">
            <v>2026</v>
          </cell>
          <cell r="BZ60" t="str">
            <v>-</v>
          </cell>
          <cell r="CA60" t="str">
            <v>-</v>
          </cell>
        </row>
        <row r="61">
          <cell r="A61" t="str">
            <v>Lucknow</v>
          </cell>
          <cell r="B61" t="str">
            <v>Mavericks</v>
          </cell>
          <cell r="C61" t="str">
            <v>Mid Level</v>
          </cell>
          <cell r="D61" t="str">
            <v>Mohammad Fakhrul</v>
          </cell>
          <cell r="E61" t="str">
            <v>-</v>
          </cell>
          <cell r="F61" t="str">
            <v>MSP</v>
          </cell>
          <cell r="H61" t="str">
            <v>Pass Through/MSP</v>
          </cell>
          <cell r="J61" t="str">
            <v>ACH</v>
          </cell>
          <cell r="L61" t="str">
            <v>New</v>
          </cell>
          <cell r="M61">
            <v>46105</v>
          </cell>
          <cell r="N61">
            <v>97</v>
          </cell>
          <cell r="P61">
            <v>46470</v>
          </cell>
          <cell r="Q61" t="str">
            <v>PLC-Passthrough</v>
          </cell>
          <cell r="R61" t="str">
            <v>Avinash Basetty</v>
          </cell>
          <cell r="S61" t="str">
            <v>Individual</v>
          </cell>
          <cell r="T61" t="str">
            <v>C2C</v>
          </cell>
          <cell r="U61" t="str">
            <v>CoForge</v>
          </cell>
          <cell r="V61">
            <v>77</v>
          </cell>
          <cell r="W61">
            <v>0</v>
          </cell>
          <cell r="X61" t="str">
            <v>USD</v>
          </cell>
          <cell r="Y61">
            <v>79</v>
          </cell>
          <cell r="Z61">
            <v>0</v>
          </cell>
          <cell r="AA61">
            <v>0</v>
          </cell>
          <cell r="AB61">
            <v>0</v>
          </cell>
          <cell r="AC61">
            <v>46157</v>
          </cell>
          <cell r="AD61">
            <v>22</v>
          </cell>
          <cell r="AE61">
            <v>46387</v>
          </cell>
          <cell r="AF61">
            <v>77</v>
          </cell>
          <cell r="AG61">
            <v>0</v>
          </cell>
          <cell r="AH61">
            <v>77</v>
          </cell>
          <cell r="AI61">
            <v>79</v>
          </cell>
          <cell r="AJ61">
            <v>0</v>
          </cell>
          <cell r="AK61">
            <v>0</v>
          </cell>
          <cell r="AL61">
            <v>2</v>
          </cell>
          <cell r="AM61">
            <v>0</v>
          </cell>
          <cell r="AN61">
            <v>2</v>
          </cell>
          <cell r="AO61">
            <v>0</v>
          </cell>
          <cell r="AP61">
            <v>2</v>
          </cell>
          <cell r="AQ61" t="str">
            <v>US_CMSP_00779</v>
          </cell>
          <cell r="AR61">
            <v>0</v>
          </cell>
          <cell r="AS61">
            <v>160</v>
          </cell>
          <cell r="AU61">
            <v>160</v>
          </cell>
          <cell r="AV61">
            <v>0</v>
          </cell>
          <cell r="AW61">
            <v>320</v>
          </cell>
          <cell r="AX61">
            <v>316.8</v>
          </cell>
          <cell r="AY61">
            <v>0</v>
          </cell>
          <cell r="AZ61">
            <v>320</v>
          </cell>
          <cell r="BA61">
            <v>316.8</v>
          </cell>
          <cell r="BB61">
            <v>320</v>
          </cell>
          <cell r="BC61">
            <v>0</v>
          </cell>
          <cell r="BD61">
            <v>0</v>
          </cell>
          <cell r="BE61">
            <v>0</v>
          </cell>
          <cell r="BG61">
            <v>316.8</v>
          </cell>
          <cell r="BI61">
            <v>316.8</v>
          </cell>
          <cell r="BJ61">
            <v>12640</v>
          </cell>
          <cell r="BK61">
            <v>12640</v>
          </cell>
          <cell r="BL61">
            <v>12320</v>
          </cell>
          <cell r="BM61">
            <v>0</v>
          </cell>
          <cell r="BN61">
            <v>0</v>
          </cell>
          <cell r="BO61">
            <v>0</v>
          </cell>
          <cell r="BP61">
            <v>12320</v>
          </cell>
          <cell r="BQ61">
            <v>0</v>
          </cell>
          <cell r="BR61">
            <v>320</v>
          </cell>
          <cell r="BT61">
            <v>2</v>
          </cell>
          <cell r="BU61">
            <v>1</v>
          </cell>
          <cell r="BV61" t="str">
            <v>N</v>
          </cell>
          <cell r="BW61">
            <v>0</v>
          </cell>
          <cell r="BX61">
            <v>0</v>
          </cell>
          <cell r="BY61">
            <v>2026</v>
          </cell>
          <cell r="BZ61" t="str">
            <v>-</v>
          </cell>
          <cell r="CA61" t="str">
            <v>-</v>
          </cell>
        </row>
        <row r="62">
          <cell r="A62" t="str">
            <v>Lucknow</v>
          </cell>
          <cell r="B62" t="str">
            <v>Titans</v>
          </cell>
          <cell r="C62" t="str">
            <v>Mid Level</v>
          </cell>
          <cell r="D62" t="str">
            <v>Noor Beg</v>
          </cell>
          <cell r="E62" t="str">
            <v>-</v>
          </cell>
          <cell r="F62" t="str">
            <v>Non-MSP</v>
          </cell>
          <cell r="H62" t="str">
            <v>Pass Through</v>
          </cell>
          <cell r="L62" t="str">
            <v>New</v>
          </cell>
          <cell r="M62">
            <v>46042</v>
          </cell>
          <cell r="N62">
            <v>160</v>
          </cell>
          <cell r="O62">
            <v>46100</v>
          </cell>
          <cell r="P62">
            <v>46407</v>
          </cell>
          <cell r="Q62" t="str">
            <v>PLC-Passthrough</v>
          </cell>
          <cell r="R62" t="str">
            <v>Ayana Murphy</v>
          </cell>
          <cell r="S62" t="str">
            <v>Individual</v>
          </cell>
          <cell r="T62" t="str">
            <v>C2C</v>
          </cell>
          <cell r="U62" t="str">
            <v>Genpact</v>
          </cell>
          <cell r="V62">
            <v>160</v>
          </cell>
          <cell r="W62">
            <v>0</v>
          </cell>
          <cell r="X62" t="str">
            <v>USD</v>
          </cell>
          <cell r="Y62">
            <v>165</v>
          </cell>
          <cell r="Z62">
            <v>0</v>
          </cell>
          <cell r="AA62">
            <v>0</v>
          </cell>
          <cell r="AB62">
            <v>0</v>
          </cell>
          <cell r="AC62">
            <v>46037</v>
          </cell>
          <cell r="AD62">
            <v>8</v>
          </cell>
          <cell r="AE62">
            <v>46387</v>
          </cell>
          <cell r="AF62">
            <v>160</v>
          </cell>
          <cell r="AG62">
            <v>0</v>
          </cell>
          <cell r="AH62">
            <v>160</v>
          </cell>
          <cell r="AI62">
            <v>165</v>
          </cell>
          <cell r="AJ62">
            <v>0</v>
          </cell>
          <cell r="AK62">
            <v>0</v>
          </cell>
          <cell r="AL62">
            <v>5</v>
          </cell>
          <cell r="AM62">
            <v>0</v>
          </cell>
          <cell r="AN62">
            <v>5</v>
          </cell>
          <cell r="AO62">
            <v>0</v>
          </cell>
          <cell r="AP62">
            <v>5</v>
          </cell>
          <cell r="AQ62" t="str">
            <v>US_GB_00010</v>
          </cell>
          <cell r="AR62">
            <v>0</v>
          </cell>
          <cell r="AS62">
            <v>32</v>
          </cell>
          <cell r="AU62">
            <v>32</v>
          </cell>
          <cell r="AV62">
            <v>0</v>
          </cell>
          <cell r="AW62">
            <v>160</v>
          </cell>
          <cell r="AX62">
            <v>160</v>
          </cell>
          <cell r="AY62">
            <v>0</v>
          </cell>
          <cell r="AZ62">
            <v>160</v>
          </cell>
          <cell r="BA62">
            <v>160</v>
          </cell>
          <cell r="BB62">
            <v>160</v>
          </cell>
          <cell r="BC62">
            <v>0</v>
          </cell>
          <cell r="BD62">
            <v>0</v>
          </cell>
          <cell r="BE62">
            <v>0</v>
          </cell>
          <cell r="BG62">
            <v>160</v>
          </cell>
          <cell r="BI62">
            <v>160</v>
          </cell>
          <cell r="BJ62">
            <v>5280</v>
          </cell>
          <cell r="BK62">
            <v>5280</v>
          </cell>
          <cell r="BL62">
            <v>5120</v>
          </cell>
          <cell r="BM62">
            <v>0</v>
          </cell>
          <cell r="BN62">
            <v>0</v>
          </cell>
          <cell r="BO62">
            <v>0</v>
          </cell>
          <cell r="BP62">
            <v>5120</v>
          </cell>
          <cell r="BQ62">
            <v>0</v>
          </cell>
          <cell r="BR62">
            <v>160</v>
          </cell>
          <cell r="BS62" t="str">
            <v>Y</v>
          </cell>
          <cell r="BT62">
            <v>1</v>
          </cell>
          <cell r="BU62">
            <v>1</v>
          </cell>
          <cell r="BV62" t="str">
            <v>Y</v>
          </cell>
          <cell r="BW62">
            <v>0</v>
          </cell>
          <cell r="BX62">
            <v>0</v>
          </cell>
          <cell r="BY62">
            <v>2026</v>
          </cell>
          <cell r="BZ62" t="str">
            <v>-</v>
          </cell>
          <cell r="CA62" t="str">
            <v>-</v>
          </cell>
        </row>
        <row r="63">
          <cell r="A63" t="str">
            <v>Lucknow</v>
          </cell>
          <cell r="B63" t="str">
            <v>Titans</v>
          </cell>
          <cell r="C63" t="str">
            <v>Mid Level</v>
          </cell>
          <cell r="D63" t="str">
            <v>Noor Beg</v>
          </cell>
          <cell r="E63" t="str">
            <v>-</v>
          </cell>
          <cell r="F63" t="str">
            <v>Non-MSP</v>
          </cell>
          <cell r="H63" t="str">
            <v>Pass Through</v>
          </cell>
          <cell r="L63" t="str">
            <v>New</v>
          </cell>
          <cell r="M63">
            <v>46042</v>
          </cell>
          <cell r="N63">
            <v>160</v>
          </cell>
          <cell r="O63">
            <v>46100</v>
          </cell>
          <cell r="P63">
            <v>46407</v>
          </cell>
          <cell r="Q63" t="str">
            <v>PLC-Passthrough</v>
          </cell>
          <cell r="R63" t="str">
            <v>Ayana Murphy</v>
          </cell>
          <cell r="S63" t="str">
            <v>Individual</v>
          </cell>
          <cell r="T63" t="str">
            <v>C2C</v>
          </cell>
          <cell r="U63" t="str">
            <v>Genpact</v>
          </cell>
          <cell r="V63">
            <v>160</v>
          </cell>
          <cell r="W63">
            <v>0</v>
          </cell>
          <cell r="X63" t="str">
            <v>USD</v>
          </cell>
          <cell r="Y63">
            <v>165</v>
          </cell>
          <cell r="Z63">
            <v>0</v>
          </cell>
          <cell r="AA63">
            <v>0</v>
          </cell>
          <cell r="AB63">
            <v>0</v>
          </cell>
          <cell r="AC63">
            <v>46068</v>
          </cell>
          <cell r="AD63">
            <v>20</v>
          </cell>
          <cell r="AE63">
            <v>46387</v>
          </cell>
          <cell r="AF63">
            <v>160</v>
          </cell>
          <cell r="AG63">
            <v>0</v>
          </cell>
          <cell r="AH63">
            <v>160</v>
          </cell>
          <cell r="AI63">
            <v>165</v>
          </cell>
          <cell r="AJ63">
            <v>0</v>
          </cell>
          <cell r="AK63">
            <v>0</v>
          </cell>
          <cell r="AL63">
            <v>5</v>
          </cell>
          <cell r="AM63">
            <v>0</v>
          </cell>
          <cell r="AN63">
            <v>5</v>
          </cell>
          <cell r="AO63">
            <v>0</v>
          </cell>
          <cell r="AP63">
            <v>5</v>
          </cell>
          <cell r="AQ63" t="str">
            <v>US_GB_00023</v>
          </cell>
          <cell r="AR63">
            <v>0</v>
          </cell>
          <cell r="AS63">
            <v>152</v>
          </cell>
          <cell r="AU63">
            <v>152</v>
          </cell>
          <cell r="AV63">
            <v>0</v>
          </cell>
          <cell r="AW63">
            <v>760</v>
          </cell>
          <cell r="AX63">
            <v>760</v>
          </cell>
          <cell r="AY63">
            <v>0</v>
          </cell>
          <cell r="AZ63">
            <v>760</v>
          </cell>
          <cell r="BA63">
            <v>760</v>
          </cell>
          <cell r="BB63">
            <v>760</v>
          </cell>
          <cell r="BC63">
            <v>0</v>
          </cell>
          <cell r="BD63">
            <v>0</v>
          </cell>
          <cell r="BE63">
            <v>0</v>
          </cell>
          <cell r="BG63">
            <v>760</v>
          </cell>
          <cell r="BI63">
            <v>760</v>
          </cell>
          <cell r="BJ63">
            <v>25080</v>
          </cell>
          <cell r="BK63">
            <v>25080</v>
          </cell>
          <cell r="BL63">
            <v>24320</v>
          </cell>
          <cell r="BM63">
            <v>0</v>
          </cell>
          <cell r="BN63">
            <v>0</v>
          </cell>
          <cell r="BO63">
            <v>0</v>
          </cell>
          <cell r="BP63">
            <v>24320</v>
          </cell>
          <cell r="BQ63">
            <v>0</v>
          </cell>
          <cell r="BR63">
            <v>760</v>
          </cell>
          <cell r="BS63" t="str">
            <v>Y</v>
          </cell>
          <cell r="BT63">
            <v>1</v>
          </cell>
          <cell r="BU63">
            <v>1</v>
          </cell>
          <cell r="BV63" t="str">
            <v>Y</v>
          </cell>
          <cell r="BW63">
            <v>0</v>
          </cell>
          <cell r="BX63">
            <v>0</v>
          </cell>
          <cell r="BY63">
            <v>2026</v>
          </cell>
          <cell r="BZ63" t="str">
            <v>-</v>
          </cell>
          <cell r="CA63" t="str">
            <v>-</v>
          </cell>
        </row>
        <row r="64">
          <cell r="A64" t="str">
            <v>Lucknow</v>
          </cell>
          <cell r="B64" t="str">
            <v>Titans</v>
          </cell>
          <cell r="C64" t="str">
            <v>Mid Level</v>
          </cell>
          <cell r="D64" t="str">
            <v>Noor Beg</v>
          </cell>
          <cell r="E64" t="str">
            <v>-</v>
          </cell>
          <cell r="F64" t="str">
            <v>Non-MSP</v>
          </cell>
          <cell r="H64" t="str">
            <v>Pass Through</v>
          </cell>
          <cell r="L64" t="str">
            <v>New</v>
          </cell>
          <cell r="M64">
            <v>46042</v>
          </cell>
          <cell r="N64">
            <v>160</v>
          </cell>
          <cell r="O64">
            <v>46100</v>
          </cell>
          <cell r="P64">
            <v>46407</v>
          </cell>
          <cell r="Q64" t="str">
            <v>PLC-Passthrough</v>
          </cell>
          <cell r="R64" t="str">
            <v>Ayana Murphy</v>
          </cell>
          <cell r="S64" t="str">
            <v>Individual</v>
          </cell>
          <cell r="T64" t="str">
            <v>C2C</v>
          </cell>
          <cell r="U64" t="str">
            <v>Genpact</v>
          </cell>
          <cell r="V64">
            <v>160</v>
          </cell>
          <cell r="W64">
            <v>0</v>
          </cell>
          <cell r="X64" t="str">
            <v>USD</v>
          </cell>
          <cell r="Y64">
            <v>165</v>
          </cell>
          <cell r="Z64">
            <v>0</v>
          </cell>
          <cell r="AA64">
            <v>0</v>
          </cell>
          <cell r="AB64">
            <v>0</v>
          </cell>
          <cell r="AC64">
            <v>46096</v>
          </cell>
          <cell r="AD64">
            <v>22</v>
          </cell>
          <cell r="AE64">
            <v>46387</v>
          </cell>
          <cell r="AF64">
            <v>160</v>
          </cell>
          <cell r="AG64">
            <v>0</v>
          </cell>
          <cell r="AH64">
            <v>160</v>
          </cell>
          <cell r="AI64">
            <v>165</v>
          </cell>
          <cell r="AJ64">
            <v>0</v>
          </cell>
          <cell r="AK64">
            <v>0</v>
          </cell>
          <cell r="AL64">
            <v>5</v>
          </cell>
          <cell r="AM64">
            <v>0</v>
          </cell>
          <cell r="AN64">
            <v>5</v>
          </cell>
          <cell r="AO64">
            <v>0</v>
          </cell>
          <cell r="AP64">
            <v>5</v>
          </cell>
          <cell r="AQ64" t="str">
            <v>US_GB_00038</v>
          </cell>
          <cell r="AR64">
            <v>0</v>
          </cell>
          <cell r="AS64">
            <v>111.5</v>
          </cell>
          <cell r="AU64">
            <v>111.5</v>
          </cell>
          <cell r="AV64">
            <v>0</v>
          </cell>
          <cell r="AW64">
            <v>557.5</v>
          </cell>
          <cell r="AX64">
            <v>557.5</v>
          </cell>
          <cell r="AY64">
            <v>0</v>
          </cell>
          <cell r="AZ64">
            <v>557.5</v>
          </cell>
          <cell r="BA64">
            <v>557.5</v>
          </cell>
          <cell r="BB64">
            <v>557.5</v>
          </cell>
          <cell r="BC64">
            <v>0</v>
          </cell>
          <cell r="BD64">
            <v>0</v>
          </cell>
          <cell r="BE64">
            <v>0</v>
          </cell>
          <cell r="BG64">
            <v>557.5</v>
          </cell>
          <cell r="BI64">
            <v>557.5</v>
          </cell>
          <cell r="BJ64">
            <v>18397.5</v>
          </cell>
          <cell r="BK64">
            <v>18397.5</v>
          </cell>
          <cell r="BL64">
            <v>17840</v>
          </cell>
          <cell r="BM64">
            <v>0</v>
          </cell>
          <cell r="BN64">
            <v>0</v>
          </cell>
          <cell r="BO64">
            <v>0</v>
          </cell>
          <cell r="BP64">
            <v>17840</v>
          </cell>
          <cell r="BQ64">
            <v>0</v>
          </cell>
          <cell r="BR64">
            <v>557.5</v>
          </cell>
          <cell r="BS64" t="str">
            <v>Y</v>
          </cell>
          <cell r="BT64">
            <v>1</v>
          </cell>
          <cell r="BU64">
            <v>1</v>
          </cell>
          <cell r="BV64" t="str">
            <v>Y</v>
          </cell>
          <cell r="BW64">
            <v>0</v>
          </cell>
          <cell r="BX64">
            <v>0</v>
          </cell>
          <cell r="BY64">
            <v>2026</v>
          </cell>
          <cell r="BZ64" t="str">
            <v>-</v>
          </cell>
          <cell r="CA64" t="str">
            <v>-</v>
          </cell>
        </row>
        <row r="65">
          <cell r="A65" t="str">
            <v>Lucknow</v>
          </cell>
          <cell r="B65" t="str">
            <v>Titans</v>
          </cell>
          <cell r="C65" t="str">
            <v>Mid Level</v>
          </cell>
          <cell r="D65" t="str">
            <v>Abhishek Yadav</v>
          </cell>
          <cell r="E65" t="str">
            <v>-</v>
          </cell>
          <cell r="F65" t="str">
            <v>Non-MSP</v>
          </cell>
          <cell r="H65" t="str">
            <v>Shubham Srivastava</v>
          </cell>
          <cell r="L65" t="str">
            <v>New</v>
          </cell>
          <cell r="M65">
            <v>46066</v>
          </cell>
          <cell r="N65">
            <v>136</v>
          </cell>
          <cell r="P65">
            <v>46431</v>
          </cell>
          <cell r="Q65" t="str">
            <v>PLC-4688</v>
          </cell>
          <cell r="R65" t="str">
            <v>Balaji Modhagala</v>
          </cell>
          <cell r="S65" t="str">
            <v>Individual</v>
          </cell>
          <cell r="T65">
            <v>1099</v>
          </cell>
          <cell r="U65" t="str">
            <v>Genpact</v>
          </cell>
          <cell r="V65">
            <v>74</v>
          </cell>
          <cell r="W65">
            <v>74</v>
          </cell>
          <cell r="X65" t="str">
            <v>USD</v>
          </cell>
          <cell r="Y65">
            <v>93</v>
          </cell>
          <cell r="Z65">
            <v>93</v>
          </cell>
          <cell r="AA65">
            <v>0</v>
          </cell>
          <cell r="AB65">
            <v>0</v>
          </cell>
          <cell r="AC65">
            <v>46068</v>
          </cell>
          <cell r="AD65">
            <v>11</v>
          </cell>
          <cell r="AE65">
            <v>46387</v>
          </cell>
          <cell r="AF65">
            <v>79.180000000000007</v>
          </cell>
          <cell r="AG65">
            <v>79.180000000000007</v>
          </cell>
          <cell r="AH65">
            <v>79.180000000000007</v>
          </cell>
          <cell r="AI65">
            <v>93</v>
          </cell>
          <cell r="AJ65">
            <v>93</v>
          </cell>
          <cell r="AK65">
            <v>13.819999999999993</v>
          </cell>
          <cell r="AL65">
            <v>13.819999999999993</v>
          </cell>
          <cell r="AM65">
            <v>13.819999999999993</v>
          </cell>
          <cell r="AN65">
            <v>13.819999999999993</v>
          </cell>
          <cell r="AO65">
            <v>13.819999999999993</v>
          </cell>
          <cell r="AP65">
            <v>13.819999999999993</v>
          </cell>
          <cell r="AQ65" t="str">
            <v>US_27174</v>
          </cell>
          <cell r="AR65">
            <v>0</v>
          </cell>
          <cell r="AS65">
            <v>80</v>
          </cell>
          <cell r="AU65">
            <v>80</v>
          </cell>
          <cell r="AV65">
            <v>0</v>
          </cell>
          <cell r="AW65">
            <v>1105.5999999999995</v>
          </cell>
          <cell r="AX65">
            <v>1105.5999999999995</v>
          </cell>
          <cell r="AY65">
            <v>0</v>
          </cell>
          <cell r="AZ65">
            <v>1105.5999999999995</v>
          </cell>
          <cell r="BA65">
            <v>1105.5999999999995</v>
          </cell>
          <cell r="BB65">
            <v>1105.5999999999995</v>
          </cell>
          <cell r="BC65">
            <v>0</v>
          </cell>
          <cell r="BD65">
            <v>0</v>
          </cell>
          <cell r="BE65">
            <v>0</v>
          </cell>
          <cell r="BG65">
            <v>1105.5999999999995</v>
          </cell>
          <cell r="BI65">
            <v>1105.5999999999995</v>
          </cell>
          <cell r="BJ65">
            <v>7440</v>
          </cell>
          <cell r="BK65">
            <v>7440</v>
          </cell>
          <cell r="BL65">
            <v>5920</v>
          </cell>
          <cell r="BM65">
            <v>5.1800000000000006</v>
          </cell>
          <cell r="BN65">
            <v>0</v>
          </cell>
          <cell r="BO65">
            <v>414.40000000000003</v>
          </cell>
          <cell r="BP65">
            <v>6334.4</v>
          </cell>
          <cell r="BQ65">
            <v>5.1800000000000006</v>
          </cell>
          <cell r="BR65">
            <v>1105.5999999999999</v>
          </cell>
          <cell r="BS65" t="str">
            <v>Y</v>
          </cell>
          <cell r="BT65">
            <v>1</v>
          </cell>
          <cell r="BU65">
            <v>1</v>
          </cell>
          <cell r="BV65" t="str">
            <v>N</v>
          </cell>
          <cell r="BW65">
            <v>0</v>
          </cell>
          <cell r="BX65">
            <v>0</v>
          </cell>
          <cell r="BY65">
            <v>2026</v>
          </cell>
          <cell r="BZ65" t="str">
            <v>-</v>
          </cell>
          <cell r="CA65" t="str">
            <v>-</v>
          </cell>
        </row>
        <row r="66">
          <cell r="A66" t="str">
            <v>Lucknow</v>
          </cell>
          <cell r="B66" t="str">
            <v>Titans</v>
          </cell>
          <cell r="C66" t="str">
            <v>Mid Level</v>
          </cell>
          <cell r="D66" t="str">
            <v>Abhishek Yadav</v>
          </cell>
          <cell r="E66" t="str">
            <v>-</v>
          </cell>
          <cell r="F66" t="str">
            <v>Non-MSP</v>
          </cell>
          <cell r="H66" t="str">
            <v>Shubham Srivastava</v>
          </cell>
          <cell r="J66" t="str">
            <v>ACH</v>
          </cell>
          <cell r="L66" t="str">
            <v>New</v>
          </cell>
          <cell r="M66">
            <v>46066</v>
          </cell>
          <cell r="N66">
            <v>136</v>
          </cell>
          <cell r="P66">
            <v>46431</v>
          </cell>
          <cell r="Q66" t="str">
            <v>PLC-4688</v>
          </cell>
          <cell r="R66" t="str">
            <v>Balaji Modhagala</v>
          </cell>
          <cell r="S66" t="str">
            <v>Individual</v>
          </cell>
          <cell r="T66">
            <v>1099</v>
          </cell>
          <cell r="U66" t="str">
            <v>Genpact</v>
          </cell>
          <cell r="V66">
            <v>74</v>
          </cell>
          <cell r="W66">
            <v>74</v>
          </cell>
          <cell r="X66" t="str">
            <v>USD</v>
          </cell>
          <cell r="Y66">
            <v>93</v>
          </cell>
          <cell r="Z66">
            <v>93</v>
          </cell>
          <cell r="AA66">
            <v>0</v>
          </cell>
          <cell r="AB66">
            <v>0</v>
          </cell>
          <cell r="AC66">
            <v>46096</v>
          </cell>
          <cell r="AD66">
            <v>22</v>
          </cell>
          <cell r="AE66">
            <v>46387</v>
          </cell>
          <cell r="AF66">
            <v>79.180000000000007</v>
          </cell>
          <cell r="AG66">
            <v>79.180000000000007</v>
          </cell>
          <cell r="AH66">
            <v>79.180000000000007</v>
          </cell>
          <cell r="AI66">
            <v>93</v>
          </cell>
          <cell r="AJ66">
            <v>93</v>
          </cell>
          <cell r="AK66">
            <v>13.819999999999993</v>
          </cell>
          <cell r="AL66">
            <v>13.819999999999993</v>
          </cell>
          <cell r="AM66">
            <v>13.819999999999993</v>
          </cell>
          <cell r="AN66">
            <v>13.819999999999993</v>
          </cell>
          <cell r="AO66">
            <v>13.819999999999993</v>
          </cell>
          <cell r="AP66">
            <v>13.819999999999993</v>
          </cell>
          <cell r="AQ66" t="str">
            <v>US_27388</v>
          </cell>
          <cell r="AR66">
            <v>0</v>
          </cell>
          <cell r="AS66">
            <v>176</v>
          </cell>
          <cell r="AU66">
            <v>176</v>
          </cell>
          <cell r="AV66">
            <v>0</v>
          </cell>
          <cell r="AW66">
            <v>2432.3199999999988</v>
          </cell>
          <cell r="AX66">
            <v>2407.996799999999</v>
          </cell>
          <cell r="AY66">
            <v>0</v>
          </cell>
          <cell r="AZ66">
            <v>2432.3199999999988</v>
          </cell>
          <cell r="BA66">
            <v>2407.996799999999</v>
          </cell>
          <cell r="BB66">
            <v>2432.3199999999988</v>
          </cell>
          <cell r="BC66">
            <v>0</v>
          </cell>
          <cell r="BD66">
            <v>0</v>
          </cell>
          <cell r="BE66">
            <v>0</v>
          </cell>
          <cell r="BG66">
            <v>2407.996799999999</v>
          </cell>
          <cell r="BI66">
            <v>2407.996799999999</v>
          </cell>
          <cell r="BJ66">
            <v>16368</v>
          </cell>
          <cell r="BK66">
            <v>16368</v>
          </cell>
          <cell r="BL66">
            <v>13024</v>
          </cell>
          <cell r="BM66">
            <v>5.1800000000000006</v>
          </cell>
          <cell r="BN66">
            <v>0</v>
          </cell>
          <cell r="BO66">
            <v>911.68000000000006</v>
          </cell>
          <cell r="BP66">
            <v>13935.68</v>
          </cell>
          <cell r="BQ66">
            <v>5.1800000000000006</v>
          </cell>
          <cell r="BR66">
            <v>2432.3199999999997</v>
          </cell>
          <cell r="BS66" t="str">
            <v>Y</v>
          </cell>
          <cell r="BT66">
            <v>1</v>
          </cell>
          <cell r="BU66">
            <v>1</v>
          </cell>
          <cell r="BV66" t="str">
            <v>N</v>
          </cell>
          <cell r="BW66">
            <v>0</v>
          </cell>
          <cell r="BX66">
            <v>0</v>
          </cell>
          <cell r="BY66">
            <v>2026</v>
          </cell>
          <cell r="BZ66" t="str">
            <v>-</v>
          </cell>
          <cell r="CA66" t="str">
            <v>-</v>
          </cell>
        </row>
        <row r="67">
          <cell r="A67" t="str">
            <v>Lucknow</v>
          </cell>
          <cell r="B67" t="str">
            <v>Titans</v>
          </cell>
          <cell r="C67" t="str">
            <v>Mid Level</v>
          </cell>
          <cell r="D67" t="str">
            <v>Abhishek Yadav</v>
          </cell>
          <cell r="E67" t="str">
            <v>-</v>
          </cell>
          <cell r="F67" t="str">
            <v>Non-MSP</v>
          </cell>
          <cell r="H67" t="str">
            <v>Shubham Srivastava</v>
          </cell>
          <cell r="J67" t="str">
            <v>ACH</v>
          </cell>
          <cell r="L67" t="str">
            <v>New</v>
          </cell>
          <cell r="M67">
            <v>46066</v>
          </cell>
          <cell r="N67">
            <v>136</v>
          </cell>
          <cell r="P67">
            <v>46431</v>
          </cell>
          <cell r="Q67" t="str">
            <v>PLC-4688</v>
          </cell>
          <cell r="R67" t="str">
            <v>Balaji Modhagala</v>
          </cell>
          <cell r="S67" t="str">
            <v>Individual</v>
          </cell>
          <cell r="T67">
            <v>1099</v>
          </cell>
          <cell r="U67" t="str">
            <v>Genpact</v>
          </cell>
          <cell r="V67">
            <v>74</v>
          </cell>
          <cell r="W67">
            <v>74</v>
          </cell>
          <cell r="X67" t="str">
            <v>USD</v>
          </cell>
          <cell r="Y67">
            <v>93</v>
          </cell>
          <cell r="Z67">
            <v>93</v>
          </cell>
          <cell r="AA67">
            <v>0</v>
          </cell>
          <cell r="AB67">
            <v>0</v>
          </cell>
          <cell r="AC67">
            <v>46127</v>
          </cell>
          <cell r="AD67">
            <v>22</v>
          </cell>
          <cell r="AE67">
            <v>46387</v>
          </cell>
          <cell r="AF67">
            <v>79.180000000000007</v>
          </cell>
          <cell r="AG67">
            <v>79.180000000000007</v>
          </cell>
          <cell r="AH67">
            <v>79.180000000000007</v>
          </cell>
          <cell r="AI67">
            <v>93</v>
          </cell>
          <cell r="AJ67">
            <v>93</v>
          </cell>
          <cell r="AK67">
            <v>13.819999999999993</v>
          </cell>
          <cell r="AL67">
            <v>13.819999999999993</v>
          </cell>
          <cell r="AM67">
            <v>13.819999999999993</v>
          </cell>
          <cell r="AN67">
            <v>13.819999999999993</v>
          </cell>
          <cell r="AO67">
            <v>13.819999999999993</v>
          </cell>
          <cell r="AP67">
            <v>13.819999999999993</v>
          </cell>
          <cell r="AQ67" t="str">
            <v>US_27622</v>
          </cell>
          <cell r="AR67">
            <v>0</v>
          </cell>
          <cell r="AS67">
            <v>168</v>
          </cell>
          <cell r="AU67">
            <v>168</v>
          </cell>
          <cell r="AV67">
            <v>0</v>
          </cell>
          <cell r="AW67">
            <v>2321.7599999999989</v>
          </cell>
          <cell r="AX67">
            <v>2298.5423999999989</v>
          </cell>
          <cell r="AY67">
            <v>0</v>
          </cell>
          <cell r="AZ67">
            <v>2321.7599999999989</v>
          </cell>
          <cell r="BA67">
            <v>2298.5423999999989</v>
          </cell>
          <cell r="BB67">
            <v>2321.7599999999989</v>
          </cell>
          <cell r="BC67">
            <v>0</v>
          </cell>
          <cell r="BD67">
            <v>0</v>
          </cell>
          <cell r="BE67">
            <v>0</v>
          </cell>
          <cell r="BG67">
            <v>2298.5423999999989</v>
          </cell>
          <cell r="BI67">
            <v>2298.5423999999989</v>
          </cell>
          <cell r="BJ67">
            <v>15624</v>
          </cell>
          <cell r="BK67">
            <v>15624</v>
          </cell>
          <cell r="BL67">
            <v>12432</v>
          </cell>
          <cell r="BM67">
            <v>5.1800000000000006</v>
          </cell>
          <cell r="BN67">
            <v>0</v>
          </cell>
          <cell r="BO67">
            <v>870.24000000000012</v>
          </cell>
          <cell r="BP67">
            <v>13302.24</v>
          </cell>
          <cell r="BQ67">
            <v>5.1800000000000006</v>
          </cell>
          <cell r="BR67">
            <v>2321.7599999999998</v>
          </cell>
          <cell r="BT67">
            <v>2</v>
          </cell>
          <cell r="BU67">
            <v>1</v>
          </cell>
          <cell r="BV67" t="str">
            <v>Y</v>
          </cell>
          <cell r="BW67">
            <v>0</v>
          </cell>
          <cell r="BX67">
            <v>0</v>
          </cell>
          <cell r="BY67">
            <v>2026</v>
          </cell>
          <cell r="BZ67" t="str">
            <v>-</v>
          </cell>
          <cell r="CA67" t="str">
            <v>-</v>
          </cell>
        </row>
        <row r="68">
          <cell r="A68" t="str">
            <v>Lucknow</v>
          </cell>
          <cell r="B68" t="str">
            <v>Titans</v>
          </cell>
          <cell r="C68" t="str">
            <v>Mid Level</v>
          </cell>
          <cell r="D68" t="str">
            <v>Abhishek Yadav</v>
          </cell>
          <cell r="E68" t="str">
            <v>-</v>
          </cell>
          <cell r="F68" t="str">
            <v>Non-MSP</v>
          </cell>
          <cell r="H68" t="str">
            <v>Shubham Srivastava</v>
          </cell>
          <cell r="J68" t="str">
            <v>ACH</v>
          </cell>
          <cell r="L68" t="str">
            <v>New</v>
          </cell>
          <cell r="M68">
            <v>46066</v>
          </cell>
          <cell r="N68">
            <v>136</v>
          </cell>
          <cell r="P68">
            <v>46431</v>
          </cell>
          <cell r="Q68" t="str">
            <v>PLC-4688</v>
          </cell>
          <cell r="R68" t="str">
            <v>Balaji Modhagala</v>
          </cell>
          <cell r="S68" t="str">
            <v>Individual</v>
          </cell>
          <cell r="T68">
            <v>1099</v>
          </cell>
          <cell r="U68" t="str">
            <v>Genpact</v>
          </cell>
          <cell r="V68">
            <v>74</v>
          </cell>
          <cell r="W68">
            <v>74</v>
          </cell>
          <cell r="X68" t="str">
            <v>USD</v>
          </cell>
          <cell r="Y68">
            <v>93</v>
          </cell>
          <cell r="Z68">
            <v>93</v>
          </cell>
          <cell r="AA68">
            <v>0</v>
          </cell>
          <cell r="AB68">
            <v>0</v>
          </cell>
          <cell r="AC68">
            <v>46157</v>
          </cell>
          <cell r="AD68">
            <v>22</v>
          </cell>
          <cell r="AE68">
            <v>46387</v>
          </cell>
          <cell r="AF68">
            <v>79.180000000000007</v>
          </cell>
          <cell r="AG68">
            <v>79.180000000000007</v>
          </cell>
          <cell r="AH68">
            <v>79.180000000000007</v>
          </cell>
          <cell r="AI68">
            <v>93</v>
          </cell>
          <cell r="AJ68">
            <v>93</v>
          </cell>
          <cell r="AK68">
            <v>13.819999999999993</v>
          </cell>
          <cell r="AL68">
            <v>13.819999999999993</v>
          </cell>
          <cell r="AM68">
            <v>13.819999999999993</v>
          </cell>
          <cell r="AN68">
            <v>13.819999999999993</v>
          </cell>
          <cell r="AO68">
            <v>13.819999999999993</v>
          </cell>
          <cell r="AP68">
            <v>13.819999999999993</v>
          </cell>
          <cell r="AQ68" t="str">
            <v>US_27910</v>
          </cell>
          <cell r="AR68">
            <v>8</v>
          </cell>
          <cell r="AS68">
            <v>160</v>
          </cell>
          <cell r="AU68">
            <v>160</v>
          </cell>
          <cell r="AV68">
            <v>110.55999999999995</v>
          </cell>
          <cell r="AW68">
            <v>2211.1999999999989</v>
          </cell>
          <cell r="AX68">
            <v>2298.5423999999989</v>
          </cell>
          <cell r="AY68">
            <v>110.55999999999995</v>
          </cell>
          <cell r="AZ68">
            <v>2211.1999999999989</v>
          </cell>
          <cell r="BA68">
            <v>2298.5423999999989</v>
          </cell>
          <cell r="BB68">
            <v>2211.1999999999989</v>
          </cell>
          <cell r="BC68">
            <v>0</v>
          </cell>
          <cell r="BD68">
            <v>0</v>
          </cell>
          <cell r="BE68">
            <v>0</v>
          </cell>
          <cell r="BG68">
            <v>2298.5423999999989</v>
          </cell>
          <cell r="BI68">
            <v>2298.5423999999989</v>
          </cell>
          <cell r="BJ68">
            <v>14880</v>
          </cell>
          <cell r="BK68">
            <v>14880</v>
          </cell>
          <cell r="BL68">
            <v>11840</v>
          </cell>
          <cell r="BM68">
            <v>5.1800000000000006</v>
          </cell>
          <cell r="BN68">
            <v>0</v>
          </cell>
          <cell r="BO68">
            <v>828.80000000000007</v>
          </cell>
          <cell r="BP68">
            <v>12668.8</v>
          </cell>
          <cell r="BQ68">
            <v>5.1800000000000006</v>
          </cell>
          <cell r="BR68">
            <v>2211.1999999999998</v>
          </cell>
          <cell r="BT68">
            <v>2</v>
          </cell>
          <cell r="BU68">
            <v>1</v>
          </cell>
          <cell r="BV68" t="str">
            <v>Y</v>
          </cell>
          <cell r="BW68">
            <v>0</v>
          </cell>
          <cell r="BX68">
            <v>0</v>
          </cell>
          <cell r="BY68">
            <v>2026</v>
          </cell>
          <cell r="BZ68" t="str">
            <v>-</v>
          </cell>
          <cell r="CA68" t="str">
            <v>-</v>
          </cell>
        </row>
        <row r="69">
          <cell r="A69" t="str">
            <v>Lucknow</v>
          </cell>
          <cell r="B69" t="str">
            <v>Titans</v>
          </cell>
          <cell r="C69" t="str">
            <v>Mid Level</v>
          </cell>
          <cell r="D69" t="str">
            <v>Nitin Saxena</v>
          </cell>
          <cell r="E69" t="str">
            <v>-</v>
          </cell>
          <cell r="F69" t="str">
            <v>Non-MSP</v>
          </cell>
          <cell r="H69" t="str">
            <v>Samad Quraishi</v>
          </cell>
          <cell r="L69" t="str">
            <v>New</v>
          </cell>
          <cell r="M69">
            <v>46069</v>
          </cell>
          <cell r="N69">
            <v>133</v>
          </cell>
          <cell r="O69">
            <v>46077</v>
          </cell>
          <cell r="P69">
            <v>46434</v>
          </cell>
          <cell r="Q69" t="str">
            <v>PLC-4727</v>
          </cell>
          <cell r="R69" t="str">
            <v>Belinda Salas Miller</v>
          </cell>
          <cell r="S69" t="str">
            <v>Individual</v>
          </cell>
          <cell r="T69" t="str">
            <v>C2C</v>
          </cell>
          <cell r="U69" t="str">
            <v>Genpact</v>
          </cell>
          <cell r="V69">
            <v>135</v>
          </cell>
          <cell r="W69">
            <v>0</v>
          </cell>
          <cell r="X69" t="str">
            <v>USD</v>
          </cell>
          <cell r="Y69">
            <v>210</v>
          </cell>
          <cell r="Z69">
            <v>0</v>
          </cell>
          <cell r="AA69">
            <v>0</v>
          </cell>
          <cell r="AB69">
            <v>0</v>
          </cell>
          <cell r="AC69">
            <v>46068</v>
          </cell>
          <cell r="AD69">
            <v>10</v>
          </cell>
          <cell r="AE69">
            <v>46387</v>
          </cell>
          <cell r="AF69">
            <v>135</v>
          </cell>
          <cell r="AG69">
            <v>0</v>
          </cell>
          <cell r="AH69">
            <v>135</v>
          </cell>
          <cell r="AI69">
            <v>210</v>
          </cell>
          <cell r="AJ69">
            <v>0</v>
          </cell>
          <cell r="AK69">
            <v>0</v>
          </cell>
          <cell r="AL69">
            <v>75</v>
          </cell>
          <cell r="AM69">
            <v>0</v>
          </cell>
          <cell r="AN69">
            <v>75</v>
          </cell>
          <cell r="AO69">
            <v>0</v>
          </cell>
          <cell r="AP69">
            <v>20</v>
          </cell>
          <cell r="AQ69" t="str">
            <v>US_26977</v>
          </cell>
          <cell r="AR69">
            <v>0</v>
          </cell>
          <cell r="AS69">
            <v>27.26</v>
          </cell>
          <cell r="AU69">
            <v>27.26</v>
          </cell>
          <cell r="AV69">
            <v>0</v>
          </cell>
          <cell r="AW69">
            <v>2044.5000000000002</v>
          </cell>
          <cell r="AX69">
            <v>2044.5000000000002</v>
          </cell>
          <cell r="AY69">
            <v>0</v>
          </cell>
          <cell r="AZ69">
            <v>545.20000000000005</v>
          </cell>
          <cell r="BA69">
            <v>545.20000000000005</v>
          </cell>
          <cell r="BB69">
            <v>2044.5000000000002</v>
          </cell>
          <cell r="BC69">
            <v>55.555555555555557</v>
          </cell>
          <cell r="BD69">
            <v>719.6640000000001</v>
          </cell>
          <cell r="BE69">
            <v>719.6640000000001</v>
          </cell>
          <cell r="BG69">
            <v>545.20000000000005</v>
          </cell>
          <cell r="BI69">
            <v>2044.5000000000002</v>
          </cell>
          <cell r="BJ69">
            <v>5724.6</v>
          </cell>
          <cell r="BK69">
            <v>5724.6</v>
          </cell>
          <cell r="BL69">
            <v>3680.1000000000004</v>
          </cell>
          <cell r="BM69">
            <v>0</v>
          </cell>
          <cell r="BN69">
            <v>0</v>
          </cell>
          <cell r="BO69">
            <v>0</v>
          </cell>
          <cell r="BP69">
            <v>3680.1000000000004</v>
          </cell>
          <cell r="BQ69">
            <v>0</v>
          </cell>
          <cell r="BR69">
            <v>2044.5</v>
          </cell>
          <cell r="BT69">
            <v>1</v>
          </cell>
          <cell r="BU69">
            <v>1</v>
          </cell>
          <cell r="BV69" t="str">
            <v>Y</v>
          </cell>
          <cell r="BW69">
            <v>1439.3280000000002</v>
          </cell>
          <cell r="BX69">
            <v>1439.3280000000002</v>
          </cell>
          <cell r="BY69">
            <v>2026</v>
          </cell>
          <cell r="BZ69" t="str">
            <v>-</v>
          </cell>
          <cell r="CA69" t="str">
            <v>-</v>
          </cell>
        </row>
        <row r="70">
          <cell r="A70" t="str">
            <v>Lucknow</v>
          </cell>
          <cell r="B70" t="str">
            <v>Mavericks</v>
          </cell>
          <cell r="C70" t="str">
            <v>Mid Level</v>
          </cell>
          <cell r="D70" t="str">
            <v>Akbar Ibrahim</v>
          </cell>
          <cell r="E70" t="str">
            <v>-</v>
          </cell>
          <cell r="F70" t="str">
            <v>MSP</v>
          </cell>
          <cell r="H70" t="str">
            <v>Pass Through</v>
          </cell>
          <cell r="L70" t="str">
            <v>New</v>
          </cell>
          <cell r="M70">
            <v>46041</v>
          </cell>
          <cell r="N70">
            <v>161</v>
          </cell>
          <cell r="P70">
            <v>46406</v>
          </cell>
          <cell r="Q70" t="str">
            <v>PLC-Passthrough</v>
          </cell>
          <cell r="R70" t="str">
            <v>Bhanupriya Ananda Murthy</v>
          </cell>
          <cell r="S70" t="str">
            <v>Individual</v>
          </cell>
          <cell r="T70" t="str">
            <v>C2C Canada</v>
          </cell>
          <cell r="U70" t="str">
            <v>CoForge</v>
          </cell>
          <cell r="V70">
            <v>61</v>
          </cell>
          <cell r="W70">
            <v>0</v>
          </cell>
          <cell r="X70" t="str">
            <v>CAD</v>
          </cell>
          <cell r="Y70">
            <v>63</v>
          </cell>
          <cell r="Z70">
            <v>0</v>
          </cell>
          <cell r="AA70">
            <v>0</v>
          </cell>
          <cell r="AB70">
            <v>0</v>
          </cell>
          <cell r="AC70">
            <v>46037</v>
          </cell>
          <cell r="AD70">
            <v>10</v>
          </cell>
          <cell r="AE70">
            <v>46387</v>
          </cell>
          <cell r="AF70">
            <v>43.309999999999995</v>
          </cell>
          <cell r="AG70">
            <v>0</v>
          </cell>
          <cell r="AH70">
            <v>43.309999999999995</v>
          </cell>
          <cell r="AI70">
            <v>44.73</v>
          </cell>
          <cell r="AJ70">
            <v>0</v>
          </cell>
          <cell r="AK70">
            <v>0</v>
          </cell>
          <cell r="AL70">
            <v>1.4200000000000017</v>
          </cell>
          <cell r="AM70">
            <v>0</v>
          </cell>
          <cell r="AN70">
            <v>1.4200000000000017</v>
          </cell>
          <cell r="AO70">
            <v>0</v>
          </cell>
          <cell r="AP70">
            <v>1.4200000000000017</v>
          </cell>
          <cell r="AQ70" t="str">
            <v>CAD_1942</v>
          </cell>
          <cell r="AR70">
            <v>0</v>
          </cell>
          <cell r="AS70">
            <v>75</v>
          </cell>
          <cell r="AU70">
            <v>75</v>
          </cell>
          <cell r="AV70">
            <v>0</v>
          </cell>
          <cell r="AW70">
            <v>106.50000000000013</v>
          </cell>
          <cell r="AX70">
            <v>106.50000000000013</v>
          </cell>
          <cell r="AY70">
            <v>0</v>
          </cell>
          <cell r="AZ70">
            <v>106.50000000000013</v>
          </cell>
          <cell r="BA70">
            <v>106.50000000000013</v>
          </cell>
          <cell r="BB70">
            <v>106.50000000000013</v>
          </cell>
          <cell r="BC70">
            <v>0</v>
          </cell>
          <cell r="BD70">
            <v>0</v>
          </cell>
          <cell r="BE70">
            <v>0</v>
          </cell>
          <cell r="BG70">
            <v>106.50000000000013</v>
          </cell>
          <cell r="BI70">
            <v>106.50000000000013</v>
          </cell>
          <cell r="BJ70">
            <v>4725</v>
          </cell>
          <cell r="BK70">
            <v>3354.7499999999995</v>
          </cell>
          <cell r="BL70">
            <v>3389.6174999999998</v>
          </cell>
          <cell r="BM70">
            <v>0</v>
          </cell>
          <cell r="BN70">
            <v>0</v>
          </cell>
          <cell r="BO70">
            <v>0</v>
          </cell>
          <cell r="BP70">
            <v>3389.6174999999998</v>
          </cell>
          <cell r="BQ70">
            <v>0</v>
          </cell>
          <cell r="BR70">
            <v>-34.867500000000291</v>
          </cell>
          <cell r="BS70" t="str">
            <v>Y</v>
          </cell>
          <cell r="BT70">
            <v>1</v>
          </cell>
          <cell r="BU70">
            <v>1</v>
          </cell>
          <cell r="BV70" t="str">
            <v>Y</v>
          </cell>
          <cell r="BW70">
            <v>0</v>
          </cell>
          <cell r="BX70">
            <v>0</v>
          </cell>
          <cell r="BY70">
            <v>2026</v>
          </cell>
          <cell r="BZ70" t="str">
            <v>-</v>
          </cell>
          <cell r="CA70" t="str">
            <v>-</v>
          </cell>
        </row>
        <row r="71">
          <cell r="A71" t="str">
            <v>Lucknow</v>
          </cell>
          <cell r="B71" t="str">
            <v>Mavericks</v>
          </cell>
          <cell r="C71" t="str">
            <v>Mid Level</v>
          </cell>
          <cell r="D71" t="str">
            <v>Akbar Ibrahim</v>
          </cell>
          <cell r="E71" t="str">
            <v>-</v>
          </cell>
          <cell r="F71" t="str">
            <v>MSP</v>
          </cell>
          <cell r="H71" t="str">
            <v>Pass Through</v>
          </cell>
          <cell r="L71" t="str">
            <v>New</v>
          </cell>
          <cell r="M71">
            <v>46041</v>
          </cell>
          <cell r="N71">
            <v>161</v>
          </cell>
          <cell r="P71">
            <v>46406</v>
          </cell>
          <cell r="Q71" t="str">
            <v>PLC-Passthrough</v>
          </cell>
          <cell r="R71" t="str">
            <v>Bhanupriya Ananda Murthy</v>
          </cell>
          <cell r="S71" t="str">
            <v>Individual</v>
          </cell>
          <cell r="T71" t="str">
            <v>C2C Canada</v>
          </cell>
          <cell r="U71" t="str">
            <v>CoForge</v>
          </cell>
          <cell r="V71">
            <v>61</v>
          </cell>
          <cell r="W71">
            <v>0</v>
          </cell>
          <cell r="X71" t="str">
            <v>CAD</v>
          </cell>
          <cell r="Y71">
            <v>63</v>
          </cell>
          <cell r="Z71">
            <v>0</v>
          </cell>
          <cell r="AA71">
            <v>0</v>
          </cell>
          <cell r="AB71">
            <v>0</v>
          </cell>
          <cell r="AC71">
            <v>46068</v>
          </cell>
          <cell r="AD71">
            <v>20</v>
          </cell>
          <cell r="AE71">
            <v>46387</v>
          </cell>
          <cell r="AF71">
            <v>43.309999999999995</v>
          </cell>
          <cell r="AG71">
            <v>0</v>
          </cell>
          <cell r="AH71">
            <v>43.309999999999995</v>
          </cell>
          <cell r="AI71">
            <v>44.73</v>
          </cell>
          <cell r="AJ71">
            <v>0</v>
          </cell>
          <cell r="AK71">
            <v>0</v>
          </cell>
          <cell r="AL71">
            <v>1.4200000000000017</v>
          </cell>
          <cell r="AM71">
            <v>0</v>
          </cell>
          <cell r="AN71">
            <v>1.4200000000000017</v>
          </cell>
          <cell r="AO71">
            <v>0</v>
          </cell>
          <cell r="AP71">
            <v>1.4200000000000017</v>
          </cell>
          <cell r="AQ71" t="str">
            <v>CAD_1948</v>
          </cell>
          <cell r="AR71">
            <v>0</v>
          </cell>
          <cell r="AS71">
            <v>142.5</v>
          </cell>
          <cell r="AU71">
            <v>142.5</v>
          </cell>
          <cell r="AV71">
            <v>0</v>
          </cell>
          <cell r="AW71">
            <v>202.35000000000025</v>
          </cell>
          <cell r="AX71">
            <v>202.35000000000025</v>
          </cell>
          <cell r="AY71">
            <v>0</v>
          </cell>
          <cell r="AZ71">
            <v>202.35000000000025</v>
          </cell>
          <cell r="BA71">
            <v>202.35000000000025</v>
          </cell>
          <cell r="BB71">
            <v>202.35000000000025</v>
          </cell>
          <cell r="BC71">
            <v>0</v>
          </cell>
          <cell r="BD71">
            <v>0</v>
          </cell>
          <cell r="BE71">
            <v>0</v>
          </cell>
          <cell r="BG71">
            <v>202.35000000000025</v>
          </cell>
          <cell r="BI71">
            <v>202.35000000000025</v>
          </cell>
          <cell r="BJ71">
            <v>8977.5</v>
          </cell>
          <cell r="BK71">
            <v>6374.0249999999996</v>
          </cell>
          <cell r="BL71">
            <v>6440.2732500000002</v>
          </cell>
          <cell r="BM71">
            <v>0</v>
          </cell>
          <cell r="BN71">
            <v>0</v>
          </cell>
          <cell r="BO71">
            <v>0</v>
          </cell>
          <cell r="BP71">
            <v>6440.2732500000002</v>
          </cell>
          <cell r="BQ71">
            <v>0</v>
          </cell>
          <cell r="BR71">
            <v>-66.248250000000553</v>
          </cell>
          <cell r="BS71" t="str">
            <v>Y</v>
          </cell>
          <cell r="BT71">
            <v>1</v>
          </cell>
          <cell r="BU71">
            <v>1</v>
          </cell>
          <cell r="BV71" t="str">
            <v>Y</v>
          </cell>
          <cell r="BW71">
            <v>0</v>
          </cell>
          <cell r="BX71">
            <v>0</v>
          </cell>
          <cell r="BY71">
            <v>2026</v>
          </cell>
          <cell r="BZ71" t="str">
            <v>-</v>
          </cell>
          <cell r="CA71" t="str">
            <v>-</v>
          </cell>
        </row>
        <row r="72">
          <cell r="A72" t="str">
            <v>Lucknow</v>
          </cell>
          <cell r="B72" t="str">
            <v>Mavericks</v>
          </cell>
          <cell r="C72" t="str">
            <v>Mid Level</v>
          </cell>
          <cell r="D72" t="str">
            <v>Akbar Ibrahim</v>
          </cell>
          <cell r="E72" t="str">
            <v>-</v>
          </cell>
          <cell r="F72" t="str">
            <v>MSP</v>
          </cell>
          <cell r="H72" t="str">
            <v>Pass Through</v>
          </cell>
          <cell r="L72" t="str">
            <v>New</v>
          </cell>
          <cell r="M72">
            <v>46041</v>
          </cell>
          <cell r="N72">
            <v>161</v>
          </cell>
          <cell r="P72">
            <v>46406</v>
          </cell>
          <cell r="Q72" t="str">
            <v>PLC-Passthrough</v>
          </cell>
          <cell r="R72" t="str">
            <v>Bhanupriya Ananda Murthy</v>
          </cell>
          <cell r="S72" t="str">
            <v>Individual</v>
          </cell>
          <cell r="T72" t="str">
            <v>C2C Canada</v>
          </cell>
          <cell r="U72" t="str">
            <v>CoForge</v>
          </cell>
          <cell r="V72">
            <v>61</v>
          </cell>
          <cell r="W72">
            <v>0</v>
          </cell>
          <cell r="X72" t="str">
            <v>CAD</v>
          </cell>
          <cell r="Y72">
            <v>63</v>
          </cell>
          <cell r="Z72">
            <v>0</v>
          </cell>
          <cell r="AA72">
            <v>0</v>
          </cell>
          <cell r="AB72">
            <v>0</v>
          </cell>
          <cell r="AC72">
            <v>46096</v>
          </cell>
          <cell r="AD72">
            <v>22</v>
          </cell>
          <cell r="AE72">
            <v>46387</v>
          </cell>
          <cell r="AF72">
            <v>43.309999999999995</v>
          </cell>
          <cell r="AG72">
            <v>0</v>
          </cell>
          <cell r="AH72">
            <v>43.309999999999995</v>
          </cell>
          <cell r="AI72">
            <v>44.73</v>
          </cell>
          <cell r="AJ72">
            <v>0</v>
          </cell>
          <cell r="AK72">
            <v>0</v>
          </cell>
          <cell r="AL72">
            <v>1.4200000000000017</v>
          </cell>
          <cell r="AM72">
            <v>0</v>
          </cell>
          <cell r="AN72">
            <v>1.4200000000000017</v>
          </cell>
          <cell r="AO72">
            <v>0</v>
          </cell>
          <cell r="AP72">
            <v>1.4200000000000017</v>
          </cell>
          <cell r="AQ72" t="str">
            <v>CAD_2080</v>
          </cell>
          <cell r="AR72">
            <v>0</v>
          </cell>
          <cell r="AS72">
            <v>165</v>
          </cell>
          <cell r="AU72">
            <v>165</v>
          </cell>
          <cell r="AV72">
            <v>0</v>
          </cell>
          <cell r="AW72">
            <v>234.3000000000003</v>
          </cell>
          <cell r="AX72">
            <v>234.3000000000003</v>
          </cell>
          <cell r="AY72">
            <v>0</v>
          </cell>
          <cell r="AZ72">
            <v>234.3000000000003</v>
          </cell>
          <cell r="BA72">
            <v>234.3000000000003</v>
          </cell>
          <cell r="BB72">
            <v>234.3000000000003</v>
          </cell>
          <cell r="BC72">
            <v>0</v>
          </cell>
          <cell r="BD72">
            <v>0</v>
          </cell>
          <cell r="BE72">
            <v>0</v>
          </cell>
          <cell r="BG72">
            <v>234.3000000000003</v>
          </cell>
          <cell r="BI72">
            <v>234.3000000000003</v>
          </cell>
          <cell r="BJ72">
            <v>10395</v>
          </cell>
          <cell r="BK72">
            <v>7380.45</v>
          </cell>
          <cell r="BL72">
            <v>7457.1585000000005</v>
          </cell>
          <cell r="BM72">
            <v>0</v>
          </cell>
          <cell r="BN72">
            <v>0</v>
          </cell>
          <cell r="BO72">
            <v>0</v>
          </cell>
          <cell r="BP72">
            <v>7457.1585000000005</v>
          </cell>
          <cell r="BQ72">
            <v>0</v>
          </cell>
          <cell r="BR72">
            <v>-76.70850000000064</v>
          </cell>
          <cell r="BS72" t="str">
            <v>Y</v>
          </cell>
          <cell r="BT72">
            <v>1</v>
          </cell>
          <cell r="BU72">
            <v>1</v>
          </cell>
          <cell r="BV72" t="str">
            <v>Y</v>
          </cell>
          <cell r="BW72">
            <v>0</v>
          </cell>
          <cell r="BX72">
            <v>0</v>
          </cell>
          <cell r="BY72">
            <v>2026</v>
          </cell>
          <cell r="BZ72" t="str">
            <v>-</v>
          </cell>
          <cell r="CA72" t="str">
            <v>-</v>
          </cell>
        </row>
        <row r="73">
          <cell r="A73" t="str">
            <v>Lucknow</v>
          </cell>
          <cell r="B73" t="str">
            <v>Mavericks</v>
          </cell>
          <cell r="C73" t="str">
            <v>Mid Level</v>
          </cell>
          <cell r="D73" t="str">
            <v>Akbar Ibrahim</v>
          </cell>
          <cell r="E73" t="str">
            <v>-</v>
          </cell>
          <cell r="F73" t="str">
            <v>MSP</v>
          </cell>
          <cell r="H73" t="str">
            <v>Pass Through</v>
          </cell>
          <cell r="J73" t="str">
            <v>ACH</v>
          </cell>
          <cell r="L73" t="str">
            <v>New</v>
          </cell>
          <cell r="M73">
            <v>46041</v>
          </cell>
          <cell r="N73">
            <v>161</v>
          </cell>
          <cell r="P73">
            <v>46406</v>
          </cell>
          <cell r="Q73" t="str">
            <v>PLC-Passthrough</v>
          </cell>
          <cell r="R73" t="str">
            <v>Bhanupriya Ananda Murthy</v>
          </cell>
          <cell r="S73" t="str">
            <v>Individual</v>
          </cell>
          <cell r="T73" t="str">
            <v>C2C Canada</v>
          </cell>
          <cell r="U73" t="str">
            <v>CoForge</v>
          </cell>
          <cell r="V73">
            <v>61</v>
          </cell>
          <cell r="W73">
            <v>0</v>
          </cell>
          <cell r="X73" t="str">
            <v>CAD</v>
          </cell>
          <cell r="Y73">
            <v>63</v>
          </cell>
          <cell r="Z73">
            <v>0</v>
          </cell>
          <cell r="AA73">
            <v>0</v>
          </cell>
          <cell r="AB73">
            <v>0</v>
          </cell>
          <cell r="AC73">
            <v>46127</v>
          </cell>
          <cell r="AD73">
            <v>22</v>
          </cell>
          <cell r="AE73">
            <v>46387</v>
          </cell>
          <cell r="AF73">
            <v>43.309999999999995</v>
          </cell>
          <cell r="AG73">
            <v>0</v>
          </cell>
          <cell r="AH73">
            <v>43.309999999999995</v>
          </cell>
          <cell r="AI73">
            <v>44.73</v>
          </cell>
          <cell r="AJ73">
            <v>0</v>
          </cell>
          <cell r="AK73">
            <v>0</v>
          </cell>
          <cell r="AL73">
            <v>1.4200000000000017</v>
          </cell>
          <cell r="AM73">
            <v>0</v>
          </cell>
          <cell r="AN73">
            <v>1.4200000000000017</v>
          </cell>
          <cell r="AO73">
            <v>0</v>
          </cell>
          <cell r="AP73">
            <v>1.4200000000000017</v>
          </cell>
          <cell r="AQ73" t="str">
            <v>CAD_2103</v>
          </cell>
          <cell r="AR73">
            <v>0</v>
          </cell>
          <cell r="AS73">
            <v>142.5</v>
          </cell>
          <cell r="AU73">
            <v>142.5</v>
          </cell>
          <cell r="AV73">
            <v>0</v>
          </cell>
          <cell r="AW73">
            <v>202.35000000000025</v>
          </cell>
          <cell r="AX73">
            <v>200.32650000000024</v>
          </cell>
          <cell r="AY73">
            <v>0</v>
          </cell>
          <cell r="AZ73">
            <v>202.35000000000025</v>
          </cell>
          <cell r="BA73">
            <v>200.32650000000024</v>
          </cell>
          <cell r="BB73">
            <v>202.35000000000025</v>
          </cell>
          <cell r="BC73">
            <v>0</v>
          </cell>
          <cell r="BD73">
            <v>0</v>
          </cell>
          <cell r="BE73">
            <v>0</v>
          </cell>
          <cell r="BG73">
            <v>200.32650000000024</v>
          </cell>
          <cell r="BI73">
            <v>200.32650000000024</v>
          </cell>
          <cell r="BJ73">
            <v>8977.5</v>
          </cell>
          <cell r="BK73">
            <v>6374.0249999999996</v>
          </cell>
          <cell r="BL73">
            <v>6440.2732500000002</v>
          </cell>
          <cell r="BM73">
            <v>0</v>
          </cell>
          <cell r="BN73">
            <v>0</v>
          </cell>
          <cell r="BO73">
            <v>0</v>
          </cell>
          <cell r="BP73">
            <v>6440.2732500000002</v>
          </cell>
          <cell r="BQ73">
            <v>0</v>
          </cell>
          <cell r="BR73">
            <v>-66.248250000000553</v>
          </cell>
          <cell r="BS73" t="str">
            <v>Y</v>
          </cell>
          <cell r="BT73">
            <v>2</v>
          </cell>
          <cell r="BU73">
            <v>1</v>
          </cell>
          <cell r="BV73" t="str">
            <v>Y</v>
          </cell>
          <cell r="BW73">
            <v>0</v>
          </cell>
          <cell r="BX73">
            <v>0</v>
          </cell>
          <cell r="BY73">
            <v>2026</v>
          </cell>
          <cell r="BZ73" t="str">
            <v>-</v>
          </cell>
          <cell r="CA73" t="str">
            <v>-</v>
          </cell>
        </row>
        <row r="74">
          <cell r="A74" t="str">
            <v>Lucknow</v>
          </cell>
          <cell r="B74" t="str">
            <v>Mavericks</v>
          </cell>
          <cell r="C74" t="str">
            <v>Mid Level</v>
          </cell>
          <cell r="D74" t="str">
            <v>Akbar Ibrahim</v>
          </cell>
          <cell r="E74" t="str">
            <v>-</v>
          </cell>
          <cell r="F74" t="str">
            <v>MSP</v>
          </cell>
          <cell r="H74" t="str">
            <v>Pass Through</v>
          </cell>
          <cell r="J74" t="str">
            <v>ACH</v>
          </cell>
          <cell r="L74" t="str">
            <v>New</v>
          </cell>
          <cell r="M74">
            <v>46041</v>
          </cell>
          <cell r="N74">
            <v>161</v>
          </cell>
          <cell r="P74">
            <v>46406</v>
          </cell>
          <cell r="Q74" t="str">
            <v>PLC-Passthrough</v>
          </cell>
          <cell r="R74" t="str">
            <v>Bhanupriya Ananda Murthy</v>
          </cell>
          <cell r="S74" t="str">
            <v>Individual</v>
          </cell>
          <cell r="T74" t="str">
            <v>C2C Canada</v>
          </cell>
          <cell r="U74" t="str">
            <v>CoForge</v>
          </cell>
          <cell r="V74">
            <v>61</v>
          </cell>
          <cell r="W74">
            <v>0</v>
          </cell>
          <cell r="X74" t="str">
            <v>CAD</v>
          </cell>
          <cell r="Y74">
            <v>63</v>
          </cell>
          <cell r="Z74">
            <v>0</v>
          </cell>
          <cell r="AA74">
            <v>0</v>
          </cell>
          <cell r="AB74">
            <v>0</v>
          </cell>
          <cell r="AC74">
            <v>46157</v>
          </cell>
          <cell r="AD74">
            <v>22</v>
          </cell>
          <cell r="AE74">
            <v>46387</v>
          </cell>
          <cell r="AF74">
            <v>43.309999999999995</v>
          </cell>
          <cell r="AG74">
            <v>0</v>
          </cell>
          <cell r="AH74">
            <v>43.309999999999995</v>
          </cell>
          <cell r="AI74">
            <v>44.73</v>
          </cell>
          <cell r="AJ74">
            <v>0</v>
          </cell>
          <cell r="AK74">
            <v>0</v>
          </cell>
          <cell r="AL74">
            <v>1.4200000000000017</v>
          </cell>
          <cell r="AM74">
            <v>0</v>
          </cell>
          <cell r="AN74">
            <v>1.4200000000000017</v>
          </cell>
          <cell r="AO74">
            <v>0</v>
          </cell>
          <cell r="AP74">
            <v>1.4200000000000017</v>
          </cell>
          <cell r="AQ74" t="str">
            <v>CAD_2180</v>
          </cell>
          <cell r="AR74">
            <v>0</v>
          </cell>
          <cell r="AS74">
            <v>150</v>
          </cell>
          <cell r="AU74">
            <v>150</v>
          </cell>
          <cell r="AV74">
            <v>0</v>
          </cell>
          <cell r="AW74">
            <v>213.00000000000026</v>
          </cell>
          <cell r="AX74">
            <v>210.87000000000026</v>
          </cell>
          <cell r="AY74">
            <v>0</v>
          </cell>
          <cell r="AZ74">
            <v>213.00000000000026</v>
          </cell>
          <cell r="BA74">
            <v>210.87000000000026</v>
          </cell>
          <cell r="BB74">
            <v>213.00000000000026</v>
          </cell>
          <cell r="BC74">
            <v>0</v>
          </cell>
          <cell r="BD74">
            <v>0</v>
          </cell>
          <cell r="BE74">
            <v>0</v>
          </cell>
          <cell r="BG74">
            <v>210.87000000000026</v>
          </cell>
          <cell r="BI74">
            <v>210.87000000000026</v>
          </cell>
          <cell r="BJ74">
            <v>9450</v>
          </cell>
          <cell r="BK74">
            <v>6709.4999999999991</v>
          </cell>
          <cell r="BL74">
            <v>6779.2349999999997</v>
          </cell>
          <cell r="BM74">
            <v>0</v>
          </cell>
          <cell r="BN74">
            <v>0</v>
          </cell>
          <cell r="BO74">
            <v>0</v>
          </cell>
          <cell r="BP74">
            <v>6779.2349999999997</v>
          </cell>
          <cell r="BQ74">
            <v>0</v>
          </cell>
          <cell r="BR74">
            <v>-69.735000000000582</v>
          </cell>
          <cell r="BT74">
            <v>2</v>
          </cell>
          <cell r="BU74">
            <v>1</v>
          </cell>
          <cell r="BV74" t="str">
            <v>Y</v>
          </cell>
          <cell r="BW74">
            <v>0</v>
          </cell>
          <cell r="BX74">
            <v>0</v>
          </cell>
          <cell r="BY74">
            <v>2026</v>
          </cell>
          <cell r="BZ74" t="str">
            <v>-</v>
          </cell>
          <cell r="CA74" t="str">
            <v>-</v>
          </cell>
        </row>
        <row r="75">
          <cell r="A75" t="str">
            <v>Noida</v>
          </cell>
          <cell r="B75" t="str">
            <v>Noida IT</v>
          </cell>
          <cell r="C75" t="str">
            <v>Mid Level</v>
          </cell>
          <cell r="D75" t="str">
            <v>Akash Saxena</v>
          </cell>
          <cell r="E75" t="str">
            <v>-</v>
          </cell>
          <cell r="F75" t="str">
            <v>Non-MSP</v>
          </cell>
          <cell r="H75" t="str">
            <v>Kartik Parashar</v>
          </cell>
          <cell r="L75" t="str">
            <v>New</v>
          </cell>
          <cell r="M75">
            <v>46076</v>
          </cell>
          <cell r="N75">
            <v>126</v>
          </cell>
          <cell r="P75">
            <v>46441</v>
          </cell>
          <cell r="Q75" t="str">
            <v>PLC-4741</v>
          </cell>
          <cell r="R75" t="str">
            <v>Bhaskara Chary Kathroju</v>
          </cell>
          <cell r="S75" t="str">
            <v>Individual</v>
          </cell>
          <cell r="T75" t="str">
            <v>C2C</v>
          </cell>
          <cell r="U75" t="str">
            <v>Hexaware</v>
          </cell>
          <cell r="V75">
            <v>73</v>
          </cell>
          <cell r="W75">
            <v>0</v>
          </cell>
          <cell r="X75" t="str">
            <v>USD</v>
          </cell>
          <cell r="Y75">
            <v>92</v>
          </cell>
          <cell r="Z75">
            <v>0</v>
          </cell>
          <cell r="AA75">
            <v>0</v>
          </cell>
          <cell r="AB75">
            <v>6</v>
          </cell>
          <cell r="AC75">
            <v>46068</v>
          </cell>
          <cell r="AD75">
            <v>5</v>
          </cell>
          <cell r="AE75">
            <v>46387</v>
          </cell>
          <cell r="AF75">
            <v>73</v>
          </cell>
          <cell r="AG75">
            <v>0</v>
          </cell>
          <cell r="AH75">
            <v>79</v>
          </cell>
          <cell r="AI75">
            <v>92</v>
          </cell>
          <cell r="AJ75">
            <v>0</v>
          </cell>
          <cell r="AK75">
            <v>0</v>
          </cell>
          <cell r="AL75">
            <v>13</v>
          </cell>
          <cell r="AM75">
            <v>0</v>
          </cell>
          <cell r="AN75">
            <v>13</v>
          </cell>
          <cell r="AO75">
            <v>0</v>
          </cell>
          <cell r="AP75">
            <v>13</v>
          </cell>
          <cell r="AQ75" t="str">
            <v>US_27192</v>
          </cell>
          <cell r="AR75">
            <v>0</v>
          </cell>
          <cell r="AS75">
            <v>40</v>
          </cell>
          <cell r="AU75">
            <v>40</v>
          </cell>
          <cell r="AV75">
            <v>0</v>
          </cell>
          <cell r="AW75">
            <v>520</v>
          </cell>
          <cell r="AX75">
            <v>520</v>
          </cell>
          <cell r="AY75">
            <v>0</v>
          </cell>
          <cell r="AZ75">
            <v>520</v>
          </cell>
          <cell r="BA75">
            <v>520</v>
          </cell>
          <cell r="BB75">
            <v>520</v>
          </cell>
          <cell r="BC75">
            <v>0</v>
          </cell>
          <cell r="BD75">
            <v>0</v>
          </cell>
          <cell r="BE75">
            <v>0</v>
          </cell>
          <cell r="BG75">
            <v>520</v>
          </cell>
          <cell r="BI75">
            <v>520</v>
          </cell>
          <cell r="BJ75">
            <v>3680</v>
          </cell>
          <cell r="BK75">
            <v>3680</v>
          </cell>
          <cell r="BL75">
            <v>2920</v>
          </cell>
          <cell r="BM75">
            <v>0</v>
          </cell>
          <cell r="BN75">
            <v>240</v>
          </cell>
          <cell r="BO75">
            <v>0</v>
          </cell>
          <cell r="BP75">
            <v>3160</v>
          </cell>
          <cell r="BQ75">
            <v>6</v>
          </cell>
          <cell r="BR75">
            <v>520</v>
          </cell>
          <cell r="BT75">
            <v>1</v>
          </cell>
          <cell r="BU75">
            <v>1</v>
          </cell>
          <cell r="BV75" t="str">
            <v>N</v>
          </cell>
          <cell r="BW75">
            <v>0</v>
          </cell>
          <cell r="BX75">
            <v>0</v>
          </cell>
          <cell r="BY75">
            <v>2026</v>
          </cell>
          <cell r="BZ75" t="str">
            <v>-</v>
          </cell>
          <cell r="CA75" t="str">
            <v>-</v>
          </cell>
        </row>
        <row r="76">
          <cell r="A76" t="str">
            <v>Noida</v>
          </cell>
          <cell r="B76" t="str">
            <v>Noida IT</v>
          </cell>
          <cell r="C76" t="str">
            <v>Mid Level</v>
          </cell>
          <cell r="D76" t="str">
            <v>Akash Saxena</v>
          </cell>
          <cell r="E76" t="str">
            <v>-</v>
          </cell>
          <cell r="F76" t="str">
            <v>Non-MSP</v>
          </cell>
          <cell r="H76" t="str">
            <v>Kartik Parashar</v>
          </cell>
          <cell r="L76" t="str">
            <v>New</v>
          </cell>
          <cell r="M76">
            <v>46076</v>
          </cell>
          <cell r="N76">
            <v>126</v>
          </cell>
          <cell r="P76">
            <v>46441</v>
          </cell>
          <cell r="Q76" t="str">
            <v>PLC-4741</v>
          </cell>
          <cell r="R76" t="str">
            <v>Bhaskara Chary Kathroju</v>
          </cell>
          <cell r="S76" t="str">
            <v>Individual</v>
          </cell>
          <cell r="T76" t="str">
            <v>C2C</v>
          </cell>
          <cell r="U76" t="str">
            <v>Hexaware</v>
          </cell>
          <cell r="V76">
            <v>73</v>
          </cell>
          <cell r="W76">
            <v>0</v>
          </cell>
          <cell r="X76" t="str">
            <v>USD</v>
          </cell>
          <cell r="Y76">
            <v>92</v>
          </cell>
          <cell r="Z76">
            <v>0</v>
          </cell>
          <cell r="AA76">
            <v>0</v>
          </cell>
          <cell r="AB76">
            <v>6</v>
          </cell>
          <cell r="AC76">
            <v>46096</v>
          </cell>
          <cell r="AD76">
            <v>22</v>
          </cell>
          <cell r="AE76">
            <v>46387</v>
          </cell>
          <cell r="AF76">
            <v>73</v>
          </cell>
          <cell r="AG76">
            <v>0</v>
          </cell>
          <cell r="AH76">
            <v>79</v>
          </cell>
          <cell r="AI76">
            <v>92</v>
          </cell>
          <cell r="AJ76">
            <v>0</v>
          </cell>
          <cell r="AK76">
            <v>0</v>
          </cell>
          <cell r="AL76">
            <v>13</v>
          </cell>
          <cell r="AM76">
            <v>0</v>
          </cell>
          <cell r="AN76">
            <v>13</v>
          </cell>
          <cell r="AO76">
            <v>0</v>
          </cell>
          <cell r="AP76">
            <v>13</v>
          </cell>
          <cell r="AQ76" t="str">
            <v>US_27405</v>
          </cell>
          <cell r="AR76">
            <v>0</v>
          </cell>
          <cell r="AS76">
            <v>176</v>
          </cell>
          <cell r="AU76">
            <v>176</v>
          </cell>
          <cell r="AV76">
            <v>0</v>
          </cell>
          <cell r="AW76">
            <v>2288</v>
          </cell>
          <cell r="AX76">
            <v>2288</v>
          </cell>
          <cell r="AY76">
            <v>0</v>
          </cell>
          <cell r="AZ76">
            <v>2288</v>
          </cell>
          <cell r="BA76">
            <v>2288</v>
          </cell>
          <cell r="BB76">
            <v>2288</v>
          </cell>
          <cell r="BC76">
            <v>0</v>
          </cell>
          <cell r="BD76">
            <v>0</v>
          </cell>
          <cell r="BE76">
            <v>0</v>
          </cell>
          <cell r="BG76">
            <v>2288</v>
          </cell>
          <cell r="BI76">
            <v>2288</v>
          </cell>
          <cell r="BJ76">
            <v>16192</v>
          </cell>
          <cell r="BK76">
            <v>16192</v>
          </cell>
          <cell r="BL76">
            <v>12848</v>
          </cell>
          <cell r="BM76">
            <v>0</v>
          </cell>
          <cell r="BN76">
            <v>1056</v>
          </cell>
          <cell r="BO76">
            <v>0</v>
          </cell>
          <cell r="BP76">
            <v>13904</v>
          </cell>
          <cell r="BQ76">
            <v>6</v>
          </cell>
          <cell r="BR76">
            <v>2288</v>
          </cell>
          <cell r="BT76">
            <v>1</v>
          </cell>
          <cell r="BU76">
            <v>1</v>
          </cell>
          <cell r="BV76" t="str">
            <v>N</v>
          </cell>
          <cell r="BW76">
            <v>0</v>
          </cell>
          <cell r="BX76">
            <v>0</v>
          </cell>
          <cell r="BY76">
            <v>2026</v>
          </cell>
          <cell r="BZ76" t="str">
            <v>-</v>
          </cell>
          <cell r="CA76" t="str">
            <v>-</v>
          </cell>
        </row>
        <row r="77">
          <cell r="A77" t="str">
            <v>Noida</v>
          </cell>
          <cell r="B77" t="str">
            <v>Noida IT</v>
          </cell>
          <cell r="C77" t="str">
            <v>Mid Level</v>
          </cell>
          <cell r="D77" t="str">
            <v>Akash Saxena</v>
          </cell>
          <cell r="E77" t="str">
            <v>-</v>
          </cell>
          <cell r="F77" t="str">
            <v>Non-MSP</v>
          </cell>
          <cell r="H77" t="str">
            <v>Kartik Parashar</v>
          </cell>
          <cell r="J77" t="str">
            <v>ACH</v>
          </cell>
          <cell r="L77" t="str">
            <v>New</v>
          </cell>
          <cell r="M77">
            <v>46076</v>
          </cell>
          <cell r="N77">
            <v>126</v>
          </cell>
          <cell r="P77">
            <v>46441</v>
          </cell>
          <cell r="Q77" t="str">
            <v>PLC-4741</v>
          </cell>
          <cell r="R77" t="str">
            <v>Bhaskara Chary Kathroju</v>
          </cell>
          <cell r="S77" t="str">
            <v>Individual</v>
          </cell>
          <cell r="T77" t="str">
            <v>C2C</v>
          </cell>
          <cell r="U77" t="str">
            <v>Hexaware</v>
          </cell>
          <cell r="V77">
            <v>73</v>
          </cell>
          <cell r="W77">
            <v>0</v>
          </cell>
          <cell r="X77" t="str">
            <v>USD</v>
          </cell>
          <cell r="Y77">
            <v>92</v>
          </cell>
          <cell r="Z77">
            <v>0</v>
          </cell>
          <cell r="AA77">
            <v>0</v>
          </cell>
          <cell r="AB77">
            <v>6</v>
          </cell>
          <cell r="AC77">
            <v>46127</v>
          </cell>
          <cell r="AD77">
            <v>22</v>
          </cell>
          <cell r="AE77">
            <v>46387</v>
          </cell>
          <cell r="AF77">
            <v>73</v>
          </cell>
          <cell r="AG77">
            <v>0</v>
          </cell>
          <cell r="AH77">
            <v>79</v>
          </cell>
          <cell r="AI77">
            <v>92</v>
          </cell>
          <cell r="AJ77">
            <v>0</v>
          </cell>
          <cell r="AK77">
            <v>0</v>
          </cell>
          <cell r="AL77">
            <v>13</v>
          </cell>
          <cell r="AM77">
            <v>0</v>
          </cell>
          <cell r="AN77">
            <v>13</v>
          </cell>
          <cell r="AO77">
            <v>0</v>
          </cell>
          <cell r="AP77">
            <v>13</v>
          </cell>
          <cell r="AQ77" t="str">
            <v>US_27638</v>
          </cell>
          <cell r="AR77">
            <v>0</v>
          </cell>
          <cell r="AS77">
            <v>168</v>
          </cell>
          <cell r="AU77">
            <v>168</v>
          </cell>
          <cell r="AV77">
            <v>0</v>
          </cell>
          <cell r="AW77">
            <v>2184</v>
          </cell>
          <cell r="AX77">
            <v>2162.16</v>
          </cell>
          <cell r="AY77">
            <v>0</v>
          </cell>
          <cell r="AZ77">
            <v>2184</v>
          </cell>
          <cell r="BA77">
            <v>2162.16</v>
          </cell>
          <cell r="BB77">
            <v>2184</v>
          </cell>
          <cell r="BC77">
            <v>0</v>
          </cell>
          <cell r="BD77">
            <v>0</v>
          </cell>
          <cell r="BE77">
            <v>0</v>
          </cell>
          <cell r="BG77">
            <v>2162.16</v>
          </cell>
          <cell r="BI77">
            <v>2162.16</v>
          </cell>
          <cell r="BJ77">
            <v>15456</v>
          </cell>
          <cell r="BK77">
            <v>15456</v>
          </cell>
          <cell r="BL77">
            <v>12264</v>
          </cell>
          <cell r="BM77">
            <v>0</v>
          </cell>
          <cell r="BN77">
            <v>1008</v>
          </cell>
          <cell r="BO77">
            <v>0</v>
          </cell>
          <cell r="BP77">
            <v>13272</v>
          </cell>
          <cell r="BQ77">
            <v>6</v>
          </cell>
          <cell r="BR77">
            <v>2184</v>
          </cell>
          <cell r="BT77">
            <v>2</v>
          </cell>
          <cell r="BU77">
            <v>1</v>
          </cell>
          <cell r="BV77" t="str">
            <v>N</v>
          </cell>
          <cell r="BW77">
            <v>0</v>
          </cell>
          <cell r="BX77">
            <v>0</v>
          </cell>
          <cell r="BY77">
            <v>2026</v>
          </cell>
          <cell r="BZ77" t="str">
            <v>-</v>
          </cell>
          <cell r="CA77" t="str">
            <v>-</v>
          </cell>
        </row>
        <row r="78">
          <cell r="A78" t="str">
            <v>Noida</v>
          </cell>
          <cell r="B78" t="str">
            <v>Noida IT</v>
          </cell>
          <cell r="C78" t="str">
            <v>Mid Level</v>
          </cell>
          <cell r="D78" t="str">
            <v>Akash Saxena</v>
          </cell>
          <cell r="E78" t="str">
            <v>-</v>
          </cell>
          <cell r="F78" t="str">
            <v>Non-MSP</v>
          </cell>
          <cell r="H78" t="str">
            <v>Kartik Parashar</v>
          </cell>
          <cell r="J78" t="str">
            <v>ACH</v>
          </cell>
          <cell r="L78" t="str">
            <v>New</v>
          </cell>
          <cell r="M78">
            <v>46076</v>
          </cell>
          <cell r="N78">
            <v>126</v>
          </cell>
          <cell r="P78">
            <v>46441</v>
          </cell>
          <cell r="Q78" t="str">
            <v>PLC-4741</v>
          </cell>
          <cell r="R78" t="str">
            <v>Bhaskara Chary Kathroju</v>
          </cell>
          <cell r="S78" t="str">
            <v>Individual</v>
          </cell>
          <cell r="T78" t="str">
            <v>C2C</v>
          </cell>
          <cell r="U78" t="str">
            <v>Hexaware</v>
          </cell>
          <cell r="V78">
            <v>73</v>
          </cell>
          <cell r="W78">
            <v>0</v>
          </cell>
          <cell r="X78" t="str">
            <v>USD</v>
          </cell>
          <cell r="Y78">
            <v>92</v>
          </cell>
          <cell r="Z78">
            <v>0</v>
          </cell>
          <cell r="AA78">
            <v>0</v>
          </cell>
          <cell r="AB78">
            <v>6</v>
          </cell>
          <cell r="AC78">
            <v>46157</v>
          </cell>
          <cell r="AD78">
            <v>22</v>
          </cell>
          <cell r="AE78">
            <v>46387</v>
          </cell>
          <cell r="AF78">
            <v>73</v>
          </cell>
          <cell r="AG78">
            <v>0</v>
          </cell>
          <cell r="AH78">
            <v>79</v>
          </cell>
          <cell r="AI78">
            <v>92</v>
          </cell>
          <cell r="AJ78">
            <v>0</v>
          </cell>
          <cell r="AK78">
            <v>0</v>
          </cell>
          <cell r="AL78">
            <v>13</v>
          </cell>
          <cell r="AM78">
            <v>0</v>
          </cell>
          <cell r="AN78">
            <v>13</v>
          </cell>
          <cell r="AO78">
            <v>0</v>
          </cell>
          <cell r="AP78">
            <v>13</v>
          </cell>
          <cell r="AQ78" t="str">
            <v>US_27923</v>
          </cell>
          <cell r="AR78">
            <v>0</v>
          </cell>
          <cell r="AS78">
            <v>124</v>
          </cell>
          <cell r="AU78">
            <v>124</v>
          </cell>
          <cell r="AV78">
            <v>0</v>
          </cell>
          <cell r="AW78">
            <v>1612</v>
          </cell>
          <cell r="AX78">
            <v>1595.8799999999999</v>
          </cell>
          <cell r="AY78">
            <v>0</v>
          </cell>
          <cell r="AZ78">
            <v>1612</v>
          </cell>
          <cell r="BA78">
            <v>1595.8799999999999</v>
          </cell>
          <cell r="BB78">
            <v>1612</v>
          </cell>
          <cell r="BC78">
            <v>0</v>
          </cell>
          <cell r="BD78">
            <v>0</v>
          </cell>
          <cell r="BE78">
            <v>0</v>
          </cell>
          <cell r="BG78">
            <v>1595.8799999999999</v>
          </cell>
          <cell r="BI78">
            <v>1595.8799999999999</v>
          </cell>
          <cell r="BJ78">
            <v>11408</v>
          </cell>
          <cell r="BK78">
            <v>11408</v>
          </cell>
          <cell r="BL78">
            <v>9052</v>
          </cell>
          <cell r="BM78">
            <v>0</v>
          </cell>
          <cell r="BN78">
            <v>744</v>
          </cell>
          <cell r="BO78">
            <v>0</v>
          </cell>
          <cell r="BP78">
            <v>9796</v>
          </cell>
          <cell r="BQ78">
            <v>6</v>
          </cell>
          <cell r="BR78">
            <v>1612</v>
          </cell>
          <cell r="BT78">
            <v>2</v>
          </cell>
          <cell r="BU78">
            <v>1</v>
          </cell>
          <cell r="BV78" t="str">
            <v>N</v>
          </cell>
          <cell r="BW78">
            <v>0</v>
          </cell>
          <cell r="BX78">
            <v>0</v>
          </cell>
          <cell r="BY78">
            <v>2026</v>
          </cell>
          <cell r="BZ78" t="str">
            <v>-</v>
          </cell>
          <cell r="CA78" t="str">
            <v>-</v>
          </cell>
        </row>
        <row r="79">
          <cell r="A79" t="str">
            <v>Noida</v>
          </cell>
          <cell r="B79" t="str">
            <v>Noida IT</v>
          </cell>
          <cell r="C79" t="str">
            <v>Mid Level</v>
          </cell>
          <cell r="D79" t="str">
            <v>Akash Saxena</v>
          </cell>
          <cell r="E79" t="str">
            <v>-</v>
          </cell>
          <cell r="F79" t="str">
            <v>Non-MSP</v>
          </cell>
          <cell r="H79" t="str">
            <v>Hemant Kumar</v>
          </cell>
          <cell r="L79" t="str">
            <v>New</v>
          </cell>
          <cell r="M79">
            <v>46057</v>
          </cell>
          <cell r="N79">
            <v>145</v>
          </cell>
          <cell r="O79">
            <v>46093</v>
          </cell>
          <cell r="P79">
            <v>46422</v>
          </cell>
          <cell r="Q79" t="str">
            <v>PLC-4710</v>
          </cell>
          <cell r="R79" t="str">
            <v>Biswajit Ghosh 3</v>
          </cell>
          <cell r="S79" t="str">
            <v>Individual</v>
          </cell>
          <cell r="T79" t="str">
            <v>C2C</v>
          </cell>
          <cell r="U79" t="str">
            <v>Citius Tech</v>
          </cell>
          <cell r="V79">
            <v>55</v>
          </cell>
          <cell r="W79">
            <v>0</v>
          </cell>
          <cell r="X79" t="str">
            <v>USD</v>
          </cell>
          <cell r="Y79">
            <v>70</v>
          </cell>
          <cell r="Z79">
            <v>0</v>
          </cell>
          <cell r="AA79">
            <v>0</v>
          </cell>
          <cell r="AB79">
            <v>3</v>
          </cell>
          <cell r="AC79">
            <v>46068</v>
          </cell>
          <cell r="AD79">
            <v>18</v>
          </cell>
          <cell r="AE79">
            <v>46387</v>
          </cell>
          <cell r="AF79">
            <v>55</v>
          </cell>
          <cell r="AG79">
            <v>0</v>
          </cell>
          <cell r="AH79">
            <v>58</v>
          </cell>
          <cell r="AI79">
            <v>70</v>
          </cell>
          <cell r="AJ79">
            <v>0</v>
          </cell>
          <cell r="AK79">
            <v>0</v>
          </cell>
          <cell r="AL79">
            <v>12</v>
          </cell>
          <cell r="AM79">
            <v>0</v>
          </cell>
          <cell r="AN79">
            <v>12</v>
          </cell>
          <cell r="AO79">
            <v>0</v>
          </cell>
          <cell r="AP79">
            <v>12</v>
          </cell>
          <cell r="AQ79" t="str">
            <v>US_27178</v>
          </cell>
          <cell r="AR79">
            <v>0</v>
          </cell>
          <cell r="AS79">
            <v>144</v>
          </cell>
          <cell r="AU79">
            <v>144</v>
          </cell>
          <cell r="AV79">
            <v>0</v>
          </cell>
          <cell r="AW79">
            <v>1728</v>
          </cell>
          <cell r="AX79">
            <v>1728</v>
          </cell>
          <cell r="AY79">
            <v>0</v>
          </cell>
          <cell r="AZ79">
            <v>1728</v>
          </cell>
          <cell r="BA79">
            <v>1728</v>
          </cell>
          <cell r="BB79">
            <v>1728</v>
          </cell>
          <cell r="BC79">
            <v>80</v>
          </cell>
          <cell r="BD79">
            <v>3041.28</v>
          </cell>
          <cell r="BE79">
            <v>3041.28</v>
          </cell>
          <cell r="BG79">
            <v>1728</v>
          </cell>
          <cell r="BI79">
            <v>1728</v>
          </cell>
          <cell r="BJ79">
            <v>10080</v>
          </cell>
          <cell r="BK79">
            <v>10080</v>
          </cell>
          <cell r="BL79">
            <v>7920</v>
          </cell>
          <cell r="BM79">
            <v>0</v>
          </cell>
          <cell r="BN79">
            <v>432</v>
          </cell>
          <cell r="BO79">
            <v>0</v>
          </cell>
          <cell r="BP79">
            <v>8352</v>
          </cell>
          <cell r="BQ79">
            <v>3</v>
          </cell>
          <cell r="BR79">
            <v>1728</v>
          </cell>
          <cell r="BS79" t="str">
            <v>Y</v>
          </cell>
          <cell r="BT79">
            <v>1</v>
          </cell>
          <cell r="BU79">
            <v>1</v>
          </cell>
          <cell r="BV79" t="str">
            <v>Y</v>
          </cell>
          <cell r="BW79">
            <v>6082.56</v>
          </cell>
          <cell r="BX79">
            <v>6082.56</v>
          </cell>
          <cell r="BY79">
            <v>2026</v>
          </cell>
          <cell r="BZ79" t="str">
            <v>-</v>
          </cell>
          <cell r="CA79" t="str">
            <v>-</v>
          </cell>
        </row>
        <row r="80">
          <cell r="A80" t="str">
            <v>Noida</v>
          </cell>
          <cell r="B80" t="str">
            <v>Noida IT</v>
          </cell>
          <cell r="C80" t="str">
            <v>Mid Level</v>
          </cell>
          <cell r="D80" t="str">
            <v>Akash Saxena</v>
          </cell>
          <cell r="E80" t="str">
            <v>-</v>
          </cell>
          <cell r="F80" t="str">
            <v>Non-MSP</v>
          </cell>
          <cell r="H80" t="str">
            <v>Hemant Kumar</v>
          </cell>
          <cell r="L80" t="str">
            <v>New</v>
          </cell>
          <cell r="M80">
            <v>46057</v>
          </cell>
          <cell r="N80">
            <v>145</v>
          </cell>
          <cell r="O80">
            <v>46093</v>
          </cell>
          <cell r="P80">
            <v>46422</v>
          </cell>
          <cell r="Q80" t="str">
            <v>PLC-4710</v>
          </cell>
          <cell r="R80" t="str">
            <v>Biswajit Ghosh 3</v>
          </cell>
          <cell r="S80" t="str">
            <v>Individual</v>
          </cell>
          <cell r="T80" t="str">
            <v>C2C</v>
          </cell>
          <cell r="U80" t="str">
            <v>Citius Tech</v>
          </cell>
          <cell r="V80">
            <v>55</v>
          </cell>
          <cell r="W80">
            <v>0</v>
          </cell>
          <cell r="X80" t="str">
            <v>USD</v>
          </cell>
          <cell r="Y80">
            <v>70</v>
          </cell>
          <cell r="Z80">
            <v>0</v>
          </cell>
          <cell r="AA80">
            <v>0</v>
          </cell>
          <cell r="AB80">
            <v>3</v>
          </cell>
          <cell r="AC80">
            <v>46096</v>
          </cell>
          <cell r="AD80">
            <v>22</v>
          </cell>
          <cell r="AE80">
            <v>46387</v>
          </cell>
          <cell r="AF80">
            <v>55</v>
          </cell>
          <cell r="AG80">
            <v>0</v>
          </cell>
          <cell r="AH80">
            <v>58</v>
          </cell>
          <cell r="AI80">
            <v>70</v>
          </cell>
          <cell r="AJ80">
            <v>0</v>
          </cell>
          <cell r="AK80">
            <v>0</v>
          </cell>
          <cell r="AL80">
            <v>12</v>
          </cell>
          <cell r="AM80">
            <v>0</v>
          </cell>
          <cell r="AN80">
            <v>12</v>
          </cell>
          <cell r="AO80">
            <v>0</v>
          </cell>
          <cell r="AP80">
            <v>12</v>
          </cell>
          <cell r="AQ80" t="str">
            <v>US_27391</v>
          </cell>
          <cell r="AR80">
            <v>0</v>
          </cell>
          <cell r="AS80">
            <v>64</v>
          </cell>
          <cell r="AU80">
            <v>64</v>
          </cell>
          <cell r="AV80">
            <v>0</v>
          </cell>
          <cell r="AW80">
            <v>768</v>
          </cell>
          <cell r="AX80">
            <v>768</v>
          </cell>
          <cell r="AY80">
            <v>0</v>
          </cell>
          <cell r="AZ80">
            <v>768</v>
          </cell>
          <cell r="BA80">
            <v>768</v>
          </cell>
          <cell r="BB80">
            <v>768</v>
          </cell>
          <cell r="BC80">
            <v>80</v>
          </cell>
          <cell r="BD80">
            <v>1351.68</v>
          </cell>
          <cell r="BE80">
            <v>1351.68</v>
          </cell>
          <cell r="BG80">
            <v>768</v>
          </cell>
          <cell r="BI80">
            <v>768</v>
          </cell>
          <cell r="BJ80">
            <v>4480</v>
          </cell>
          <cell r="BK80">
            <v>4480</v>
          </cell>
          <cell r="BL80">
            <v>3520</v>
          </cell>
          <cell r="BM80">
            <v>0</v>
          </cell>
          <cell r="BN80">
            <v>192</v>
          </cell>
          <cell r="BO80">
            <v>0</v>
          </cell>
          <cell r="BP80">
            <v>3712</v>
          </cell>
          <cell r="BQ80">
            <v>3</v>
          </cell>
          <cell r="BR80">
            <v>768</v>
          </cell>
          <cell r="BT80">
            <v>1</v>
          </cell>
          <cell r="BU80">
            <v>1</v>
          </cell>
          <cell r="BV80" t="str">
            <v>Y</v>
          </cell>
          <cell r="BW80">
            <v>2703.36</v>
          </cell>
          <cell r="BX80">
            <v>2703.36</v>
          </cell>
          <cell r="BY80">
            <v>2026</v>
          </cell>
          <cell r="BZ80" t="str">
            <v>-</v>
          </cell>
          <cell r="CA80" t="str">
            <v>-</v>
          </cell>
        </row>
        <row r="81">
          <cell r="A81" t="str">
            <v>Lucknow</v>
          </cell>
          <cell r="B81" t="str">
            <v>Mavericks</v>
          </cell>
          <cell r="C81" t="str">
            <v>Mid Level</v>
          </cell>
          <cell r="D81" t="str">
            <v>Rohit Gupta</v>
          </cell>
          <cell r="F81" t="str">
            <v>Non-MSP</v>
          </cell>
          <cell r="G81" t="str">
            <v>Nitin Saxena</v>
          </cell>
          <cell r="H81" t="str">
            <v>Hamza Ali</v>
          </cell>
          <cell r="J81" t="str">
            <v>ACH</v>
          </cell>
          <cell r="L81" t="str">
            <v>New</v>
          </cell>
          <cell r="M81">
            <v>46160</v>
          </cell>
          <cell r="N81">
            <v>42</v>
          </cell>
          <cell r="P81">
            <v>46525</v>
          </cell>
          <cell r="Q81" t="str">
            <v>PLC-4892</v>
          </cell>
          <cell r="R81" t="str">
            <v>Brandi Nichelle Harris</v>
          </cell>
          <cell r="S81" t="str">
            <v>Split</v>
          </cell>
          <cell r="T81">
            <v>1099</v>
          </cell>
          <cell r="U81" t="str">
            <v>CoForge</v>
          </cell>
          <cell r="V81">
            <v>18</v>
          </cell>
          <cell r="W81">
            <v>0</v>
          </cell>
          <cell r="X81" t="str">
            <v>USD</v>
          </cell>
          <cell r="Y81">
            <v>23.5</v>
          </cell>
          <cell r="Z81">
            <v>0</v>
          </cell>
          <cell r="AA81">
            <v>0</v>
          </cell>
          <cell r="AB81">
            <v>0</v>
          </cell>
          <cell r="AC81">
            <v>46157</v>
          </cell>
          <cell r="AD81">
            <v>10</v>
          </cell>
          <cell r="AE81">
            <v>46387</v>
          </cell>
          <cell r="AF81">
            <v>19.260000000000002</v>
          </cell>
          <cell r="AG81">
            <v>0</v>
          </cell>
          <cell r="AH81">
            <v>19.260000000000002</v>
          </cell>
          <cell r="AI81">
            <v>23.5</v>
          </cell>
          <cell r="AJ81">
            <v>0</v>
          </cell>
          <cell r="AK81">
            <v>0</v>
          </cell>
          <cell r="AL81">
            <v>4.2399999999999984</v>
          </cell>
          <cell r="AM81">
            <v>0</v>
          </cell>
          <cell r="AN81">
            <v>2.1199999999999992</v>
          </cell>
          <cell r="AO81">
            <v>0</v>
          </cell>
          <cell r="AP81">
            <v>2.1199999999999992</v>
          </cell>
          <cell r="AQ81" t="str">
            <v>US_27785</v>
          </cell>
          <cell r="AR81">
            <v>0</v>
          </cell>
          <cell r="AS81">
            <v>64</v>
          </cell>
          <cell r="AU81">
            <v>64</v>
          </cell>
          <cell r="AV81">
            <v>0</v>
          </cell>
          <cell r="AW81">
            <v>135.67999999999995</v>
          </cell>
          <cell r="AX81">
            <v>134.32319999999996</v>
          </cell>
          <cell r="AY81">
            <v>0</v>
          </cell>
          <cell r="AZ81">
            <v>135.67999999999995</v>
          </cell>
          <cell r="BA81">
            <v>134.32319999999996</v>
          </cell>
          <cell r="BB81">
            <v>135.67999999999995</v>
          </cell>
          <cell r="BC81">
            <v>50</v>
          </cell>
          <cell r="BD81">
            <v>177.30662399999994</v>
          </cell>
          <cell r="BE81">
            <v>177.30662399999994</v>
          </cell>
          <cell r="BG81">
            <v>134.32319999999996</v>
          </cell>
          <cell r="BI81">
            <v>0</v>
          </cell>
          <cell r="BJ81">
            <v>752</v>
          </cell>
          <cell r="BK81">
            <v>752</v>
          </cell>
          <cell r="BL81">
            <v>576</v>
          </cell>
          <cell r="BM81">
            <v>1.2600000000000002</v>
          </cell>
          <cell r="BN81">
            <v>0</v>
          </cell>
          <cell r="BO81">
            <v>80.640000000000015</v>
          </cell>
          <cell r="BP81">
            <v>656.64</v>
          </cell>
          <cell r="BQ81">
            <v>1.2600000000000002</v>
          </cell>
          <cell r="BR81">
            <v>95.359999999999985</v>
          </cell>
          <cell r="BT81">
            <v>2</v>
          </cell>
          <cell r="BU81">
            <v>2</v>
          </cell>
          <cell r="BV81" t="str">
            <v>Y</v>
          </cell>
          <cell r="BW81">
            <v>354.61324799999988</v>
          </cell>
          <cell r="BX81">
            <v>354.61324799999988</v>
          </cell>
          <cell r="BY81">
            <v>2026</v>
          </cell>
          <cell r="BZ81" t="str">
            <v>-</v>
          </cell>
          <cell r="CA81" t="str">
            <v>-</v>
          </cell>
        </row>
        <row r="82">
          <cell r="A82" t="str">
            <v>Lucknow</v>
          </cell>
          <cell r="B82" t="str">
            <v>Titans</v>
          </cell>
          <cell r="C82" t="str">
            <v>Mid Level</v>
          </cell>
          <cell r="D82" t="str">
            <v>Nitin Saxena</v>
          </cell>
          <cell r="F82" t="str">
            <v>Non-MSP</v>
          </cell>
          <cell r="G82" t="str">
            <v>Rohit Gupta</v>
          </cell>
          <cell r="H82" t="str">
            <v>Hamza Ali</v>
          </cell>
          <cell r="J82" t="str">
            <v>ACH</v>
          </cell>
          <cell r="L82" t="str">
            <v>New</v>
          </cell>
          <cell r="M82">
            <v>46160</v>
          </cell>
          <cell r="N82">
            <v>42</v>
          </cell>
          <cell r="P82">
            <v>46525</v>
          </cell>
          <cell r="Q82" t="str">
            <v>PLC-4892</v>
          </cell>
          <cell r="R82" t="str">
            <v>Brandi Nichelle Harris</v>
          </cell>
          <cell r="S82" t="str">
            <v>Split</v>
          </cell>
          <cell r="T82">
            <v>1099</v>
          </cell>
          <cell r="U82" t="str">
            <v>CoForge</v>
          </cell>
          <cell r="V82">
            <v>18</v>
          </cell>
          <cell r="W82">
            <v>0</v>
          </cell>
          <cell r="X82" t="str">
            <v>USD</v>
          </cell>
          <cell r="Y82">
            <v>23.5</v>
          </cell>
          <cell r="Z82">
            <v>0</v>
          </cell>
          <cell r="AA82">
            <v>0</v>
          </cell>
          <cell r="AB82">
            <v>0</v>
          </cell>
          <cell r="AC82">
            <v>46157</v>
          </cell>
          <cell r="AD82">
            <v>10</v>
          </cell>
          <cell r="AE82">
            <v>46387</v>
          </cell>
          <cell r="AF82">
            <v>19.260000000000002</v>
          </cell>
          <cell r="AG82">
            <v>0</v>
          </cell>
          <cell r="AH82">
            <v>19.260000000000002</v>
          </cell>
          <cell r="AI82">
            <v>23.5</v>
          </cell>
          <cell r="AJ82">
            <v>0</v>
          </cell>
          <cell r="AK82">
            <v>0</v>
          </cell>
          <cell r="AL82">
            <v>4.2399999999999984</v>
          </cell>
          <cell r="AM82">
            <v>0</v>
          </cell>
          <cell r="AN82">
            <v>2.1199999999999992</v>
          </cell>
          <cell r="AO82">
            <v>0</v>
          </cell>
          <cell r="AP82">
            <v>2.1199999999999992</v>
          </cell>
          <cell r="AQ82" t="str">
            <v>US_27785</v>
          </cell>
          <cell r="AR82">
            <v>0</v>
          </cell>
          <cell r="AS82">
            <v>64</v>
          </cell>
          <cell r="AU82">
            <v>64</v>
          </cell>
          <cell r="AV82">
            <v>0</v>
          </cell>
          <cell r="AW82">
            <v>135.67999999999995</v>
          </cell>
          <cell r="AX82">
            <v>134.32319999999996</v>
          </cell>
          <cell r="AY82">
            <v>0</v>
          </cell>
          <cell r="AZ82">
            <v>135.67999999999995</v>
          </cell>
          <cell r="BA82">
            <v>134.32319999999996</v>
          </cell>
          <cell r="BB82">
            <v>135.67999999999995</v>
          </cell>
          <cell r="BC82">
            <v>50</v>
          </cell>
          <cell r="BD82">
            <v>177.30662399999994</v>
          </cell>
          <cell r="BE82">
            <v>177.30662399999994</v>
          </cell>
          <cell r="BG82">
            <v>134.32319999999996</v>
          </cell>
          <cell r="BI82">
            <v>0</v>
          </cell>
          <cell r="BJ82">
            <v>752</v>
          </cell>
          <cell r="BK82">
            <v>752</v>
          </cell>
          <cell r="BL82">
            <v>576</v>
          </cell>
          <cell r="BM82">
            <v>1.2600000000000002</v>
          </cell>
          <cell r="BN82">
            <v>0</v>
          </cell>
          <cell r="BO82">
            <v>80.640000000000015</v>
          </cell>
          <cell r="BP82">
            <v>656.64</v>
          </cell>
          <cell r="BQ82">
            <v>1.2600000000000002</v>
          </cell>
          <cell r="BR82">
            <v>95.359999999999985</v>
          </cell>
          <cell r="BT82">
            <v>2</v>
          </cell>
          <cell r="BU82">
            <v>2</v>
          </cell>
          <cell r="BV82" t="str">
            <v>Y</v>
          </cell>
          <cell r="BW82">
            <v>354.61324799999988</v>
          </cell>
          <cell r="BX82">
            <v>354.61324799999988</v>
          </cell>
          <cell r="BY82">
            <v>2026</v>
          </cell>
          <cell r="BZ82" t="str">
            <v>-</v>
          </cell>
          <cell r="CA82" t="str">
            <v>-</v>
          </cell>
        </row>
        <row r="83">
          <cell r="A83" t="str">
            <v>Lucknow</v>
          </cell>
          <cell r="B83" t="str">
            <v>Vantedge</v>
          </cell>
          <cell r="C83" t="str">
            <v>Senior</v>
          </cell>
          <cell r="D83" t="str">
            <v>Mayank Saxena</v>
          </cell>
          <cell r="F83" t="str">
            <v>Non-MSP</v>
          </cell>
          <cell r="H83" t="str">
            <v>Tushar Kumar</v>
          </cell>
          <cell r="L83" t="str">
            <v>New</v>
          </cell>
          <cell r="M83">
            <v>46132</v>
          </cell>
          <cell r="N83">
            <v>70</v>
          </cell>
          <cell r="P83">
            <v>46497</v>
          </cell>
          <cell r="R83" t="str">
            <v>Brent Kuhar</v>
          </cell>
          <cell r="S83" t="str">
            <v>Individual</v>
          </cell>
          <cell r="T83" t="str">
            <v>FTE</v>
          </cell>
          <cell r="U83" t="str">
            <v>Rightpoint</v>
          </cell>
          <cell r="V83">
            <v>0</v>
          </cell>
          <cell r="W83">
            <v>0</v>
          </cell>
          <cell r="X83" t="str">
            <v>USD</v>
          </cell>
          <cell r="Y83">
            <v>14000</v>
          </cell>
          <cell r="Z83">
            <v>0</v>
          </cell>
          <cell r="AA83">
            <v>0</v>
          </cell>
          <cell r="AB83">
            <v>0</v>
          </cell>
          <cell r="AC83">
            <v>46127</v>
          </cell>
          <cell r="AD83">
            <v>1</v>
          </cell>
          <cell r="AE83">
            <v>46387</v>
          </cell>
          <cell r="AF83">
            <v>0</v>
          </cell>
          <cell r="AG83">
            <v>0</v>
          </cell>
          <cell r="AH83">
            <v>0</v>
          </cell>
          <cell r="AI83">
            <v>14000</v>
          </cell>
          <cell r="AJ83">
            <v>0</v>
          </cell>
          <cell r="AK83">
            <v>0</v>
          </cell>
          <cell r="AL83">
            <v>14000</v>
          </cell>
          <cell r="AM83">
            <v>0</v>
          </cell>
          <cell r="AN83">
            <v>14000</v>
          </cell>
          <cell r="AO83">
            <v>0</v>
          </cell>
          <cell r="AP83">
            <v>14000</v>
          </cell>
          <cell r="AQ83" t="str">
            <v>US_27723</v>
          </cell>
          <cell r="AR83">
            <v>0</v>
          </cell>
          <cell r="AS83">
            <v>1</v>
          </cell>
          <cell r="AU83">
            <v>1</v>
          </cell>
          <cell r="AV83">
            <v>0</v>
          </cell>
          <cell r="AW83">
            <v>14000</v>
          </cell>
          <cell r="AX83">
            <v>14000</v>
          </cell>
          <cell r="AY83">
            <v>0</v>
          </cell>
          <cell r="AZ83">
            <v>14000</v>
          </cell>
          <cell r="BA83">
            <v>14000</v>
          </cell>
          <cell r="BB83">
            <v>14000</v>
          </cell>
          <cell r="BC83">
            <v>0</v>
          </cell>
          <cell r="BD83">
            <v>0</v>
          </cell>
          <cell r="BE83">
            <v>0</v>
          </cell>
          <cell r="BG83">
            <v>14000</v>
          </cell>
          <cell r="BI83">
            <v>0</v>
          </cell>
          <cell r="BJ83">
            <v>14000</v>
          </cell>
          <cell r="BK83">
            <v>14000</v>
          </cell>
          <cell r="BL83">
            <v>0</v>
          </cell>
          <cell r="BM83">
            <v>0</v>
          </cell>
          <cell r="BN83">
            <v>0</v>
          </cell>
          <cell r="BO83">
            <v>0</v>
          </cell>
          <cell r="BP83">
            <v>0</v>
          </cell>
          <cell r="BQ83">
            <v>0</v>
          </cell>
          <cell r="BR83">
            <v>14000</v>
          </cell>
          <cell r="BT83">
            <v>2</v>
          </cell>
          <cell r="BU83">
            <v>2</v>
          </cell>
          <cell r="BV83" t="str">
            <v>N</v>
          </cell>
          <cell r="BW83">
            <v>0</v>
          </cell>
          <cell r="BX83">
            <v>0</v>
          </cell>
          <cell r="BY83">
            <v>2026</v>
          </cell>
          <cell r="BZ83" t="str">
            <v>-</v>
          </cell>
          <cell r="CA83" t="str">
            <v>-</v>
          </cell>
        </row>
        <row r="84">
          <cell r="A84" t="str">
            <v>Lucknow</v>
          </cell>
          <cell r="B84" t="str">
            <v>Titans</v>
          </cell>
          <cell r="C84" t="str">
            <v>Mid Level</v>
          </cell>
          <cell r="D84" t="str">
            <v>Noor Beg</v>
          </cell>
          <cell r="E84" t="str">
            <v>-</v>
          </cell>
          <cell r="F84" t="str">
            <v>Non-MSP</v>
          </cell>
          <cell r="H84" t="str">
            <v>Pass Through</v>
          </cell>
          <cell r="L84" t="str">
            <v>New</v>
          </cell>
          <cell r="M84">
            <v>46042</v>
          </cell>
          <cell r="N84">
            <v>160</v>
          </cell>
          <cell r="O84">
            <v>46100</v>
          </cell>
          <cell r="P84">
            <v>46407</v>
          </cell>
          <cell r="Q84" t="str">
            <v>PLC-Passthrough</v>
          </cell>
          <cell r="R84" t="str">
            <v>Catherine Timm</v>
          </cell>
          <cell r="S84" t="str">
            <v>Individual</v>
          </cell>
          <cell r="T84" t="str">
            <v>C2C</v>
          </cell>
          <cell r="U84" t="str">
            <v>Genpact</v>
          </cell>
          <cell r="V84">
            <v>140</v>
          </cell>
          <cell r="W84">
            <v>0</v>
          </cell>
          <cell r="X84" t="str">
            <v>USD</v>
          </cell>
          <cell r="Y84">
            <v>145</v>
          </cell>
          <cell r="Z84">
            <v>0</v>
          </cell>
          <cell r="AA84">
            <v>0</v>
          </cell>
          <cell r="AB84">
            <v>0</v>
          </cell>
          <cell r="AC84">
            <v>46037</v>
          </cell>
          <cell r="AD84">
            <v>8</v>
          </cell>
          <cell r="AE84">
            <v>46387</v>
          </cell>
          <cell r="AF84">
            <v>140</v>
          </cell>
          <cell r="AG84">
            <v>0</v>
          </cell>
          <cell r="AH84">
            <v>140</v>
          </cell>
          <cell r="AI84">
            <v>145</v>
          </cell>
          <cell r="AJ84">
            <v>0</v>
          </cell>
          <cell r="AK84">
            <v>0</v>
          </cell>
          <cell r="AL84">
            <v>5</v>
          </cell>
          <cell r="AM84">
            <v>0</v>
          </cell>
          <cell r="AN84">
            <v>5</v>
          </cell>
          <cell r="AO84">
            <v>0</v>
          </cell>
          <cell r="AP84">
            <v>5</v>
          </cell>
          <cell r="AQ84" t="str">
            <v>US_GB_00008</v>
          </cell>
          <cell r="AR84">
            <v>0</v>
          </cell>
          <cell r="AS84">
            <v>73</v>
          </cell>
          <cell r="AU84">
            <v>73</v>
          </cell>
          <cell r="AV84">
            <v>0</v>
          </cell>
          <cell r="AW84">
            <v>365</v>
          </cell>
          <cell r="AX84">
            <v>365</v>
          </cell>
          <cell r="AY84">
            <v>0</v>
          </cell>
          <cell r="AZ84">
            <v>365</v>
          </cell>
          <cell r="BA84">
            <v>365</v>
          </cell>
          <cell r="BB84">
            <v>365</v>
          </cell>
          <cell r="BC84">
            <v>0</v>
          </cell>
          <cell r="BD84">
            <v>0</v>
          </cell>
          <cell r="BE84">
            <v>0</v>
          </cell>
          <cell r="BG84">
            <v>365</v>
          </cell>
          <cell r="BI84">
            <v>365</v>
          </cell>
          <cell r="BJ84">
            <v>10585</v>
          </cell>
          <cell r="BK84">
            <v>10585</v>
          </cell>
          <cell r="BL84">
            <v>10220</v>
          </cell>
          <cell r="BM84">
            <v>0</v>
          </cell>
          <cell r="BN84">
            <v>0</v>
          </cell>
          <cell r="BO84">
            <v>0</v>
          </cell>
          <cell r="BP84">
            <v>10220</v>
          </cell>
          <cell r="BQ84">
            <v>0</v>
          </cell>
          <cell r="BR84">
            <v>365</v>
          </cell>
          <cell r="BS84" t="str">
            <v>Y</v>
          </cell>
          <cell r="BT84">
            <v>1</v>
          </cell>
          <cell r="BU84">
            <v>1</v>
          </cell>
          <cell r="BV84" t="str">
            <v>Y</v>
          </cell>
          <cell r="BW84">
            <v>0</v>
          </cell>
          <cell r="BX84">
            <v>0</v>
          </cell>
          <cell r="BY84">
            <v>2026</v>
          </cell>
          <cell r="BZ84" t="str">
            <v>-</v>
          </cell>
          <cell r="CA84" t="str">
            <v>-</v>
          </cell>
        </row>
        <row r="85">
          <cell r="A85" t="str">
            <v>Lucknow</v>
          </cell>
          <cell r="B85" t="str">
            <v>Titans</v>
          </cell>
          <cell r="C85" t="str">
            <v>Mid Level</v>
          </cell>
          <cell r="D85" t="str">
            <v>Noor Beg</v>
          </cell>
          <cell r="E85" t="str">
            <v>-</v>
          </cell>
          <cell r="F85" t="str">
            <v>Non-MSP</v>
          </cell>
          <cell r="H85" t="str">
            <v>Pass Through</v>
          </cell>
          <cell r="L85" t="str">
            <v>New</v>
          </cell>
          <cell r="M85">
            <v>46042</v>
          </cell>
          <cell r="N85">
            <v>160</v>
          </cell>
          <cell r="O85">
            <v>46100</v>
          </cell>
          <cell r="P85">
            <v>46407</v>
          </cell>
          <cell r="Q85" t="str">
            <v>PLC-Passthrough</v>
          </cell>
          <cell r="R85" t="str">
            <v>Catherine Timm</v>
          </cell>
          <cell r="S85" t="str">
            <v>Individual</v>
          </cell>
          <cell r="T85" t="str">
            <v>C2C</v>
          </cell>
          <cell r="U85" t="str">
            <v>Genpact</v>
          </cell>
          <cell r="V85">
            <v>140</v>
          </cell>
          <cell r="W85">
            <v>0</v>
          </cell>
          <cell r="X85" t="str">
            <v>USD</v>
          </cell>
          <cell r="Y85">
            <v>145</v>
          </cell>
          <cell r="Z85">
            <v>0</v>
          </cell>
          <cell r="AA85">
            <v>0</v>
          </cell>
          <cell r="AB85">
            <v>0</v>
          </cell>
          <cell r="AC85">
            <v>46068</v>
          </cell>
          <cell r="AD85">
            <v>20</v>
          </cell>
          <cell r="AE85">
            <v>46387</v>
          </cell>
          <cell r="AF85">
            <v>140</v>
          </cell>
          <cell r="AG85">
            <v>0</v>
          </cell>
          <cell r="AH85">
            <v>140</v>
          </cell>
          <cell r="AI85">
            <v>145</v>
          </cell>
          <cell r="AJ85">
            <v>0</v>
          </cell>
          <cell r="AK85">
            <v>0</v>
          </cell>
          <cell r="AL85">
            <v>5</v>
          </cell>
          <cell r="AM85">
            <v>0</v>
          </cell>
          <cell r="AN85">
            <v>5</v>
          </cell>
          <cell r="AO85">
            <v>0</v>
          </cell>
          <cell r="AP85">
            <v>5</v>
          </cell>
          <cell r="AQ85" t="str">
            <v>US_GB_00021</v>
          </cell>
          <cell r="AR85">
            <v>0</v>
          </cell>
          <cell r="AS85">
            <v>152</v>
          </cell>
          <cell r="AU85">
            <v>152</v>
          </cell>
          <cell r="AV85">
            <v>0</v>
          </cell>
          <cell r="AW85">
            <v>760</v>
          </cell>
          <cell r="AX85">
            <v>760</v>
          </cell>
          <cell r="AY85">
            <v>0</v>
          </cell>
          <cell r="AZ85">
            <v>760</v>
          </cell>
          <cell r="BA85">
            <v>760</v>
          </cell>
          <cell r="BB85">
            <v>760</v>
          </cell>
          <cell r="BC85">
            <v>0</v>
          </cell>
          <cell r="BD85">
            <v>0</v>
          </cell>
          <cell r="BE85">
            <v>0</v>
          </cell>
          <cell r="BG85">
            <v>760</v>
          </cell>
          <cell r="BI85">
            <v>760</v>
          </cell>
          <cell r="BJ85">
            <v>22040</v>
          </cell>
          <cell r="BK85">
            <v>22040</v>
          </cell>
          <cell r="BL85">
            <v>21280</v>
          </cell>
          <cell r="BM85">
            <v>0</v>
          </cell>
          <cell r="BN85">
            <v>0</v>
          </cell>
          <cell r="BO85">
            <v>0</v>
          </cell>
          <cell r="BP85">
            <v>21280</v>
          </cell>
          <cell r="BQ85">
            <v>0</v>
          </cell>
          <cell r="BR85">
            <v>760</v>
          </cell>
          <cell r="BS85" t="str">
            <v>Y</v>
          </cell>
          <cell r="BT85">
            <v>1</v>
          </cell>
          <cell r="BU85">
            <v>1</v>
          </cell>
          <cell r="BV85" t="str">
            <v>Y</v>
          </cell>
          <cell r="BW85">
            <v>0</v>
          </cell>
          <cell r="BX85">
            <v>0</v>
          </cell>
          <cell r="BY85">
            <v>2026</v>
          </cell>
          <cell r="BZ85" t="str">
            <v>-</v>
          </cell>
          <cell r="CA85" t="str">
            <v>-</v>
          </cell>
        </row>
        <row r="86">
          <cell r="A86" t="str">
            <v>Lucknow</v>
          </cell>
          <cell r="B86" t="str">
            <v>Titans</v>
          </cell>
          <cell r="C86" t="str">
            <v>Mid Level</v>
          </cell>
          <cell r="D86" t="str">
            <v>Noor Beg</v>
          </cell>
          <cell r="E86" t="str">
            <v>-</v>
          </cell>
          <cell r="F86" t="str">
            <v>Non-MSP</v>
          </cell>
          <cell r="H86" t="str">
            <v>Pass Through</v>
          </cell>
          <cell r="L86" t="str">
            <v>New</v>
          </cell>
          <cell r="M86">
            <v>46042</v>
          </cell>
          <cell r="N86">
            <v>160</v>
          </cell>
          <cell r="O86">
            <v>46100</v>
          </cell>
          <cell r="P86">
            <v>46407</v>
          </cell>
          <cell r="Q86" t="str">
            <v>PLC-Passthrough</v>
          </cell>
          <cell r="R86" t="str">
            <v>Catherine Timm</v>
          </cell>
          <cell r="S86" t="str">
            <v>Individual</v>
          </cell>
          <cell r="T86" t="str">
            <v>C2C</v>
          </cell>
          <cell r="U86" t="str">
            <v>Genpact</v>
          </cell>
          <cell r="V86">
            <v>140</v>
          </cell>
          <cell r="W86">
            <v>0</v>
          </cell>
          <cell r="X86" t="str">
            <v>USD</v>
          </cell>
          <cell r="Y86">
            <v>145</v>
          </cell>
          <cell r="Z86">
            <v>0</v>
          </cell>
          <cell r="AA86">
            <v>0</v>
          </cell>
          <cell r="AB86">
            <v>0</v>
          </cell>
          <cell r="AC86">
            <v>46096</v>
          </cell>
          <cell r="AD86">
            <v>22</v>
          </cell>
          <cell r="AE86">
            <v>46387</v>
          </cell>
          <cell r="AF86">
            <v>140</v>
          </cell>
          <cell r="AG86">
            <v>0</v>
          </cell>
          <cell r="AH86">
            <v>140</v>
          </cell>
          <cell r="AI86">
            <v>145</v>
          </cell>
          <cell r="AJ86">
            <v>0</v>
          </cell>
          <cell r="AK86">
            <v>0</v>
          </cell>
          <cell r="AL86">
            <v>5</v>
          </cell>
          <cell r="AM86">
            <v>0</v>
          </cell>
          <cell r="AN86">
            <v>5</v>
          </cell>
          <cell r="AO86">
            <v>0</v>
          </cell>
          <cell r="AP86">
            <v>5</v>
          </cell>
          <cell r="AQ86" t="str">
            <v>US_GB_00036</v>
          </cell>
          <cell r="AR86">
            <v>0</v>
          </cell>
          <cell r="AS86">
            <v>112</v>
          </cell>
          <cell r="AU86">
            <v>112</v>
          </cell>
          <cell r="AV86">
            <v>0</v>
          </cell>
          <cell r="AW86">
            <v>560</v>
          </cell>
          <cell r="AX86">
            <v>560</v>
          </cell>
          <cell r="AY86">
            <v>0</v>
          </cell>
          <cell r="AZ86">
            <v>560</v>
          </cell>
          <cell r="BA86">
            <v>560</v>
          </cell>
          <cell r="BB86">
            <v>560</v>
          </cell>
          <cell r="BC86">
            <v>0</v>
          </cell>
          <cell r="BD86">
            <v>0</v>
          </cell>
          <cell r="BE86">
            <v>0</v>
          </cell>
          <cell r="BG86">
            <v>560</v>
          </cell>
          <cell r="BI86">
            <v>560</v>
          </cell>
          <cell r="BJ86">
            <v>16240</v>
          </cell>
          <cell r="BK86">
            <v>16240</v>
          </cell>
          <cell r="BL86">
            <v>15680</v>
          </cell>
          <cell r="BM86">
            <v>0</v>
          </cell>
          <cell r="BN86">
            <v>0</v>
          </cell>
          <cell r="BO86">
            <v>0</v>
          </cell>
          <cell r="BP86">
            <v>15680</v>
          </cell>
          <cell r="BQ86">
            <v>0</v>
          </cell>
          <cell r="BR86">
            <v>560</v>
          </cell>
          <cell r="BS86" t="str">
            <v>Y</v>
          </cell>
          <cell r="BT86">
            <v>1</v>
          </cell>
          <cell r="BU86">
            <v>1</v>
          </cell>
          <cell r="BV86" t="str">
            <v>Y</v>
          </cell>
          <cell r="BW86">
            <v>0</v>
          </cell>
          <cell r="BX86">
            <v>0</v>
          </cell>
          <cell r="BY86">
            <v>2026</v>
          </cell>
          <cell r="BZ86" t="str">
            <v>-</v>
          </cell>
          <cell r="CA86" t="str">
            <v>-</v>
          </cell>
        </row>
        <row r="87">
          <cell r="A87" t="str">
            <v>Lucknow</v>
          </cell>
          <cell r="B87" t="str">
            <v>Trust</v>
          </cell>
          <cell r="C87" t="str">
            <v>Mid Level</v>
          </cell>
          <cell r="D87" t="str">
            <v>Harsh Agarwal</v>
          </cell>
          <cell r="E87" t="str">
            <v>-</v>
          </cell>
          <cell r="F87" t="str">
            <v>Non-MSP</v>
          </cell>
          <cell r="H87" t="str">
            <v>Arzoo Khan</v>
          </cell>
          <cell r="L87" t="str">
            <v>New</v>
          </cell>
          <cell r="M87">
            <v>46064</v>
          </cell>
          <cell r="N87">
            <v>138</v>
          </cell>
          <cell r="P87">
            <v>46429</v>
          </cell>
          <cell r="Q87" t="str">
            <v>PLC-4562</v>
          </cell>
          <cell r="R87" t="str">
            <v>Charles Robert Cullum</v>
          </cell>
          <cell r="S87" t="str">
            <v>Individual</v>
          </cell>
          <cell r="T87" t="str">
            <v>W2</v>
          </cell>
          <cell r="U87" t="str">
            <v>Global Logic</v>
          </cell>
          <cell r="V87">
            <v>21</v>
          </cell>
          <cell r="W87">
            <v>0</v>
          </cell>
          <cell r="X87" t="str">
            <v>USD</v>
          </cell>
          <cell r="Y87">
            <v>29</v>
          </cell>
          <cell r="Z87">
            <v>0</v>
          </cell>
          <cell r="AA87">
            <v>0</v>
          </cell>
          <cell r="AB87">
            <v>0</v>
          </cell>
          <cell r="AC87">
            <v>46068</v>
          </cell>
          <cell r="AD87">
            <v>13</v>
          </cell>
          <cell r="AE87">
            <v>46387</v>
          </cell>
          <cell r="AF87">
            <v>24.15</v>
          </cell>
          <cell r="AG87">
            <v>0</v>
          </cell>
          <cell r="AH87">
            <v>24.15</v>
          </cell>
          <cell r="AI87">
            <v>29</v>
          </cell>
          <cell r="AJ87">
            <v>0</v>
          </cell>
          <cell r="AK87">
            <v>0</v>
          </cell>
          <cell r="AL87">
            <v>4.8500000000000014</v>
          </cell>
          <cell r="AM87">
            <v>0</v>
          </cell>
          <cell r="AN87">
            <v>4.8500000000000014</v>
          </cell>
          <cell r="AO87">
            <v>0</v>
          </cell>
          <cell r="AP87">
            <v>4.8500000000000014</v>
          </cell>
          <cell r="AQ87" t="str">
            <v>US_27166</v>
          </cell>
          <cell r="AR87">
            <v>0</v>
          </cell>
          <cell r="AS87">
            <v>96</v>
          </cell>
          <cell r="AU87">
            <v>96</v>
          </cell>
          <cell r="AV87">
            <v>0</v>
          </cell>
          <cell r="AW87">
            <v>465.60000000000014</v>
          </cell>
          <cell r="AX87">
            <v>465.60000000000014</v>
          </cell>
          <cell r="AY87">
            <v>0</v>
          </cell>
          <cell r="AZ87">
            <v>465.60000000000014</v>
          </cell>
          <cell r="BA87">
            <v>465.60000000000014</v>
          </cell>
          <cell r="BB87">
            <v>465.60000000000014</v>
          </cell>
          <cell r="BC87">
            <v>0</v>
          </cell>
          <cell r="BD87">
            <v>0</v>
          </cell>
          <cell r="BE87">
            <v>0</v>
          </cell>
          <cell r="BF87">
            <v>39</v>
          </cell>
          <cell r="BG87">
            <v>465.60000000000014</v>
          </cell>
          <cell r="BH87">
            <v>256.0800000000001</v>
          </cell>
          <cell r="BI87">
            <v>465.60000000000014</v>
          </cell>
          <cell r="BJ87">
            <v>2784</v>
          </cell>
          <cell r="BK87">
            <v>2784</v>
          </cell>
          <cell r="BL87">
            <v>2016</v>
          </cell>
          <cell r="BM87">
            <v>3.15</v>
          </cell>
          <cell r="BN87">
            <v>0</v>
          </cell>
          <cell r="BO87">
            <v>302.39999999999998</v>
          </cell>
          <cell r="BP87">
            <v>2318.4</v>
          </cell>
          <cell r="BQ87">
            <v>3.15</v>
          </cell>
          <cell r="BR87">
            <v>465.6</v>
          </cell>
          <cell r="BS87" t="str">
            <v>Y</v>
          </cell>
          <cell r="BT87">
            <v>1</v>
          </cell>
          <cell r="BU87">
            <v>1</v>
          </cell>
          <cell r="BV87" t="str">
            <v>N</v>
          </cell>
          <cell r="BW87">
            <v>0</v>
          </cell>
          <cell r="BX87">
            <v>0</v>
          </cell>
          <cell r="BY87">
            <v>2026</v>
          </cell>
          <cell r="BZ87" t="str">
            <v>-</v>
          </cell>
          <cell r="CA87" t="str">
            <v>-</v>
          </cell>
        </row>
        <row r="88">
          <cell r="A88" t="str">
            <v>Lucknow</v>
          </cell>
          <cell r="B88" t="str">
            <v>Trust</v>
          </cell>
          <cell r="C88" t="str">
            <v>Mid Level</v>
          </cell>
          <cell r="D88" t="str">
            <v>Harsh Agarwal</v>
          </cell>
          <cell r="E88" t="str">
            <v>-</v>
          </cell>
          <cell r="F88" t="str">
            <v>Non-MSP</v>
          </cell>
          <cell r="H88" t="str">
            <v>Arzoo Khan</v>
          </cell>
          <cell r="L88" t="str">
            <v>New</v>
          </cell>
          <cell r="M88">
            <v>46064</v>
          </cell>
          <cell r="N88">
            <v>138</v>
          </cell>
          <cell r="P88">
            <v>46429</v>
          </cell>
          <cell r="Q88" t="str">
            <v>PLC-4562</v>
          </cell>
          <cell r="R88" t="str">
            <v>Charles Robert Cullum</v>
          </cell>
          <cell r="S88" t="str">
            <v>Individual</v>
          </cell>
          <cell r="T88" t="str">
            <v>W2</v>
          </cell>
          <cell r="U88" t="str">
            <v>Global Logic</v>
          </cell>
          <cell r="V88">
            <v>21</v>
          </cell>
          <cell r="W88">
            <v>0</v>
          </cell>
          <cell r="X88" t="str">
            <v>USD</v>
          </cell>
          <cell r="Y88">
            <v>29</v>
          </cell>
          <cell r="Z88">
            <v>0</v>
          </cell>
          <cell r="AA88">
            <v>0</v>
          </cell>
          <cell r="AB88">
            <v>0</v>
          </cell>
          <cell r="AC88">
            <v>46096</v>
          </cell>
          <cell r="AD88">
            <v>22</v>
          </cell>
          <cell r="AE88">
            <v>46387</v>
          </cell>
          <cell r="AF88">
            <v>24.15</v>
          </cell>
          <cell r="AG88">
            <v>0</v>
          </cell>
          <cell r="AH88">
            <v>24.15</v>
          </cell>
          <cell r="AI88">
            <v>29</v>
          </cell>
          <cell r="AJ88">
            <v>0</v>
          </cell>
          <cell r="AK88">
            <v>0</v>
          </cell>
          <cell r="AL88">
            <v>4.8500000000000014</v>
          </cell>
          <cell r="AM88">
            <v>0</v>
          </cell>
          <cell r="AN88">
            <v>4.8500000000000014</v>
          </cell>
          <cell r="AO88">
            <v>0</v>
          </cell>
          <cell r="AP88">
            <v>4.8500000000000014</v>
          </cell>
          <cell r="AQ88" t="str">
            <v>US_27381</v>
          </cell>
          <cell r="AR88">
            <v>0</v>
          </cell>
          <cell r="AS88">
            <v>176</v>
          </cell>
          <cell r="AU88">
            <v>176</v>
          </cell>
          <cell r="AV88">
            <v>0</v>
          </cell>
          <cell r="AW88">
            <v>853.60000000000025</v>
          </cell>
          <cell r="AX88">
            <v>853.60000000000025</v>
          </cell>
          <cell r="AY88">
            <v>0</v>
          </cell>
          <cell r="AZ88">
            <v>853.60000000000025</v>
          </cell>
          <cell r="BA88">
            <v>853.60000000000025</v>
          </cell>
          <cell r="BB88">
            <v>853.60000000000025</v>
          </cell>
          <cell r="BC88">
            <v>0</v>
          </cell>
          <cell r="BD88">
            <v>0</v>
          </cell>
          <cell r="BE88">
            <v>0</v>
          </cell>
          <cell r="BF88">
            <v>39</v>
          </cell>
          <cell r="BG88">
            <v>853.60000000000025</v>
          </cell>
          <cell r="BH88">
            <v>469.48000000000013</v>
          </cell>
          <cell r="BI88">
            <v>853.60000000000025</v>
          </cell>
          <cell r="BJ88">
            <v>5104</v>
          </cell>
          <cell r="BK88">
            <v>5104</v>
          </cell>
          <cell r="BL88">
            <v>3696</v>
          </cell>
          <cell r="BM88">
            <v>3.15</v>
          </cell>
          <cell r="BN88">
            <v>0</v>
          </cell>
          <cell r="BO88">
            <v>554.4</v>
          </cell>
          <cell r="BP88">
            <v>4250.3999999999996</v>
          </cell>
          <cell r="BQ88">
            <v>3.15</v>
          </cell>
          <cell r="BR88">
            <v>853.6</v>
          </cell>
          <cell r="BS88" t="str">
            <v>Y</v>
          </cell>
          <cell r="BT88">
            <v>1</v>
          </cell>
          <cell r="BU88">
            <v>1</v>
          </cell>
          <cell r="BV88" t="str">
            <v>N</v>
          </cell>
          <cell r="BW88">
            <v>0</v>
          </cell>
          <cell r="BX88">
            <v>0</v>
          </cell>
          <cell r="BY88">
            <v>2026</v>
          </cell>
          <cell r="BZ88" t="str">
            <v>-</v>
          </cell>
          <cell r="CA88" t="str">
            <v>-</v>
          </cell>
        </row>
        <row r="89">
          <cell r="A89" t="str">
            <v>Lucknow</v>
          </cell>
          <cell r="B89" t="str">
            <v>Trust</v>
          </cell>
          <cell r="C89" t="str">
            <v>Mid Level</v>
          </cell>
          <cell r="D89" t="str">
            <v>Harsh Agarwal</v>
          </cell>
          <cell r="E89" t="str">
            <v>-</v>
          </cell>
          <cell r="F89" t="str">
            <v>Non-MSP</v>
          </cell>
          <cell r="H89" t="str">
            <v>Arzoo Khan</v>
          </cell>
          <cell r="J89" t="str">
            <v>ACH</v>
          </cell>
          <cell r="L89" t="str">
            <v>New</v>
          </cell>
          <cell r="M89">
            <v>46064</v>
          </cell>
          <cell r="N89">
            <v>138</v>
          </cell>
          <cell r="P89">
            <v>46429</v>
          </cell>
          <cell r="Q89" t="str">
            <v>PLC-4562</v>
          </cell>
          <cell r="R89" t="str">
            <v>Charles Robert Cullum</v>
          </cell>
          <cell r="S89" t="str">
            <v>Individual</v>
          </cell>
          <cell r="T89" t="str">
            <v>W2</v>
          </cell>
          <cell r="U89" t="str">
            <v>Global Logic</v>
          </cell>
          <cell r="V89">
            <v>21</v>
          </cell>
          <cell r="W89">
            <v>0</v>
          </cell>
          <cell r="X89" t="str">
            <v>USD</v>
          </cell>
          <cell r="Y89">
            <v>29</v>
          </cell>
          <cell r="Z89">
            <v>0</v>
          </cell>
          <cell r="AA89">
            <v>0</v>
          </cell>
          <cell r="AB89">
            <v>0</v>
          </cell>
          <cell r="AC89">
            <v>46127</v>
          </cell>
          <cell r="AD89">
            <v>22</v>
          </cell>
          <cell r="AE89">
            <v>46387</v>
          </cell>
          <cell r="AF89">
            <v>24.15</v>
          </cell>
          <cell r="AG89">
            <v>0</v>
          </cell>
          <cell r="AH89">
            <v>24.15</v>
          </cell>
          <cell r="AI89">
            <v>29</v>
          </cell>
          <cell r="AJ89">
            <v>0</v>
          </cell>
          <cell r="AK89">
            <v>0</v>
          </cell>
          <cell r="AL89">
            <v>4.8500000000000014</v>
          </cell>
          <cell r="AM89">
            <v>0</v>
          </cell>
          <cell r="AN89">
            <v>4.8500000000000014</v>
          </cell>
          <cell r="AO89">
            <v>0</v>
          </cell>
          <cell r="AP89">
            <v>4.8500000000000014</v>
          </cell>
          <cell r="AQ89" t="str">
            <v>US_27616</v>
          </cell>
          <cell r="AR89">
            <v>0</v>
          </cell>
          <cell r="AS89">
            <v>112</v>
          </cell>
          <cell r="AU89">
            <v>112</v>
          </cell>
          <cell r="AV89">
            <v>0</v>
          </cell>
          <cell r="AW89">
            <v>543.20000000000016</v>
          </cell>
          <cell r="AX89">
            <v>537.76800000000014</v>
          </cell>
          <cell r="AY89">
            <v>0</v>
          </cell>
          <cell r="AZ89">
            <v>543.20000000000016</v>
          </cell>
          <cell r="BA89">
            <v>537.76800000000014</v>
          </cell>
          <cell r="BB89">
            <v>543.20000000000016</v>
          </cell>
          <cell r="BC89">
            <v>0</v>
          </cell>
          <cell r="BD89">
            <v>0</v>
          </cell>
          <cell r="BE89">
            <v>0</v>
          </cell>
          <cell r="BF89">
            <v>39</v>
          </cell>
          <cell r="BG89">
            <v>537.76800000000014</v>
          </cell>
          <cell r="BH89">
            <v>295.77240000000006</v>
          </cell>
          <cell r="BI89">
            <v>537.76800000000014</v>
          </cell>
          <cell r="BJ89">
            <v>3248</v>
          </cell>
          <cell r="BK89">
            <v>3248</v>
          </cell>
          <cell r="BL89">
            <v>2352</v>
          </cell>
          <cell r="BM89">
            <v>3.15</v>
          </cell>
          <cell r="BN89">
            <v>0</v>
          </cell>
          <cell r="BO89">
            <v>352.8</v>
          </cell>
          <cell r="BP89">
            <v>2704.8</v>
          </cell>
          <cell r="BQ89">
            <v>3.15</v>
          </cell>
          <cell r="BR89">
            <v>543.20000000000005</v>
          </cell>
          <cell r="BS89" t="str">
            <v>Y</v>
          </cell>
          <cell r="BT89">
            <v>2</v>
          </cell>
          <cell r="BU89">
            <v>1</v>
          </cell>
          <cell r="BV89" t="str">
            <v>N</v>
          </cell>
          <cell r="BW89">
            <v>0</v>
          </cell>
          <cell r="BX89">
            <v>0</v>
          </cell>
          <cell r="BY89">
            <v>2026</v>
          </cell>
          <cell r="BZ89" t="str">
            <v>-</v>
          </cell>
          <cell r="CA89" t="str">
            <v>-</v>
          </cell>
        </row>
        <row r="90">
          <cell r="A90" t="str">
            <v>Lucknow</v>
          </cell>
          <cell r="B90" t="str">
            <v>Trust</v>
          </cell>
          <cell r="C90" t="str">
            <v>Mid Level</v>
          </cell>
          <cell r="D90" t="str">
            <v>Harsh Agarwal</v>
          </cell>
          <cell r="E90" t="str">
            <v>-</v>
          </cell>
          <cell r="F90" t="str">
            <v>Non-MSP</v>
          </cell>
          <cell r="H90" t="str">
            <v>Arzoo Khan</v>
          </cell>
          <cell r="J90" t="str">
            <v>ACH</v>
          </cell>
          <cell r="L90" t="str">
            <v>New</v>
          </cell>
          <cell r="M90">
            <v>46064</v>
          </cell>
          <cell r="N90">
            <v>138</v>
          </cell>
          <cell r="P90">
            <v>46429</v>
          </cell>
          <cell r="Q90" t="str">
            <v>PLC-4562</v>
          </cell>
          <cell r="R90" t="str">
            <v>Charles Robert Cullum</v>
          </cell>
          <cell r="S90" t="str">
            <v>Individual</v>
          </cell>
          <cell r="T90" t="str">
            <v>W2</v>
          </cell>
          <cell r="U90" t="str">
            <v>Global Logic</v>
          </cell>
          <cell r="V90">
            <v>21</v>
          </cell>
          <cell r="W90">
            <v>0</v>
          </cell>
          <cell r="X90" t="str">
            <v>USD</v>
          </cell>
          <cell r="Y90">
            <v>29</v>
          </cell>
          <cell r="Z90">
            <v>0</v>
          </cell>
          <cell r="AA90">
            <v>0</v>
          </cell>
          <cell r="AB90">
            <v>0</v>
          </cell>
          <cell r="AC90">
            <v>46157</v>
          </cell>
          <cell r="AD90">
            <v>22</v>
          </cell>
          <cell r="AE90">
            <v>46387</v>
          </cell>
          <cell r="AF90">
            <v>24.15</v>
          </cell>
          <cell r="AG90">
            <v>0</v>
          </cell>
          <cell r="AH90">
            <v>24.15</v>
          </cell>
          <cell r="AI90">
            <v>29</v>
          </cell>
          <cell r="AJ90">
            <v>0</v>
          </cell>
          <cell r="AK90">
            <v>0</v>
          </cell>
          <cell r="AL90">
            <v>4.8500000000000014</v>
          </cell>
          <cell r="AM90">
            <v>0</v>
          </cell>
          <cell r="AN90">
            <v>4.8500000000000014</v>
          </cell>
          <cell r="AO90">
            <v>0</v>
          </cell>
          <cell r="AP90">
            <v>4.8500000000000014</v>
          </cell>
          <cell r="AU90">
            <v>176</v>
          </cell>
          <cell r="BB90">
            <v>853.60000000000025</v>
          </cell>
          <cell r="BC90">
            <v>0</v>
          </cell>
          <cell r="BD90">
            <v>0</v>
          </cell>
          <cell r="BE90">
            <v>0</v>
          </cell>
          <cell r="BF90">
            <v>39</v>
          </cell>
          <cell r="BK90">
            <v>5104</v>
          </cell>
          <cell r="BL90">
            <v>3696</v>
          </cell>
          <cell r="BM90">
            <v>3.15</v>
          </cell>
          <cell r="BN90">
            <v>0</v>
          </cell>
          <cell r="BO90">
            <v>554.4</v>
          </cell>
          <cell r="BP90">
            <v>4250.3999999999996</v>
          </cell>
          <cell r="BQ90">
            <v>3.15</v>
          </cell>
          <cell r="BR90">
            <v>853.6</v>
          </cell>
          <cell r="BT90">
            <v>2</v>
          </cell>
          <cell r="BU90">
            <v>1</v>
          </cell>
          <cell r="BV90" t="str">
            <v>N</v>
          </cell>
          <cell r="BW90">
            <v>0</v>
          </cell>
          <cell r="BX90">
            <v>0</v>
          </cell>
          <cell r="BY90">
            <v>2026</v>
          </cell>
          <cell r="BZ90" t="str">
            <v>-</v>
          </cell>
          <cell r="CA90" t="str">
            <v>-</v>
          </cell>
        </row>
        <row r="91">
          <cell r="A91" t="str">
            <v>Lucknow</v>
          </cell>
          <cell r="B91" t="str">
            <v>Titans</v>
          </cell>
          <cell r="C91" t="str">
            <v>Mid Level</v>
          </cell>
          <cell r="D91" t="str">
            <v>Nitin Saxena</v>
          </cell>
          <cell r="F91" t="str">
            <v>Non-MSP</v>
          </cell>
          <cell r="H91" t="str">
            <v>Samad Quraishi</v>
          </cell>
          <cell r="L91" t="str">
            <v>New</v>
          </cell>
          <cell r="M91">
            <v>46168</v>
          </cell>
          <cell r="N91">
            <v>34</v>
          </cell>
          <cell r="P91">
            <v>46533</v>
          </cell>
          <cell r="R91" t="str">
            <v>Chris Pappas</v>
          </cell>
          <cell r="S91" t="str">
            <v>Individual</v>
          </cell>
          <cell r="T91" t="str">
            <v>FTE</v>
          </cell>
          <cell r="U91" t="str">
            <v>Genpact</v>
          </cell>
          <cell r="V91">
            <v>0</v>
          </cell>
          <cell r="W91">
            <v>0</v>
          </cell>
          <cell r="X91" t="str">
            <v>USD</v>
          </cell>
          <cell r="Y91">
            <v>13500</v>
          </cell>
          <cell r="Z91">
            <v>0</v>
          </cell>
          <cell r="AA91">
            <v>0</v>
          </cell>
          <cell r="AB91">
            <v>0</v>
          </cell>
          <cell r="AC91">
            <v>46157</v>
          </cell>
          <cell r="AD91">
            <v>1</v>
          </cell>
          <cell r="AE91">
            <v>46387</v>
          </cell>
          <cell r="AF91">
            <v>0</v>
          </cell>
          <cell r="AG91">
            <v>0</v>
          </cell>
          <cell r="AH91">
            <v>0</v>
          </cell>
          <cell r="AI91">
            <v>13500</v>
          </cell>
          <cell r="AJ91">
            <v>0</v>
          </cell>
          <cell r="AK91">
            <v>0</v>
          </cell>
          <cell r="AL91">
            <v>13500</v>
          </cell>
          <cell r="AM91">
            <v>0</v>
          </cell>
          <cell r="AN91">
            <v>13500</v>
          </cell>
          <cell r="AO91">
            <v>0</v>
          </cell>
          <cell r="AP91">
            <v>13500</v>
          </cell>
          <cell r="AU91">
            <v>1</v>
          </cell>
          <cell r="BB91">
            <v>13500</v>
          </cell>
          <cell r="BC91">
            <v>55.555555555555557</v>
          </cell>
          <cell r="BI91">
            <v>0</v>
          </cell>
          <cell r="BK91">
            <v>13500</v>
          </cell>
          <cell r="BL91">
            <v>0</v>
          </cell>
          <cell r="BM91">
            <v>0</v>
          </cell>
          <cell r="BN91">
            <v>0</v>
          </cell>
          <cell r="BO91">
            <v>0</v>
          </cell>
          <cell r="BP91">
            <v>0</v>
          </cell>
          <cell r="BQ91">
            <v>0</v>
          </cell>
          <cell r="BR91">
            <v>13500</v>
          </cell>
          <cell r="BT91">
            <v>2</v>
          </cell>
          <cell r="BU91">
            <v>2</v>
          </cell>
          <cell r="BV91" t="str">
            <v>Y</v>
          </cell>
          <cell r="BY91">
            <v>2026</v>
          </cell>
          <cell r="BZ91" t="str">
            <v>-</v>
          </cell>
          <cell r="CA91" t="str">
            <v>-</v>
          </cell>
        </row>
        <row r="92">
          <cell r="A92" t="str">
            <v>Lucknow</v>
          </cell>
          <cell r="B92" t="str">
            <v>Titans</v>
          </cell>
          <cell r="C92" t="str">
            <v>Mid Level</v>
          </cell>
          <cell r="D92" t="str">
            <v>Noor Beg</v>
          </cell>
          <cell r="E92" t="str">
            <v>-</v>
          </cell>
          <cell r="F92" t="str">
            <v>Non-MSP</v>
          </cell>
          <cell r="H92" t="str">
            <v>Pass Through</v>
          </cell>
          <cell r="L92" t="str">
            <v>New</v>
          </cell>
          <cell r="M92">
            <v>46042</v>
          </cell>
          <cell r="N92">
            <v>160</v>
          </cell>
          <cell r="P92">
            <v>46407</v>
          </cell>
          <cell r="Q92" t="str">
            <v>PLC-Passthrough</v>
          </cell>
          <cell r="R92" t="str">
            <v>Christopher Gene Phillips</v>
          </cell>
          <cell r="S92" t="str">
            <v>Individual</v>
          </cell>
          <cell r="T92" t="str">
            <v>C2C</v>
          </cell>
          <cell r="U92" t="str">
            <v>Genpact</v>
          </cell>
          <cell r="V92">
            <v>225</v>
          </cell>
          <cell r="W92">
            <v>0</v>
          </cell>
          <cell r="X92" t="str">
            <v>USD</v>
          </cell>
          <cell r="Y92">
            <v>230</v>
          </cell>
          <cell r="Z92">
            <v>0</v>
          </cell>
          <cell r="AA92">
            <v>0</v>
          </cell>
          <cell r="AB92">
            <v>0</v>
          </cell>
          <cell r="AC92">
            <v>46037</v>
          </cell>
          <cell r="AD92">
            <v>8</v>
          </cell>
          <cell r="AE92">
            <v>46387</v>
          </cell>
          <cell r="AF92">
            <v>225</v>
          </cell>
          <cell r="AG92">
            <v>0</v>
          </cell>
          <cell r="AH92">
            <v>225</v>
          </cell>
          <cell r="AI92">
            <v>230</v>
          </cell>
          <cell r="AJ92">
            <v>0</v>
          </cell>
          <cell r="AK92">
            <v>0</v>
          </cell>
          <cell r="AL92">
            <v>5</v>
          </cell>
          <cell r="AM92">
            <v>0</v>
          </cell>
          <cell r="AN92">
            <v>5</v>
          </cell>
          <cell r="AO92">
            <v>0</v>
          </cell>
          <cell r="AP92">
            <v>5</v>
          </cell>
          <cell r="AQ92" t="str">
            <v>US_GB_00013</v>
          </cell>
          <cell r="AR92">
            <v>0</v>
          </cell>
          <cell r="AS92">
            <v>34.25</v>
          </cell>
          <cell r="AU92">
            <v>34.25</v>
          </cell>
          <cell r="AV92">
            <v>0</v>
          </cell>
          <cell r="AW92">
            <v>171.25</v>
          </cell>
          <cell r="AX92">
            <v>171.25</v>
          </cell>
          <cell r="AY92">
            <v>0</v>
          </cell>
          <cell r="AZ92">
            <v>171.25</v>
          </cell>
          <cell r="BA92">
            <v>171.25</v>
          </cell>
          <cell r="BB92">
            <v>171.25</v>
          </cell>
          <cell r="BC92">
            <v>0</v>
          </cell>
          <cell r="BD92">
            <v>0</v>
          </cell>
          <cell r="BE92">
            <v>0</v>
          </cell>
          <cell r="BG92">
            <v>171.25</v>
          </cell>
          <cell r="BI92">
            <v>171.25</v>
          </cell>
          <cell r="BJ92">
            <v>7877.5</v>
          </cell>
          <cell r="BK92">
            <v>7877.5</v>
          </cell>
          <cell r="BL92">
            <v>7706.25</v>
          </cell>
          <cell r="BM92">
            <v>0</v>
          </cell>
          <cell r="BN92">
            <v>0</v>
          </cell>
          <cell r="BO92">
            <v>0</v>
          </cell>
          <cell r="BP92">
            <v>7706.25</v>
          </cell>
          <cell r="BQ92">
            <v>0</v>
          </cell>
          <cell r="BR92">
            <v>171.25</v>
          </cell>
          <cell r="BS92" t="str">
            <v>Y</v>
          </cell>
          <cell r="BT92">
            <v>1</v>
          </cell>
          <cell r="BU92">
            <v>1</v>
          </cell>
          <cell r="BV92" t="str">
            <v>Y</v>
          </cell>
          <cell r="BW92">
            <v>0</v>
          </cell>
          <cell r="BX92">
            <v>0</v>
          </cell>
          <cell r="BY92">
            <v>2026</v>
          </cell>
          <cell r="BZ92" t="str">
            <v>-</v>
          </cell>
          <cell r="CA92" t="str">
            <v>-</v>
          </cell>
        </row>
        <row r="93">
          <cell r="A93" t="str">
            <v>Lucknow</v>
          </cell>
          <cell r="B93" t="str">
            <v>Titans</v>
          </cell>
          <cell r="C93" t="str">
            <v>Mid Level</v>
          </cell>
          <cell r="D93" t="str">
            <v>Noor Beg</v>
          </cell>
          <cell r="E93" t="str">
            <v>-</v>
          </cell>
          <cell r="F93" t="str">
            <v>Non-MSP</v>
          </cell>
          <cell r="H93" t="str">
            <v>Pass Through</v>
          </cell>
          <cell r="L93" t="str">
            <v>New</v>
          </cell>
          <cell r="M93">
            <v>46042</v>
          </cell>
          <cell r="N93">
            <v>160</v>
          </cell>
          <cell r="P93">
            <v>46407</v>
          </cell>
          <cell r="Q93" t="str">
            <v>PLC-Passthrough</v>
          </cell>
          <cell r="R93" t="str">
            <v>Christopher Gene Phillips</v>
          </cell>
          <cell r="S93" t="str">
            <v>Individual</v>
          </cell>
          <cell r="T93" t="str">
            <v>C2C</v>
          </cell>
          <cell r="U93" t="str">
            <v>Genpact</v>
          </cell>
          <cell r="V93">
            <v>225</v>
          </cell>
          <cell r="W93">
            <v>0</v>
          </cell>
          <cell r="X93" t="str">
            <v>USD</v>
          </cell>
          <cell r="Y93">
            <v>230</v>
          </cell>
          <cell r="Z93">
            <v>0</v>
          </cell>
          <cell r="AA93">
            <v>0</v>
          </cell>
          <cell r="AB93">
            <v>0</v>
          </cell>
          <cell r="AC93">
            <v>46068</v>
          </cell>
          <cell r="AD93">
            <v>20</v>
          </cell>
          <cell r="AE93">
            <v>46387</v>
          </cell>
          <cell r="AF93">
            <v>225</v>
          </cell>
          <cell r="AG93">
            <v>0</v>
          </cell>
          <cell r="AH93">
            <v>225</v>
          </cell>
          <cell r="AI93">
            <v>230</v>
          </cell>
          <cell r="AJ93">
            <v>0</v>
          </cell>
          <cell r="AK93">
            <v>0</v>
          </cell>
          <cell r="AL93">
            <v>5</v>
          </cell>
          <cell r="AM93">
            <v>0</v>
          </cell>
          <cell r="AN93">
            <v>5</v>
          </cell>
          <cell r="AO93">
            <v>0</v>
          </cell>
          <cell r="AP93">
            <v>5</v>
          </cell>
          <cell r="AQ93" t="str">
            <v>US_GB_00026</v>
          </cell>
          <cell r="AR93">
            <v>0</v>
          </cell>
          <cell r="AS93">
            <v>145.5</v>
          </cell>
          <cell r="AU93">
            <v>145.5</v>
          </cell>
          <cell r="AV93">
            <v>0</v>
          </cell>
          <cell r="AW93">
            <v>727.5</v>
          </cell>
          <cell r="AX93">
            <v>727.5</v>
          </cell>
          <cell r="AY93">
            <v>0</v>
          </cell>
          <cell r="AZ93">
            <v>727.5</v>
          </cell>
          <cell r="BA93">
            <v>727.5</v>
          </cell>
          <cell r="BB93">
            <v>727.5</v>
          </cell>
          <cell r="BC93">
            <v>0</v>
          </cell>
          <cell r="BD93">
            <v>0</v>
          </cell>
          <cell r="BE93">
            <v>0</v>
          </cell>
          <cell r="BG93">
            <v>727.5</v>
          </cell>
          <cell r="BI93">
            <v>727.5</v>
          </cell>
          <cell r="BJ93">
            <v>33465</v>
          </cell>
          <cell r="BK93">
            <v>33465</v>
          </cell>
          <cell r="BL93">
            <v>32737.5</v>
          </cell>
          <cell r="BM93">
            <v>0</v>
          </cell>
          <cell r="BN93">
            <v>0</v>
          </cell>
          <cell r="BO93">
            <v>0</v>
          </cell>
          <cell r="BP93">
            <v>32737.5</v>
          </cell>
          <cell r="BQ93">
            <v>0</v>
          </cell>
          <cell r="BR93">
            <v>727.5</v>
          </cell>
          <cell r="BS93" t="str">
            <v>Y</v>
          </cell>
          <cell r="BT93">
            <v>1</v>
          </cell>
          <cell r="BU93">
            <v>1</v>
          </cell>
          <cell r="BV93" t="str">
            <v>Y</v>
          </cell>
          <cell r="BW93">
            <v>0</v>
          </cell>
          <cell r="BX93">
            <v>0</v>
          </cell>
          <cell r="BY93">
            <v>2026</v>
          </cell>
          <cell r="BZ93" t="str">
            <v>-</v>
          </cell>
          <cell r="CA93" t="str">
            <v>-</v>
          </cell>
        </row>
        <row r="94">
          <cell r="A94" t="str">
            <v>Lucknow</v>
          </cell>
          <cell r="B94" t="str">
            <v>Titans</v>
          </cell>
          <cell r="C94" t="str">
            <v>Mid Level</v>
          </cell>
          <cell r="D94" t="str">
            <v>Noor Beg</v>
          </cell>
          <cell r="E94" t="str">
            <v>-</v>
          </cell>
          <cell r="F94" t="str">
            <v>Non-MSP</v>
          </cell>
          <cell r="H94" t="str">
            <v>Pass Through</v>
          </cell>
          <cell r="L94" t="str">
            <v>New</v>
          </cell>
          <cell r="M94">
            <v>46042</v>
          </cell>
          <cell r="N94">
            <v>160</v>
          </cell>
          <cell r="P94">
            <v>46407</v>
          </cell>
          <cell r="Q94" t="str">
            <v>PLC-Passthrough</v>
          </cell>
          <cell r="R94" t="str">
            <v>Christopher Gene Phillips</v>
          </cell>
          <cell r="S94" t="str">
            <v>Individual</v>
          </cell>
          <cell r="T94" t="str">
            <v>C2C</v>
          </cell>
          <cell r="U94" t="str">
            <v>Genpact</v>
          </cell>
          <cell r="V94">
            <v>225</v>
          </cell>
          <cell r="W94">
            <v>0</v>
          </cell>
          <cell r="X94" t="str">
            <v>USD</v>
          </cell>
          <cell r="Y94">
            <v>230</v>
          </cell>
          <cell r="Z94">
            <v>0</v>
          </cell>
          <cell r="AA94">
            <v>0</v>
          </cell>
          <cell r="AB94">
            <v>0</v>
          </cell>
          <cell r="AC94">
            <v>46096</v>
          </cell>
          <cell r="AD94">
            <v>22</v>
          </cell>
          <cell r="AE94">
            <v>46387</v>
          </cell>
          <cell r="AF94">
            <v>225</v>
          </cell>
          <cell r="AG94">
            <v>0</v>
          </cell>
          <cell r="AH94">
            <v>225</v>
          </cell>
          <cell r="AI94">
            <v>230</v>
          </cell>
          <cell r="AJ94">
            <v>0</v>
          </cell>
          <cell r="AK94">
            <v>0</v>
          </cell>
          <cell r="AL94">
            <v>5</v>
          </cell>
          <cell r="AM94">
            <v>0</v>
          </cell>
          <cell r="AN94">
            <v>5</v>
          </cell>
          <cell r="AO94">
            <v>0</v>
          </cell>
          <cell r="AP94">
            <v>5</v>
          </cell>
          <cell r="AQ94" t="str">
            <v>US_GB_00041</v>
          </cell>
          <cell r="AR94">
            <v>0</v>
          </cell>
          <cell r="AS94">
            <v>168</v>
          </cell>
          <cell r="AU94">
            <v>168</v>
          </cell>
          <cell r="AV94">
            <v>0</v>
          </cell>
          <cell r="AW94">
            <v>840</v>
          </cell>
          <cell r="AX94">
            <v>840</v>
          </cell>
          <cell r="AY94">
            <v>0</v>
          </cell>
          <cell r="AZ94">
            <v>840</v>
          </cell>
          <cell r="BA94">
            <v>840</v>
          </cell>
          <cell r="BB94">
            <v>840</v>
          </cell>
          <cell r="BC94">
            <v>0</v>
          </cell>
          <cell r="BD94">
            <v>0</v>
          </cell>
          <cell r="BE94">
            <v>0</v>
          </cell>
          <cell r="BG94">
            <v>840</v>
          </cell>
          <cell r="BI94">
            <v>840</v>
          </cell>
          <cell r="BJ94">
            <v>38640</v>
          </cell>
          <cell r="BK94">
            <v>38640</v>
          </cell>
          <cell r="BL94">
            <v>37800</v>
          </cell>
          <cell r="BM94">
            <v>0</v>
          </cell>
          <cell r="BN94">
            <v>0</v>
          </cell>
          <cell r="BO94">
            <v>0</v>
          </cell>
          <cell r="BP94">
            <v>37800</v>
          </cell>
          <cell r="BQ94">
            <v>0</v>
          </cell>
          <cell r="BR94">
            <v>840</v>
          </cell>
          <cell r="BS94" t="str">
            <v>Y</v>
          </cell>
          <cell r="BT94">
            <v>1</v>
          </cell>
          <cell r="BU94">
            <v>1</v>
          </cell>
          <cell r="BV94" t="str">
            <v>Y</v>
          </cell>
          <cell r="BW94">
            <v>0</v>
          </cell>
          <cell r="BX94">
            <v>0</v>
          </cell>
          <cell r="BY94">
            <v>2026</v>
          </cell>
          <cell r="BZ94" t="str">
            <v>-</v>
          </cell>
          <cell r="CA94" t="str">
            <v>-</v>
          </cell>
        </row>
        <row r="95">
          <cell r="A95" t="str">
            <v>Lucknow</v>
          </cell>
          <cell r="B95" t="str">
            <v>Titans</v>
          </cell>
          <cell r="C95" t="str">
            <v>Mid Level</v>
          </cell>
          <cell r="D95" t="str">
            <v>Noor Beg</v>
          </cell>
          <cell r="E95" t="str">
            <v>-</v>
          </cell>
          <cell r="F95" t="str">
            <v>Non-MSP</v>
          </cell>
          <cell r="H95" t="str">
            <v>Pass Through</v>
          </cell>
          <cell r="J95" t="str">
            <v>ACH</v>
          </cell>
          <cell r="L95" t="str">
            <v>New</v>
          </cell>
          <cell r="M95">
            <v>46042</v>
          </cell>
          <cell r="N95">
            <v>160</v>
          </cell>
          <cell r="P95">
            <v>46407</v>
          </cell>
          <cell r="Q95" t="str">
            <v>PLC-Passthrough</v>
          </cell>
          <cell r="R95" t="str">
            <v>Christopher Gene Phillips</v>
          </cell>
          <cell r="S95" t="str">
            <v>Individual</v>
          </cell>
          <cell r="T95" t="str">
            <v>C2C</v>
          </cell>
          <cell r="U95" t="str">
            <v>Genpact</v>
          </cell>
          <cell r="V95">
            <v>225</v>
          </cell>
          <cell r="W95">
            <v>0</v>
          </cell>
          <cell r="X95" t="str">
            <v>USD</v>
          </cell>
          <cell r="Y95">
            <v>230</v>
          </cell>
          <cell r="Z95">
            <v>0</v>
          </cell>
          <cell r="AA95">
            <v>0</v>
          </cell>
          <cell r="AB95">
            <v>0</v>
          </cell>
          <cell r="AC95">
            <v>46127</v>
          </cell>
          <cell r="AD95">
            <v>22</v>
          </cell>
          <cell r="AE95">
            <v>46387</v>
          </cell>
          <cell r="AF95">
            <v>225</v>
          </cell>
          <cell r="AG95">
            <v>0</v>
          </cell>
          <cell r="AH95">
            <v>225</v>
          </cell>
          <cell r="AI95">
            <v>230</v>
          </cell>
          <cell r="AJ95">
            <v>0</v>
          </cell>
          <cell r="AK95">
            <v>0</v>
          </cell>
          <cell r="AL95">
            <v>5</v>
          </cell>
          <cell r="AM95">
            <v>0</v>
          </cell>
          <cell r="AN95">
            <v>5</v>
          </cell>
          <cell r="AO95">
            <v>0</v>
          </cell>
          <cell r="AP95">
            <v>5</v>
          </cell>
          <cell r="AQ95" t="str">
            <v>US_GB_00047</v>
          </cell>
          <cell r="AR95">
            <v>0</v>
          </cell>
          <cell r="AS95">
            <v>129.75</v>
          </cell>
          <cell r="AU95">
            <v>129.75</v>
          </cell>
          <cell r="AV95">
            <v>0</v>
          </cell>
          <cell r="AW95">
            <v>648.75</v>
          </cell>
          <cell r="AX95">
            <v>642.26250000000005</v>
          </cell>
          <cell r="AY95">
            <v>0</v>
          </cell>
          <cell r="AZ95">
            <v>648.75</v>
          </cell>
          <cell r="BA95">
            <v>642.26250000000005</v>
          </cell>
          <cell r="BB95">
            <v>648.75</v>
          </cell>
          <cell r="BC95">
            <v>0</v>
          </cell>
          <cell r="BD95">
            <v>0</v>
          </cell>
          <cell r="BE95">
            <v>0</v>
          </cell>
          <cell r="BG95">
            <v>642.26250000000005</v>
          </cell>
          <cell r="BI95">
            <v>642.26250000000005</v>
          </cell>
          <cell r="BJ95">
            <v>29842.5</v>
          </cell>
          <cell r="BK95">
            <v>29842.5</v>
          </cell>
          <cell r="BL95">
            <v>29193.75</v>
          </cell>
          <cell r="BM95">
            <v>0</v>
          </cell>
          <cell r="BN95">
            <v>0</v>
          </cell>
          <cell r="BO95">
            <v>0</v>
          </cell>
          <cell r="BP95">
            <v>29193.75</v>
          </cell>
          <cell r="BQ95">
            <v>0</v>
          </cell>
          <cell r="BR95">
            <v>648.75</v>
          </cell>
          <cell r="BT95">
            <v>2</v>
          </cell>
          <cell r="BU95">
            <v>1</v>
          </cell>
          <cell r="BV95" t="str">
            <v>Y</v>
          </cell>
          <cell r="BW95">
            <v>0</v>
          </cell>
          <cell r="BX95">
            <v>0</v>
          </cell>
          <cell r="BY95">
            <v>2026</v>
          </cell>
          <cell r="BZ95" t="str">
            <v>-</v>
          </cell>
          <cell r="CA95" t="str">
            <v>-</v>
          </cell>
        </row>
        <row r="96">
          <cell r="A96" t="str">
            <v>Lucknow</v>
          </cell>
          <cell r="B96" t="str">
            <v>Titans</v>
          </cell>
          <cell r="C96" t="str">
            <v>Mid Level</v>
          </cell>
          <cell r="D96" t="str">
            <v>Noor Beg</v>
          </cell>
          <cell r="E96" t="str">
            <v>-</v>
          </cell>
          <cell r="F96" t="str">
            <v>Non-MSP</v>
          </cell>
          <cell r="H96" t="str">
            <v>Pass Through</v>
          </cell>
          <cell r="J96" t="str">
            <v>ACH</v>
          </cell>
          <cell r="L96" t="str">
            <v>New</v>
          </cell>
          <cell r="M96">
            <v>46042</v>
          </cell>
          <cell r="N96">
            <v>160</v>
          </cell>
          <cell r="P96">
            <v>46407</v>
          </cell>
          <cell r="Q96" t="str">
            <v>PLC-Passthrough</v>
          </cell>
          <cell r="R96" t="str">
            <v>Christopher Gene Phillips</v>
          </cell>
          <cell r="S96" t="str">
            <v>Individual</v>
          </cell>
          <cell r="T96" t="str">
            <v>C2C</v>
          </cell>
          <cell r="U96" t="str">
            <v>Genpact</v>
          </cell>
          <cell r="V96">
            <v>225</v>
          </cell>
          <cell r="W96">
            <v>0</v>
          </cell>
          <cell r="X96" t="str">
            <v>USD</v>
          </cell>
          <cell r="Y96">
            <v>230</v>
          </cell>
          <cell r="Z96">
            <v>0</v>
          </cell>
          <cell r="AA96">
            <v>0</v>
          </cell>
          <cell r="AB96">
            <v>0</v>
          </cell>
          <cell r="AC96">
            <v>46157</v>
          </cell>
          <cell r="AD96">
            <v>22</v>
          </cell>
          <cell r="AE96">
            <v>46387</v>
          </cell>
          <cell r="AF96">
            <v>225</v>
          </cell>
          <cell r="AG96">
            <v>0</v>
          </cell>
          <cell r="AH96">
            <v>225</v>
          </cell>
          <cell r="AI96">
            <v>230</v>
          </cell>
          <cell r="AJ96">
            <v>0</v>
          </cell>
          <cell r="AK96">
            <v>0</v>
          </cell>
          <cell r="AL96">
            <v>5</v>
          </cell>
          <cell r="AM96">
            <v>0</v>
          </cell>
          <cell r="AN96">
            <v>5</v>
          </cell>
          <cell r="AO96">
            <v>0</v>
          </cell>
          <cell r="AP96">
            <v>5</v>
          </cell>
          <cell r="AQ96" t="str">
            <v>US_GB_00053</v>
          </cell>
          <cell r="AR96">
            <v>0</v>
          </cell>
          <cell r="AS96">
            <v>158</v>
          </cell>
          <cell r="AU96">
            <v>158</v>
          </cell>
          <cell r="AV96">
            <v>0</v>
          </cell>
          <cell r="AW96">
            <v>790</v>
          </cell>
          <cell r="AX96">
            <v>782.1</v>
          </cell>
          <cell r="AY96">
            <v>0</v>
          </cell>
          <cell r="AZ96">
            <v>790</v>
          </cell>
          <cell r="BA96">
            <v>782.1</v>
          </cell>
          <cell r="BB96">
            <v>790</v>
          </cell>
          <cell r="BC96">
            <v>0</v>
          </cell>
          <cell r="BD96">
            <v>0</v>
          </cell>
          <cell r="BE96">
            <v>0</v>
          </cell>
          <cell r="BG96">
            <v>782.1</v>
          </cell>
          <cell r="BI96">
            <v>782.1</v>
          </cell>
          <cell r="BJ96">
            <v>36340</v>
          </cell>
          <cell r="BK96">
            <v>36340</v>
          </cell>
          <cell r="BL96">
            <v>35550</v>
          </cell>
          <cell r="BM96">
            <v>0</v>
          </cell>
          <cell r="BN96">
            <v>0</v>
          </cell>
          <cell r="BO96">
            <v>0</v>
          </cell>
          <cell r="BP96">
            <v>35550</v>
          </cell>
          <cell r="BQ96">
            <v>0</v>
          </cell>
          <cell r="BR96">
            <v>790</v>
          </cell>
          <cell r="BT96">
            <v>2</v>
          </cell>
          <cell r="BU96">
            <v>1</v>
          </cell>
          <cell r="BV96" t="str">
            <v>Y</v>
          </cell>
          <cell r="BW96">
            <v>0</v>
          </cell>
          <cell r="BX96">
            <v>0</v>
          </cell>
          <cell r="BY96">
            <v>2026</v>
          </cell>
          <cell r="BZ96" t="str">
            <v>-</v>
          </cell>
          <cell r="CA96" t="str">
            <v>-</v>
          </cell>
        </row>
        <row r="97">
          <cell r="A97" t="str">
            <v>Lucknow</v>
          </cell>
          <cell r="B97" t="str">
            <v>Mavericks</v>
          </cell>
          <cell r="C97" t="str">
            <v>Mid Level</v>
          </cell>
          <cell r="D97" t="str">
            <v>Kashif Nabi</v>
          </cell>
          <cell r="E97" t="str">
            <v>-</v>
          </cell>
          <cell r="F97" t="str">
            <v>Non-MSP</v>
          </cell>
          <cell r="H97" t="str">
            <v>Kashif Nabi</v>
          </cell>
          <cell r="L97" t="str">
            <v>New</v>
          </cell>
          <cell r="M97">
            <v>46097</v>
          </cell>
          <cell r="N97">
            <v>105</v>
          </cell>
          <cell r="P97">
            <v>46462</v>
          </cell>
          <cell r="R97" t="str">
            <v>Christopher Himmel</v>
          </cell>
          <cell r="S97" t="str">
            <v>Individual</v>
          </cell>
          <cell r="T97" t="str">
            <v>C2C</v>
          </cell>
          <cell r="U97" t="str">
            <v>GRI</v>
          </cell>
          <cell r="V97">
            <v>65</v>
          </cell>
          <cell r="W97">
            <v>0</v>
          </cell>
          <cell r="X97" t="str">
            <v>USD</v>
          </cell>
          <cell r="Y97">
            <v>70</v>
          </cell>
          <cell r="Z97">
            <v>0</v>
          </cell>
          <cell r="AA97">
            <v>0</v>
          </cell>
          <cell r="AB97">
            <v>0</v>
          </cell>
          <cell r="AC97">
            <v>46096</v>
          </cell>
          <cell r="AD97">
            <v>12</v>
          </cell>
          <cell r="AE97">
            <v>46387</v>
          </cell>
          <cell r="AF97">
            <v>65</v>
          </cell>
          <cell r="AG97">
            <v>0</v>
          </cell>
          <cell r="AH97">
            <v>65</v>
          </cell>
          <cell r="AI97">
            <v>68.334000000000003</v>
          </cell>
          <cell r="AJ97">
            <v>0</v>
          </cell>
          <cell r="AK97">
            <v>0</v>
          </cell>
          <cell r="AL97">
            <v>3.3340000000000032</v>
          </cell>
          <cell r="AM97">
            <v>0</v>
          </cell>
          <cell r="AN97">
            <v>3.3340000000000032</v>
          </cell>
          <cell r="AO97">
            <v>0</v>
          </cell>
          <cell r="AP97">
            <v>3.3340000000000032</v>
          </cell>
          <cell r="AQ97" t="str">
            <v>GRI123482</v>
          </cell>
          <cell r="AR97">
            <v>0</v>
          </cell>
          <cell r="AS97">
            <v>80</v>
          </cell>
          <cell r="AU97">
            <v>80</v>
          </cell>
          <cell r="AV97">
            <v>0</v>
          </cell>
          <cell r="AW97">
            <v>266.72000000000025</v>
          </cell>
          <cell r="AX97">
            <v>266.72000000000025</v>
          </cell>
          <cell r="AY97">
            <v>0</v>
          </cell>
          <cell r="AZ97">
            <v>266.72000000000025</v>
          </cell>
          <cell r="BA97">
            <v>266.72000000000025</v>
          </cell>
          <cell r="BB97">
            <v>266.72000000000025</v>
          </cell>
          <cell r="BC97">
            <v>0</v>
          </cell>
          <cell r="BD97">
            <v>0</v>
          </cell>
          <cell r="BE97">
            <v>0</v>
          </cell>
          <cell r="BG97">
            <v>266.72000000000025</v>
          </cell>
          <cell r="BI97">
            <v>266.72000000000025</v>
          </cell>
          <cell r="BJ97">
            <v>5600</v>
          </cell>
          <cell r="BK97">
            <v>5466.72</v>
          </cell>
          <cell r="BL97">
            <v>5200</v>
          </cell>
          <cell r="BM97">
            <v>0</v>
          </cell>
          <cell r="BN97">
            <v>0</v>
          </cell>
          <cell r="BO97">
            <v>0</v>
          </cell>
          <cell r="BP97">
            <v>5200</v>
          </cell>
          <cell r="BQ97">
            <v>0</v>
          </cell>
          <cell r="BR97">
            <v>266.72000000000025</v>
          </cell>
          <cell r="BS97" t="str">
            <v>Y</v>
          </cell>
          <cell r="BT97">
            <v>1</v>
          </cell>
          <cell r="BU97">
            <v>1</v>
          </cell>
          <cell r="BV97" t="str">
            <v>N</v>
          </cell>
          <cell r="BW97">
            <v>0</v>
          </cell>
          <cell r="BX97">
            <v>0</v>
          </cell>
          <cell r="BY97">
            <v>2026</v>
          </cell>
          <cell r="BZ97" t="str">
            <v>-</v>
          </cell>
          <cell r="CA97" t="str">
            <v>-</v>
          </cell>
        </row>
        <row r="98">
          <cell r="A98" t="str">
            <v>Lucknow</v>
          </cell>
          <cell r="B98" t="str">
            <v>Mavericks</v>
          </cell>
          <cell r="C98" t="str">
            <v>Mid Level</v>
          </cell>
          <cell r="D98" t="str">
            <v>Kashif Nabi</v>
          </cell>
          <cell r="E98" t="str">
            <v>-</v>
          </cell>
          <cell r="F98" t="str">
            <v>Non-MSP</v>
          </cell>
          <cell r="H98" t="str">
            <v>Kashif Nabi</v>
          </cell>
          <cell r="J98" t="str">
            <v>ACH</v>
          </cell>
          <cell r="L98" t="str">
            <v>New</v>
          </cell>
          <cell r="M98">
            <v>46097</v>
          </cell>
          <cell r="N98">
            <v>105</v>
          </cell>
          <cell r="P98">
            <v>46462</v>
          </cell>
          <cell r="R98" t="str">
            <v>Christopher Himmel</v>
          </cell>
          <cell r="S98" t="str">
            <v>Individual</v>
          </cell>
          <cell r="T98" t="str">
            <v>C2C</v>
          </cell>
          <cell r="U98" t="str">
            <v>GRI</v>
          </cell>
          <cell r="V98">
            <v>65</v>
          </cell>
          <cell r="W98">
            <v>0</v>
          </cell>
          <cell r="X98" t="str">
            <v>USD</v>
          </cell>
          <cell r="Y98">
            <v>70</v>
          </cell>
          <cell r="Z98">
            <v>0</v>
          </cell>
          <cell r="AA98">
            <v>0</v>
          </cell>
          <cell r="AB98">
            <v>0</v>
          </cell>
          <cell r="AC98">
            <v>46127</v>
          </cell>
          <cell r="AD98">
            <v>22</v>
          </cell>
          <cell r="AE98">
            <v>46387</v>
          </cell>
          <cell r="AF98">
            <v>65</v>
          </cell>
          <cell r="AG98">
            <v>0</v>
          </cell>
          <cell r="AH98">
            <v>65</v>
          </cell>
          <cell r="AI98">
            <v>68.334000000000003</v>
          </cell>
          <cell r="AJ98">
            <v>0</v>
          </cell>
          <cell r="AK98">
            <v>0</v>
          </cell>
          <cell r="AL98">
            <v>3.3340000000000032</v>
          </cell>
          <cell r="AM98">
            <v>0</v>
          </cell>
          <cell r="AN98">
            <v>3.3340000000000032</v>
          </cell>
          <cell r="AO98">
            <v>0</v>
          </cell>
          <cell r="AP98">
            <v>3.3340000000000032</v>
          </cell>
          <cell r="AQ98" t="str">
            <v>GRI123483</v>
          </cell>
          <cell r="AR98">
            <v>0</v>
          </cell>
          <cell r="AS98">
            <v>160</v>
          </cell>
          <cell r="AU98">
            <v>160</v>
          </cell>
          <cell r="AV98">
            <v>0</v>
          </cell>
          <cell r="AW98">
            <v>533.44000000000051</v>
          </cell>
          <cell r="AX98">
            <v>528.10560000000055</v>
          </cell>
          <cell r="AY98">
            <v>0</v>
          </cell>
          <cell r="AZ98">
            <v>533.44000000000051</v>
          </cell>
          <cell r="BA98">
            <v>528.10560000000055</v>
          </cell>
          <cell r="BB98">
            <v>533.44000000000051</v>
          </cell>
          <cell r="BC98">
            <v>0</v>
          </cell>
          <cell r="BD98">
            <v>0</v>
          </cell>
          <cell r="BE98">
            <v>0</v>
          </cell>
          <cell r="BG98">
            <v>528.10560000000055</v>
          </cell>
          <cell r="BI98">
            <v>528.10560000000055</v>
          </cell>
          <cell r="BJ98">
            <v>11200</v>
          </cell>
          <cell r="BK98">
            <v>10933.44</v>
          </cell>
          <cell r="BL98">
            <v>10400</v>
          </cell>
          <cell r="BM98">
            <v>0</v>
          </cell>
          <cell r="BN98">
            <v>0</v>
          </cell>
          <cell r="BO98">
            <v>0</v>
          </cell>
          <cell r="BP98">
            <v>10400</v>
          </cell>
          <cell r="BQ98">
            <v>0</v>
          </cell>
          <cell r="BR98">
            <v>533.44000000000051</v>
          </cell>
          <cell r="BS98" t="str">
            <v>Y</v>
          </cell>
          <cell r="BT98">
            <v>2</v>
          </cell>
          <cell r="BU98">
            <v>1</v>
          </cell>
          <cell r="BV98" t="str">
            <v>N</v>
          </cell>
          <cell r="BW98">
            <v>0</v>
          </cell>
          <cell r="BX98">
            <v>0</v>
          </cell>
          <cell r="BY98">
            <v>2026</v>
          </cell>
          <cell r="BZ98" t="str">
            <v>-</v>
          </cell>
          <cell r="CA98" t="str">
            <v>-</v>
          </cell>
        </row>
        <row r="99">
          <cell r="A99" t="str">
            <v>Lucknow</v>
          </cell>
          <cell r="B99" t="str">
            <v>Mavericks</v>
          </cell>
          <cell r="C99" t="str">
            <v>Mid Level</v>
          </cell>
          <cell r="D99" t="str">
            <v>Kashif Nabi</v>
          </cell>
          <cell r="E99" t="str">
            <v>-</v>
          </cell>
          <cell r="F99" t="str">
            <v>Non-MSP</v>
          </cell>
          <cell r="H99" t="str">
            <v>Kashif Nabi</v>
          </cell>
          <cell r="J99" t="str">
            <v>ACH</v>
          </cell>
          <cell r="L99" t="str">
            <v>New</v>
          </cell>
          <cell r="M99">
            <v>46097</v>
          </cell>
          <cell r="N99">
            <v>105</v>
          </cell>
          <cell r="P99">
            <v>46462</v>
          </cell>
          <cell r="R99" t="str">
            <v>Christopher Himmel</v>
          </cell>
          <cell r="S99" t="str">
            <v>Individual</v>
          </cell>
          <cell r="T99" t="str">
            <v>C2C</v>
          </cell>
          <cell r="U99" t="str">
            <v>GRI</v>
          </cell>
          <cell r="V99">
            <v>65</v>
          </cell>
          <cell r="W99">
            <v>0</v>
          </cell>
          <cell r="X99" t="str">
            <v>USD</v>
          </cell>
          <cell r="Y99">
            <v>70</v>
          </cell>
          <cell r="Z99">
            <v>0</v>
          </cell>
          <cell r="AA99">
            <v>0</v>
          </cell>
          <cell r="AB99">
            <v>0</v>
          </cell>
          <cell r="AC99">
            <v>46157</v>
          </cell>
          <cell r="AD99">
            <v>22</v>
          </cell>
          <cell r="AE99">
            <v>46387</v>
          </cell>
          <cell r="AF99">
            <v>65</v>
          </cell>
          <cell r="AG99">
            <v>0</v>
          </cell>
          <cell r="AH99">
            <v>65</v>
          </cell>
          <cell r="AI99">
            <v>68.334000000000003</v>
          </cell>
          <cell r="AJ99">
            <v>0</v>
          </cell>
          <cell r="AK99">
            <v>0</v>
          </cell>
          <cell r="AL99">
            <v>3.3340000000000032</v>
          </cell>
          <cell r="AM99">
            <v>0</v>
          </cell>
          <cell r="AN99">
            <v>3.3340000000000032</v>
          </cell>
          <cell r="AO99">
            <v>0</v>
          </cell>
          <cell r="AP99">
            <v>3.3340000000000032</v>
          </cell>
          <cell r="AQ99" t="str">
            <v>GRI123484</v>
          </cell>
          <cell r="AR99">
            <v>0</v>
          </cell>
          <cell r="AS99">
            <v>40</v>
          </cell>
          <cell r="AU99">
            <v>40</v>
          </cell>
          <cell r="AV99">
            <v>0</v>
          </cell>
          <cell r="AW99">
            <v>133.36000000000013</v>
          </cell>
          <cell r="AX99">
            <v>132.02640000000014</v>
          </cell>
          <cell r="AY99">
            <v>0</v>
          </cell>
          <cell r="AZ99">
            <v>133.36000000000013</v>
          </cell>
          <cell r="BA99">
            <v>132.02640000000014</v>
          </cell>
          <cell r="BB99">
            <v>133.36000000000013</v>
          </cell>
          <cell r="BC99">
            <v>0</v>
          </cell>
          <cell r="BD99">
            <v>0</v>
          </cell>
          <cell r="BE99">
            <v>0</v>
          </cell>
          <cell r="BG99">
            <v>132.02640000000014</v>
          </cell>
          <cell r="BI99">
            <v>132.02640000000014</v>
          </cell>
          <cell r="BJ99">
            <v>2800</v>
          </cell>
          <cell r="BK99">
            <v>2733.36</v>
          </cell>
          <cell r="BL99">
            <v>2600</v>
          </cell>
          <cell r="BM99">
            <v>0</v>
          </cell>
          <cell r="BN99">
            <v>0</v>
          </cell>
          <cell r="BO99">
            <v>0</v>
          </cell>
          <cell r="BP99">
            <v>2600</v>
          </cell>
          <cell r="BQ99">
            <v>0</v>
          </cell>
          <cell r="BR99">
            <v>133.36000000000013</v>
          </cell>
          <cell r="BS99" t="str">
            <v>Y</v>
          </cell>
          <cell r="BT99">
            <v>2</v>
          </cell>
          <cell r="BU99">
            <v>1</v>
          </cell>
          <cell r="BV99" t="str">
            <v>N</v>
          </cell>
          <cell r="BW99">
            <v>0</v>
          </cell>
          <cell r="BX99">
            <v>0</v>
          </cell>
          <cell r="BY99">
            <v>2026</v>
          </cell>
          <cell r="BZ99" t="str">
            <v>-</v>
          </cell>
          <cell r="CA99" t="str">
            <v>-</v>
          </cell>
        </row>
        <row r="100">
          <cell r="A100" t="str">
            <v>Lucknow</v>
          </cell>
          <cell r="B100" t="str">
            <v>Titans</v>
          </cell>
          <cell r="C100" t="str">
            <v>Mid Level</v>
          </cell>
          <cell r="D100" t="str">
            <v>Noor Beg</v>
          </cell>
          <cell r="E100" t="str">
            <v>-</v>
          </cell>
          <cell r="F100" t="str">
            <v>Non-MSP</v>
          </cell>
          <cell r="H100" t="str">
            <v>Pass Through</v>
          </cell>
          <cell r="L100" t="str">
            <v>New</v>
          </cell>
          <cell r="M100">
            <v>46042</v>
          </cell>
          <cell r="N100">
            <v>160</v>
          </cell>
          <cell r="O100">
            <v>46094</v>
          </cell>
          <cell r="P100">
            <v>46407</v>
          </cell>
          <cell r="Q100" t="str">
            <v>PLC-Passthrough</v>
          </cell>
          <cell r="R100" t="str">
            <v>Christopher William Puder</v>
          </cell>
          <cell r="S100" t="str">
            <v>Individual</v>
          </cell>
          <cell r="T100" t="str">
            <v>C2C</v>
          </cell>
          <cell r="U100" t="str">
            <v>Genpact</v>
          </cell>
          <cell r="V100">
            <v>135</v>
          </cell>
          <cell r="W100">
            <v>0</v>
          </cell>
          <cell r="X100" t="str">
            <v>USD</v>
          </cell>
          <cell r="Y100">
            <v>140</v>
          </cell>
          <cell r="Z100">
            <v>0</v>
          </cell>
          <cell r="AA100">
            <v>0</v>
          </cell>
          <cell r="AB100">
            <v>0</v>
          </cell>
          <cell r="AC100">
            <v>46037</v>
          </cell>
          <cell r="AD100">
            <v>8</v>
          </cell>
          <cell r="AE100">
            <v>46387</v>
          </cell>
          <cell r="AF100">
            <v>135</v>
          </cell>
          <cell r="AG100">
            <v>0</v>
          </cell>
          <cell r="AH100">
            <v>135</v>
          </cell>
          <cell r="AI100">
            <v>140</v>
          </cell>
          <cell r="AJ100">
            <v>0</v>
          </cell>
          <cell r="AK100">
            <v>0</v>
          </cell>
          <cell r="AL100">
            <v>5</v>
          </cell>
          <cell r="AM100">
            <v>0</v>
          </cell>
          <cell r="AN100">
            <v>5</v>
          </cell>
          <cell r="AO100">
            <v>0</v>
          </cell>
          <cell r="AP100">
            <v>5</v>
          </cell>
          <cell r="AQ100" t="str">
            <v>US_GB_00001</v>
          </cell>
          <cell r="AR100">
            <v>0</v>
          </cell>
          <cell r="AS100">
            <v>72</v>
          </cell>
          <cell r="AU100">
            <v>72</v>
          </cell>
          <cell r="AV100">
            <v>0</v>
          </cell>
          <cell r="AW100">
            <v>360</v>
          </cell>
          <cell r="AX100">
            <v>360</v>
          </cell>
          <cell r="AY100">
            <v>0</v>
          </cell>
          <cell r="AZ100">
            <v>360</v>
          </cell>
          <cell r="BA100">
            <v>360</v>
          </cell>
          <cell r="BB100">
            <v>360</v>
          </cell>
          <cell r="BC100">
            <v>0</v>
          </cell>
          <cell r="BD100">
            <v>0</v>
          </cell>
          <cell r="BE100">
            <v>0</v>
          </cell>
          <cell r="BG100">
            <v>360</v>
          </cell>
          <cell r="BI100">
            <v>360</v>
          </cell>
          <cell r="BJ100">
            <v>10080</v>
          </cell>
          <cell r="BK100">
            <v>10080</v>
          </cell>
          <cell r="BL100">
            <v>9720</v>
          </cell>
          <cell r="BM100">
            <v>0</v>
          </cell>
          <cell r="BN100">
            <v>0</v>
          </cell>
          <cell r="BO100">
            <v>0</v>
          </cell>
          <cell r="BP100">
            <v>9720</v>
          </cell>
          <cell r="BQ100">
            <v>0</v>
          </cell>
          <cell r="BR100">
            <v>360</v>
          </cell>
          <cell r="BS100" t="str">
            <v>Y</v>
          </cell>
          <cell r="BT100">
            <v>1</v>
          </cell>
          <cell r="BU100">
            <v>1</v>
          </cell>
          <cell r="BV100" t="str">
            <v>Y</v>
          </cell>
          <cell r="BW100">
            <v>0</v>
          </cell>
          <cell r="BX100">
            <v>0</v>
          </cell>
          <cell r="BY100">
            <v>2026</v>
          </cell>
          <cell r="BZ100" t="str">
            <v>-</v>
          </cell>
          <cell r="CA100" t="str">
            <v>-</v>
          </cell>
        </row>
        <row r="101">
          <cell r="A101" t="str">
            <v>Lucknow</v>
          </cell>
          <cell r="B101" t="str">
            <v>Titans</v>
          </cell>
          <cell r="C101" t="str">
            <v>Mid Level</v>
          </cell>
          <cell r="D101" t="str">
            <v>Noor Beg</v>
          </cell>
          <cell r="E101" t="str">
            <v>-</v>
          </cell>
          <cell r="F101" t="str">
            <v>Non-MSP</v>
          </cell>
          <cell r="H101" t="str">
            <v>Pass Through</v>
          </cell>
          <cell r="L101" t="str">
            <v>New</v>
          </cell>
          <cell r="M101">
            <v>46042</v>
          </cell>
          <cell r="N101">
            <v>160</v>
          </cell>
          <cell r="O101">
            <v>46094</v>
          </cell>
          <cell r="P101">
            <v>46407</v>
          </cell>
          <cell r="Q101" t="str">
            <v>PLC-Passthrough</v>
          </cell>
          <cell r="R101" t="str">
            <v>Christopher William Puder</v>
          </cell>
          <cell r="S101" t="str">
            <v>Individual</v>
          </cell>
          <cell r="T101" t="str">
            <v>C2C</v>
          </cell>
          <cell r="U101" t="str">
            <v>Genpact</v>
          </cell>
          <cell r="V101">
            <v>135</v>
          </cell>
          <cell r="W101">
            <v>0</v>
          </cell>
          <cell r="X101" t="str">
            <v>USD</v>
          </cell>
          <cell r="Y101">
            <v>140</v>
          </cell>
          <cell r="Z101">
            <v>0</v>
          </cell>
          <cell r="AA101">
            <v>0</v>
          </cell>
          <cell r="AB101">
            <v>0</v>
          </cell>
          <cell r="AC101">
            <v>46068</v>
          </cell>
          <cell r="AD101">
            <v>20</v>
          </cell>
          <cell r="AE101">
            <v>46387</v>
          </cell>
          <cell r="AF101">
            <v>135</v>
          </cell>
          <cell r="AG101">
            <v>0</v>
          </cell>
          <cell r="AH101">
            <v>135</v>
          </cell>
          <cell r="AI101">
            <v>140</v>
          </cell>
          <cell r="AJ101">
            <v>0</v>
          </cell>
          <cell r="AK101">
            <v>0</v>
          </cell>
          <cell r="AL101">
            <v>5</v>
          </cell>
          <cell r="AM101">
            <v>0</v>
          </cell>
          <cell r="AN101">
            <v>5</v>
          </cell>
          <cell r="AO101">
            <v>0</v>
          </cell>
          <cell r="AP101">
            <v>5</v>
          </cell>
          <cell r="AQ101" t="str">
            <v>US_GB_00002</v>
          </cell>
          <cell r="AR101">
            <v>0</v>
          </cell>
          <cell r="AS101">
            <v>152</v>
          </cell>
          <cell r="AU101">
            <v>152</v>
          </cell>
          <cell r="AV101">
            <v>0</v>
          </cell>
          <cell r="AW101">
            <v>760</v>
          </cell>
          <cell r="AX101">
            <v>760</v>
          </cell>
          <cell r="AY101">
            <v>0</v>
          </cell>
          <cell r="AZ101">
            <v>760</v>
          </cell>
          <cell r="BA101">
            <v>760</v>
          </cell>
          <cell r="BB101">
            <v>760</v>
          </cell>
          <cell r="BC101">
            <v>0</v>
          </cell>
          <cell r="BD101">
            <v>0</v>
          </cell>
          <cell r="BE101">
            <v>0</v>
          </cell>
          <cell r="BG101">
            <v>760</v>
          </cell>
          <cell r="BI101">
            <v>760</v>
          </cell>
          <cell r="BJ101">
            <v>21280</v>
          </cell>
          <cell r="BK101">
            <v>21280</v>
          </cell>
          <cell r="BL101">
            <v>20520</v>
          </cell>
          <cell r="BM101">
            <v>0</v>
          </cell>
          <cell r="BN101">
            <v>0</v>
          </cell>
          <cell r="BO101">
            <v>0</v>
          </cell>
          <cell r="BP101">
            <v>20520</v>
          </cell>
          <cell r="BQ101">
            <v>0</v>
          </cell>
          <cell r="BR101">
            <v>760</v>
          </cell>
          <cell r="BS101" t="str">
            <v>Y</v>
          </cell>
          <cell r="BT101">
            <v>1</v>
          </cell>
          <cell r="BU101">
            <v>1</v>
          </cell>
          <cell r="BV101" t="str">
            <v>Y</v>
          </cell>
          <cell r="BW101">
            <v>0</v>
          </cell>
          <cell r="BX101">
            <v>0</v>
          </cell>
          <cell r="BY101">
            <v>2026</v>
          </cell>
          <cell r="BZ101" t="str">
            <v>-</v>
          </cell>
          <cell r="CA101" t="str">
            <v>-</v>
          </cell>
        </row>
        <row r="102">
          <cell r="A102" t="str">
            <v>Lucknow</v>
          </cell>
          <cell r="B102" t="str">
            <v>Titans</v>
          </cell>
          <cell r="C102" t="str">
            <v>Mid Level</v>
          </cell>
          <cell r="D102" t="str">
            <v>Noor Beg</v>
          </cell>
          <cell r="E102" t="str">
            <v>-</v>
          </cell>
          <cell r="F102" t="str">
            <v>Non-MSP</v>
          </cell>
          <cell r="H102" t="str">
            <v>Pass Through</v>
          </cell>
          <cell r="L102" t="str">
            <v>New</v>
          </cell>
          <cell r="M102">
            <v>46042</v>
          </cell>
          <cell r="N102">
            <v>160</v>
          </cell>
          <cell r="O102">
            <v>46094</v>
          </cell>
          <cell r="P102">
            <v>46407</v>
          </cell>
          <cell r="Q102" t="str">
            <v>PLC-Passthrough</v>
          </cell>
          <cell r="R102" t="str">
            <v>Christopher William Puder</v>
          </cell>
          <cell r="S102" t="str">
            <v>Individual</v>
          </cell>
          <cell r="T102" t="str">
            <v>C2C</v>
          </cell>
          <cell r="U102" t="str">
            <v>Genpact</v>
          </cell>
          <cell r="V102">
            <v>135</v>
          </cell>
          <cell r="W102">
            <v>0</v>
          </cell>
          <cell r="X102" t="str">
            <v>USD</v>
          </cell>
          <cell r="Y102">
            <v>140</v>
          </cell>
          <cell r="Z102">
            <v>0</v>
          </cell>
          <cell r="AA102">
            <v>0</v>
          </cell>
          <cell r="AB102">
            <v>0</v>
          </cell>
          <cell r="AC102">
            <v>46096</v>
          </cell>
          <cell r="AD102">
            <v>22</v>
          </cell>
          <cell r="AE102">
            <v>46387</v>
          </cell>
          <cell r="AF102">
            <v>135</v>
          </cell>
          <cell r="AG102">
            <v>0</v>
          </cell>
          <cell r="AH102">
            <v>135</v>
          </cell>
          <cell r="AI102">
            <v>140</v>
          </cell>
          <cell r="AJ102">
            <v>0</v>
          </cell>
          <cell r="AK102">
            <v>0</v>
          </cell>
          <cell r="AL102">
            <v>5</v>
          </cell>
          <cell r="AM102">
            <v>0</v>
          </cell>
          <cell r="AN102">
            <v>5</v>
          </cell>
          <cell r="AO102">
            <v>0</v>
          </cell>
          <cell r="AP102">
            <v>5</v>
          </cell>
          <cell r="AQ102" t="str">
            <v>US_GB_00030</v>
          </cell>
          <cell r="AR102">
            <v>0</v>
          </cell>
          <cell r="AS102">
            <v>80</v>
          </cell>
          <cell r="AU102">
            <v>80</v>
          </cell>
          <cell r="AV102">
            <v>0</v>
          </cell>
          <cell r="AW102">
            <v>400</v>
          </cell>
          <cell r="AX102">
            <v>400</v>
          </cell>
          <cell r="AY102">
            <v>0</v>
          </cell>
          <cell r="AZ102">
            <v>400</v>
          </cell>
          <cell r="BA102">
            <v>400</v>
          </cell>
          <cell r="BB102">
            <v>400</v>
          </cell>
          <cell r="BC102">
            <v>0</v>
          </cell>
          <cell r="BD102">
            <v>0</v>
          </cell>
          <cell r="BE102">
            <v>0</v>
          </cell>
          <cell r="BG102">
            <v>400</v>
          </cell>
          <cell r="BI102">
            <v>400</v>
          </cell>
          <cell r="BJ102">
            <v>11200</v>
          </cell>
          <cell r="BK102">
            <v>11200</v>
          </cell>
          <cell r="BL102">
            <v>10800</v>
          </cell>
          <cell r="BM102">
            <v>0</v>
          </cell>
          <cell r="BN102">
            <v>0</v>
          </cell>
          <cell r="BO102">
            <v>0</v>
          </cell>
          <cell r="BP102">
            <v>10800</v>
          </cell>
          <cell r="BQ102">
            <v>0</v>
          </cell>
          <cell r="BR102">
            <v>400</v>
          </cell>
          <cell r="BS102" t="str">
            <v>Y</v>
          </cell>
          <cell r="BT102">
            <v>1</v>
          </cell>
          <cell r="BU102">
            <v>1</v>
          </cell>
          <cell r="BV102" t="str">
            <v>Y</v>
          </cell>
          <cell r="BW102">
            <v>0</v>
          </cell>
          <cell r="BX102">
            <v>0</v>
          </cell>
          <cell r="BY102">
            <v>2026</v>
          </cell>
          <cell r="BZ102" t="str">
            <v>-</v>
          </cell>
          <cell r="CA102" t="str">
            <v>-</v>
          </cell>
        </row>
        <row r="103">
          <cell r="A103" t="str">
            <v>Lucknow</v>
          </cell>
          <cell r="B103" t="str">
            <v>Mavericks</v>
          </cell>
          <cell r="C103" t="str">
            <v>Mid Level</v>
          </cell>
          <cell r="D103" t="str">
            <v>Mohammad Fakhrul</v>
          </cell>
          <cell r="F103" t="str">
            <v>MSP</v>
          </cell>
          <cell r="H103" t="str">
            <v>Pass Through</v>
          </cell>
          <cell r="J103" t="str">
            <v>ACH</v>
          </cell>
          <cell r="L103" t="str">
            <v>New</v>
          </cell>
          <cell r="M103">
            <v>46156</v>
          </cell>
          <cell r="N103">
            <v>46</v>
          </cell>
          <cell r="P103">
            <v>46521</v>
          </cell>
          <cell r="R103" t="str">
            <v>Damilola Stephanie Oni</v>
          </cell>
          <cell r="S103" t="str">
            <v>Individual</v>
          </cell>
          <cell r="T103" t="str">
            <v>C2C Canada</v>
          </cell>
          <cell r="U103" t="str">
            <v>Cigniti</v>
          </cell>
          <cell r="V103">
            <v>77</v>
          </cell>
          <cell r="W103">
            <v>0</v>
          </cell>
          <cell r="X103" t="str">
            <v>CAD</v>
          </cell>
          <cell r="Y103">
            <v>78</v>
          </cell>
          <cell r="Z103">
            <v>0</v>
          </cell>
          <cell r="AA103">
            <v>0</v>
          </cell>
          <cell r="AB103">
            <v>0</v>
          </cell>
          <cell r="AC103">
            <v>46157</v>
          </cell>
          <cell r="AD103">
            <v>12</v>
          </cell>
          <cell r="AE103">
            <v>46387</v>
          </cell>
          <cell r="AF103">
            <v>54.669999999999995</v>
          </cell>
          <cell r="AG103">
            <v>0</v>
          </cell>
          <cell r="AH103">
            <v>54.669999999999995</v>
          </cell>
          <cell r="AI103">
            <v>55.379999999999995</v>
          </cell>
          <cell r="AJ103">
            <v>0</v>
          </cell>
          <cell r="AK103">
            <v>0</v>
          </cell>
          <cell r="AL103">
            <v>0.71000000000000085</v>
          </cell>
          <cell r="AM103">
            <v>0</v>
          </cell>
          <cell r="AN103">
            <v>0.71000000000000085</v>
          </cell>
          <cell r="AO103">
            <v>0</v>
          </cell>
          <cell r="AP103">
            <v>0.71000000000000085</v>
          </cell>
          <cell r="AQ103" t="str">
            <v>CAD_2192</v>
          </cell>
          <cell r="AR103">
            <v>0</v>
          </cell>
          <cell r="AS103">
            <v>88</v>
          </cell>
          <cell r="AU103">
            <v>88</v>
          </cell>
          <cell r="AV103">
            <v>0</v>
          </cell>
          <cell r="AW103">
            <v>62.480000000000075</v>
          </cell>
          <cell r="AX103">
            <v>61.855200000000075</v>
          </cell>
          <cell r="AY103">
            <v>0</v>
          </cell>
          <cell r="AZ103">
            <v>62.480000000000075</v>
          </cell>
          <cell r="BA103">
            <v>61.855200000000075</v>
          </cell>
          <cell r="BB103">
            <v>62.480000000000075</v>
          </cell>
          <cell r="BC103">
            <v>0</v>
          </cell>
          <cell r="BD103">
            <v>0</v>
          </cell>
          <cell r="BE103">
            <v>0</v>
          </cell>
          <cell r="BG103">
            <v>61.855200000000075</v>
          </cell>
          <cell r="BI103">
            <v>0</v>
          </cell>
          <cell r="BJ103">
            <v>6864</v>
          </cell>
          <cell r="BK103">
            <v>4873.4399999999996</v>
          </cell>
          <cell r="BL103">
            <v>5020.3383999999996</v>
          </cell>
          <cell r="BM103">
            <v>0</v>
          </cell>
          <cell r="BN103">
            <v>0</v>
          </cell>
          <cell r="BO103">
            <v>0</v>
          </cell>
          <cell r="BP103">
            <v>5020.3383999999996</v>
          </cell>
          <cell r="BQ103">
            <v>0</v>
          </cell>
          <cell r="BR103">
            <v>-146.89840000000004</v>
          </cell>
          <cell r="BT103">
            <v>2</v>
          </cell>
          <cell r="BU103">
            <v>2</v>
          </cell>
          <cell r="BV103" t="str">
            <v>Y</v>
          </cell>
          <cell r="BW103">
            <v>0</v>
          </cell>
          <cell r="BX103">
            <v>0</v>
          </cell>
          <cell r="BY103">
            <v>2026</v>
          </cell>
          <cell r="BZ103" t="str">
            <v>-</v>
          </cell>
          <cell r="CA103" t="str">
            <v>-</v>
          </cell>
        </row>
        <row r="104">
          <cell r="A104" t="str">
            <v>Lucknow</v>
          </cell>
          <cell r="B104" t="str">
            <v>Titans</v>
          </cell>
          <cell r="C104" t="str">
            <v>Mid Level</v>
          </cell>
          <cell r="D104" t="str">
            <v>Noor Beg</v>
          </cell>
          <cell r="E104" t="str">
            <v>-</v>
          </cell>
          <cell r="F104" t="str">
            <v>Non-MSP</v>
          </cell>
          <cell r="H104" t="str">
            <v>Pass Through</v>
          </cell>
          <cell r="L104" t="str">
            <v>New</v>
          </cell>
          <cell r="M104">
            <v>46042</v>
          </cell>
          <cell r="N104">
            <v>160</v>
          </cell>
          <cell r="P104">
            <v>46407</v>
          </cell>
          <cell r="Q104" t="str">
            <v>PLC-Passthrough</v>
          </cell>
          <cell r="R104" t="str">
            <v>Daniel Adam Buckingham</v>
          </cell>
          <cell r="S104" t="str">
            <v>Individual</v>
          </cell>
          <cell r="T104" t="str">
            <v>C2C</v>
          </cell>
          <cell r="U104" t="str">
            <v>Genpact</v>
          </cell>
          <cell r="V104">
            <v>300</v>
          </cell>
          <cell r="W104">
            <v>0</v>
          </cell>
          <cell r="X104" t="str">
            <v>USD</v>
          </cell>
          <cell r="Y104">
            <v>305</v>
          </cell>
          <cell r="Z104">
            <v>0</v>
          </cell>
          <cell r="AA104">
            <v>0</v>
          </cell>
          <cell r="AB104">
            <v>0</v>
          </cell>
          <cell r="AC104">
            <v>46037</v>
          </cell>
          <cell r="AD104">
            <v>8</v>
          </cell>
          <cell r="AE104">
            <v>46387</v>
          </cell>
          <cell r="AF104">
            <v>300</v>
          </cell>
          <cell r="AG104">
            <v>0</v>
          </cell>
          <cell r="AH104">
            <v>300</v>
          </cell>
          <cell r="AI104">
            <v>305</v>
          </cell>
          <cell r="AJ104">
            <v>0</v>
          </cell>
          <cell r="AK104">
            <v>0</v>
          </cell>
          <cell r="AL104">
            <v>5</v>
          </cell>
          <cell r="AM104">
            <v>0</v>
          </cell>
          <cell r="AN104">
            <v>5</v>
          </cell>
          <cell r="AO104">
            <v>0</v>
          </cell>
          <cell r="AP104">
            <v>5</v>
          </cell>
          <cell r="AQ104" t="str">
            <v>US_GB_00011</v>
          </cell>
          <cell r="AR104">
            <v>0</v>
          </cell>
          <cell r="AS104">
            <v>32</v>
          </cell>
          <cell r="AU104">
            <v>32</v>
          </cell>
          <cell r="AV104">
            <v>0</v>
          </cell>
          <cell r="AW104">
            <v>160</v>
          </cell>
          <cell r="AX104">
            <v>160</v>
          </cell>
          <cell r="AY104">
            <v>0</v>
          </cell>
          <cell r="AZ104">
            <v>160</v>
          </cell>
          <cell r="BA104">
            <v>160</v>
          </cell>
          <cell r="BB104">
            <v>160</v>
          </cell>
          <cell r="BC104">
            <v>0</v>
          </cell>
          <cell r="BD104">
            <v>0</v>
          </cell>
          <cell r="BE104">
            <v>0</v>
          </cell>
          <cell r="BG104">
            <v>160</v>
          </cell>
          <cell r="BI104">
            <v>160</v>
          </cell>
          <cell r="BJ104">
            <v>9760</v>
          </cell>
          <cell r="BK104">
            <v>9760</v>
          </cell>
          <cell r="BL104">
            <v>9600</v>
          </cell>
          <cell r="BM104">
            <v>0</v>
          </cell>
          <cell r="BN104">
            <v>0</v>
          </cell>
          <cell r="BO104">
            <v>0</v>
          </cell>
          <cell r="BP104">
            <v>9600</v>
          </cell>
          <cell r="BQ104">
            <v>0</v>
          </cell>
          <cell r="BR104">
            <v>160</v>
          </cell>
          <cell r="BS104" t="str">
            <v>Y</v>
          </cell>
          <cell r="BT104">
            <v>1</v>
          </cell>
          <cell r="BU104">
            <v>1</v>
          </cell>
          <cell r="BV104" t="str">
            <v>Y</v>
          </cell>
          <cell r="BW104">
            <v>0</v>
          </cell>
          <cell r="BX104">
            <v>0</v>
          </cell>
          <cell r="BY104">
            <v>2026</v>
          </cell>
          <cell r="BZ104" t="str">
            <v>-</v>
          </cell>
          <cell r="CA104" t="str">
            <v>-</v>
          </cell>
        </row>
        <row r="105">
          <cell r="A105" t="str">
            <v>Lucknow</v>
          </cell>
          <cell r="B105" t="str">
            <v>Titans</v>
          </cell>
          <cell r="C105" t="str">
            <v>Mid Level</v>
          </cell>
          <cell r="D105" t="str">
            <v>Noor Beg</v>
          </cell>
          <cell r="E105" t="str">
            <v>-</v>
          </cell>
          <cell r="F105" t="str">
            <v>Non-MSP</v>
          </cell>
          <cell r="H105" t="str">
            <v>Pass Through</v>
          </cell>
          <cell r="L105" t="str">
            <v>New</v>
          </cell>
          <cell r="M105">
            <v>46042</v>
          </cell>
          <cell r="N105">
            <v>160</v>
          </cell>
          <cell r="P105">
            <v>46407</v>
          </cell>
          <cell r="Q105" t="str">
            <v>PLC-Passthrough</v>
          </cell>
          <cell r="R105" t="str">
            <v>Daniel Adam Buckingham</v>
          </cell>
          <cell r="S105" t="str">
            <v>Individual</v>
          </cell>
          <cell r="T105" t="str">
            <v>C2C</v>
          </cell>
          <cell r="U105" t="str">
            <v>Genpact</v>
          </cell>
          <cell r="V105">
            <v>300</v>
          </cell>
          <cell r="W105">
            <v>0</v>
          </cell>
          <cell r="X105" t="str">
            <v>USD</v>
          </cell>
          <cell r="Y105">
            <v>305</v>
          </cell>
          <cell r="Z105">
            <v>0</v>
          </cell>
          <cell r="AA105">
            <v>0</v>
          </cell>
          <cell r="AB105">
            <v>0</v>
          </cell>
          <cell r="AC105">
            <v>46068</v>
          </cell>
          <cell r="AD105">
            <v>20</v>
          </cell>
          <cell r="AE105">
            <v>46387</v>
          </cell>
          <cell r="AF105">
            <v>300</v>
          </cell>
          <cell r="AG105">
            <v>0</v>
          </cell>
          <cell r="AH105">
            <v>300</v>
          </cell>
          <cell r="AI105">
            <v>305</v>
          </cell>
          <cell r="AJ105">
            <v>0</v>
          </cell>
          <cell r="AK105">
            <v>0</v>
          </cell>
          <cell r="AL105">
            <v>5</v>
          </cell>
          <cell r="AM105">
            <v>0</v>
          </cell>
          <cell r="AN105">
            <v>5</v>
          </cell>
          <cell r="AO105">
            <v>0</v>
          </cell>
          <cell r="AP105">
            <v>5</v>
          </cell>
          <cell r="AQ105" t="str">
            <v>US_GB_00024</v>
          </cell>
          <cell r="AR105">
            <v>0</v>
          </cell>
          <cell r="AS105">
            <v>158.5</v>
          </cell>
          <cell r="AU105">
            <v>158.5</v>
          </cell>
          <cell r="AV105">
            <v>0</v>
          </cell>
          <cell r="AW105">
            <v>792.5</v>
          </cell>
          <cell r="AX105">
            <v>792.5</v>
          </cell>
          <cell r="AY105">
            <v>0</v>
          </cell>
          <cell r="AZ105">
            <v>792.5</v>
          </cell>
          <cell r="BA105">
            <v>792.5</v>
          </cell>
          <cell r="BB105">
            <v>792.5</v>
          </cell>
          <cell r="BC105">
            <v>0</v>
          </cell>
          <cell r="BD105">
            <v>0</v>
          </cell>
          <cell r="BE105">
            <v>0</v>
          </cell>
          <cell r="BG105">
            <v>792.5</v>
          </cell>
          <cell r="BI105">
            <v>792.5</v>
          </cell>
          <cell r="BJ105">
            <v>48342.5</v>
          </cell>
          <cell r="BK105">
            <v>48342.5</v>
          </cell>
          <cell r="BL105">
            <v>47550</v>
          </cell>
          <cell r="BM105">
            <v>0</v>
          </cell>
          <cell r="BN105">
            <v>0</v>
          </cell>
          <cell r="BO105">
            <v>0</v>
          </cell>
          <cell r="BP105">
            <v>47550</v>
          </cell>
          <cell r="BQ105">
            <v>0</v>
          </cell>
          <cell r="BR105">
            <v>792.5</v>
          </cell>
          <cell r="BS105" t="str">
            <v>Y</v>
          </cell>
          <cell r="BT105">
            <v>1</v>
          </cell>
          <cell r="BU105">
            <v>1</v>
          </cell>
          <cell r="BV105" t="str">
            <v>Y</v>
          </cell>
          <cell r="BW105">
            <v>0</v>
          </cell>
          <cell r="BX105">
            <v>0</v>
          </cell>
          <cell r="BY105">
            <v>2026</v>
          </cell>
          <cell r="BZ105" t="str">
            <v>-</v>
          </cell>
          <cell r="CA105" t="str">
            <v>-</v>
          </cell>
        </row>
        <row r="106">
          <cell r="A106" t="str">
            <v>Lucknow</v>
          </cell>
          <cell r="B106" t="str">
            <v>Titans</v>
          </cell>
          <cell r="C106" t="str">
            <v>Mid Level</v>
          </cell>
          <cell r="D106" t="str">
            <v>Noor Beg</v>
          </cell>
          <cell r="E106" t="str">
            <v>-</v>
          </cell>
          <cell r="F106" t="str">
            <v>Non-MSP</v>
          </cell>
          <cell r="H106" t="str">
            <v>Pass Through</v>
          </cell>
          <cell r="L106" t="str">
            <v>New</v>
          </cell>
          <cell r="M106">
            <v>46042</v>
          </cell>
          <cell r="N106">
            <v>160</v>
          </cell>
          <cell r="P106">
            <v>46407</v>
          </cell>
          <cell r="Q106" t="str">
            <v>PLC-Passthrough</v>
          </cell>
          <cell r="R106" t="str">
            <v>Daniel Adam Buckingham</v>
          </cell>
          <cell r="S106" t="str">
            <v>Individual</v>
          </cell>
          <cell r="T106" t="str">
            <v>C2C</v>
          </cell>
          <cell r="U106" t="str">
            <v>Genpact</v>
          </cell>
          <cell r="V106">
            <v>300</v>
          </cell>
          <cell r="W106">
            <v>0</v>
          </cell>
          <cell r="X106" t="str">
            <v>USD</v>
          </cell>
          <cell r="Y106">
            <v>305</v>
          </cell>
          <cell r="Z106">
            <v>0</v>
          </cell>
          <cell r="AA106">
            <v>0</v>
          </cell>
          <cell r="AB106">
            <v>0</v>
          </cell>
          <cell r="AC106">
            <v>46096</v>
          </cell>
          <cell r="AD106">
            <v>22</v>
          </cell>
          <cell r="AE106">
            <v>46387</v>
          </cell>
          <cell r="AF106">
            <v>300</v>
          </cell>
          <cell r="AG106">
            <v>0</v>
          </cell>
          <cell r="AH106">
            <v>300</v>
          </cell>
          <cell r="AI106">
            <v>305</v>
          </cell>
          <cell r="AJ106">
            <v>0</v>
          </cell>
          <cell r="AK106">
            <v>0</v>
          </cell>
          <cell r="AL106">
            <v>5</v>
          </cell>
          <cell r="AM106">
            <v>0</v>
          </cell>
          <cell r="AN106">
            <v>5</v>
          </cell>
          <cell r="AO106">
            <v>0</v>
          </cell>
          <cell r="AP106">
            <v>5</v>
          </cell>
          <cell r="AQ106" t="str">
            <v>US_GB_00039</v>
          </cell>
          <cell r="AR106">
            <v>0</v>
          </cell>
          <cell r="AS106">
            <v>176</v>
          </cell>
          <cell r="AU106">
            <v>176</v>
          </cell>
          <cell r="AV106">
            <v>0</v>
          </cell>
          <cell r="AW106">
            <v>880</v>
          </cell>
          <cell r="AX106">
            <v>880</v>
          </cell>
          <cell r="AY106">
            <v>0</v>
          </cell>
          <cell r="AZ106">
            <v>880</v>
          </cell>
          <cell r="BA106">
            <v>880</v>
          </cell>
          <cell r="BB106">
            <v>880</v>
          </cell>
          <cell r="BC106">
            <v>0</v>
          </cell>
          <cell r="BD106">
            <v>0</v>
          </cell>
          <cell r="BE106">
            <v>0</v>
          </cell>
          <cell r="BG106">
            <v>880</v>
          </cell>
          <cell r="BI106">
            <v>880</v>
          </cell>
          <cell r="BJ106">
            <v>53680</v>
          </cell>
          <cell r="BK106">
            <v>53680</v>
          </cell>
          <cell r="BL106">
            <v>52800</v>
          </cell>
          <cell r="BM106">
            <v>0</v>
          </cell>
          <cell r="BN106">
            <v>0</v>
          </cell>
          <cell r="BO106">
            <v>0</v>
          </cell>
          <cell r="BP106">
            <v>52800</v>
          </cell>
          <cell r="BQ106">
            <v>0</v>
          </cell>
          <cell r="BR106">
            <v>880</v>
          </cell>
          <cell r="BT106">
            <v>1</v>
          </cell>
          <cell r="BU106">
            <v>1</v>
          </cell>
          <cell r="BV106" t="str">
            <v>Y</v>
          </cell>
          <cell r="BW106">
            <v>0</v>
          </cell>
          <cell r="BX106">
            <v>0</v>
          </cell>
          <cell r="BY106">
            <v>2026</v>
          </cell>
          <cell r="BZ106" t="str">
            <v>-</v>
          </cell>
          <cell r="CA106" t="str">
            <v>-</v>
          </cell>
        </row>
        <row r="107">
          <cell r="A107" t="str">
            <v>Lucknow</v>
          </cell>
          <cell r="B107" t="str">
            <v>Titans</v>
          </cell>
          <cell r="C107" t="str">
            <v>Mid Level</v>
          </cell>
          <cell r="D107" t="str">
            <v>Noor Beg</v>
          </cell>
          <cell r="E107" t="str">
            <v>-</v>
          </cell>
          <cell r="F107" t="str">
            <v>Non-MSP</v>
          </cell>
          <cell r="H107" t="str">
            <v>Pass Through</v>
          </cell>
          <cell r="J107" t="str">
            <v>ACH</v>
          </cell>
          <cell r="L107" t="str">
            <v>New</v>
          </cell>
          <cell r="M107">
            <v>46042</v>
          </cell>
          <cell r="N107">
            <v>160</v>
          </cell>
          <cell r="P107">
            <v>46407</v>
          </cell>
          <cell r="Q107" t="str">
            <v>PLC-Passthrough</v>
          </cell>
          <cell r="R107" t="str">
            <v>Daniel Adam Buckingham</v>
          </cell>
          <cell r="S107" t="str">
            <v>Individual</v>
          </cell>
          <cell r="T107" t="str">
            <v>C2C</v>
          </cell>
          <cell r="U107" t="str">
            <v>Genpact</v>
          </cell>
          <cell r="V107">
            <v>300</v>
          </cell>
          <cell r="W107">
            <v>0</v>
          </cell>
          <cell r="X107" t="str">
            <v>USD</v>
          </cell>
          <cell r="Y107">
            <v>305</v>
          </cell>
          <cell r="Z107">
            <v>0</v>
          </cell>
          <cell r="AA107">
            <v>0</v>
          </cell>
          <cell r="AB107">
            <v>0</v>
          </cell>
          <cell r="AC107">
            <v>46127</v>
          </cell>
          <cell r="AD107">
            <v>22</v>
          </cell>
          <cell r="AE107">
            <v>46387</v>
          </cell>
          <cell r="AF107">
            <v>300</v>
          </cell>
          <cell r="AG107">
            <v>0</v>
          </cell>
          <cell r="AH107">
            <v>300</v>
          </cell>
          <cell r="AI107">
            <v>305</v>
          </cell>
          <cell r="AJ107">
            <v>0</v>
          </cell>
          <cell r="AK107">
            <v>0</v>
          </cell>
          <cell r="AL107">
            <v>5</v>
          </cell>
          <cell r="AM107">
            <v>0</v>
          </cell>
          <cell r="AN107">
            <v>5</v>
          </cell>
          <cell r="AO107">
            <v>0</v>
          </cell>
          <cell r="AP107">
            <v>5</v>
          </cell>
          <cell r="AQ107" t="str">
            <v>US_GB_00045</v>
          </cell>
          <cell r="AR107">
            <v>0</v>
          </cell>
          <cell r="AS107">
            <v>168</v>
          </cell>
          <cell r="AU107">
            <v>168</v>
          </cell>
          <cell r="AV107">
            <v>0</v>
          </cell>
          <cell r="AW107">
            <v>840</v>
          </cell>
          <cell r="AX107">
            <v>831.6</v>
          </cell>
          <cell r="AY107">
            <v>0</v>
          </cell>
          <cell r="AZ107">
            <v>840</v>
          </cell>
          <cell r="BA107">
            <v>831.6</v>
          </cell>
          <cell r="BB107">
            <v>840</v>
          </cell>
          <cell r="BC107">
            <v>0</v>
          </cell>
          <cell r="BD107">
            <v>0</v>
          </cell>
          <cell r="BE107">
            <v>0</v>
          </cell>
          <cell r="BG107">
            <v>831.6</v>
          </cell>
          <cell r="BI107">
            <v>831.6</v>
          </cell>
          <cell r="BJ107">
            <v>51240</v>
          </cell>
          <cell r="BK107">
            <v>51240</v>
          </cell>
          <cell r="BL107">
            <v>50400</v>
          </cell>
          <cell r="BM107">
            <v>0</v>
          </cell>
          <cell r="BN107">
            <v>0</v>
          </cell>
          <cell r="BO107">
            <v>0</v>
          </cell>
          <cell r="BP107">
            <v>50400</v>
          </cell>
          <cell r="BQ107">
            <v>0</v>
          </cell>
          <cell r="BR107">
            <v>840</v>
          </cell>
          <cell r="BT107">
            <v>2</v>
          </cell>
          <cell r="BU107">
            <v>1</v>
          </cell>
          <cell r="BV107" t="str">
            <v>Y</v>
          </cell>
          <cell r="BW107">
            <v>0</v>
          </cell>
          <cell r="BX107">
            <v>0</v>
          </cell>
          <cell r="BY107">
            <v>2026</v>
          </cell>
          <cell r="BZ107" t="str">
            <v>-</v>
          </cell>
          <cell r="CA107" t="str">
            <v>-</v>
          </cell>
        </row>
        <row r="108">
          <cell r="A108" t="str">
            <v>Lucknow</v>
          </cell>
          <cell r="B108" t="str">
            <v>Titans</v>
          </cell>
          <cell r="C108" t="str">
            <v>Mid Level</v>
          </cell>
          <cell r="D108" t="str">
            <v>Noor Beg</v>
          </cell>
          <cell r="E108" t="str">
            <v>-</v>
          </cell>
          <cell r="F108" t="str">
            <v>Non-MSP</v>
          </cell>
          <cell r="H108" t="str">
            <v>Pass Through</v>
          </cell>
          <cell r="J108" t="str">
            <v>ACH</v>
          </cell>
          <cell r="L108" t="str">
            <v>New</v>
          </cell>
          <cell r="M108">
            <v>46042</v>
          </cell>
          <cell r="N108">
            <v>160</v>
          </cell>
          <cell r="P108">
            <v>46407</v>
          </cell>
          <cell r="Q108" t="str">
            <v>PLC-Passthrough</v>
          </cell>
          <cell r="R108" t="str">
            <v>Daniel Adam Buckingham</v>
          </cell>
          <cell r="S108" t="str">
            <v>Individual</v>
          </cell>
          <cell r="T108" t="str">
            <v>C2C</v>
          </cell>
          <cell r="U108" t="str">
            <v>Genpact</v>
          </cell>
          <cell r="V108">
            <v>300</v>
          </cell>
          <cell r="W108">
            <v>0</v>
          </cell>
          <cell r="X108" t="str">
            <v>USD</v>
          </cell>
          <cell r="Y108">
            <v>305</v>
          </cell>
          <cell r="Z108">
            <v>0</v>
          </cell>
          <cell r="AA108">
            <v>0</v>
          </cell>
          <cell r="AB108">
            <v>0</v>
          </cell>
          <cell r="AC108">
            <v>46157</v>
          </cell>
          <cell r="AD108">
            <v>22</v>
          </cell>
          <cell r="AE108">
            <v>46387</v>
          </cell>
          <cell r="AF108">
            <v>300</v>
          </cell>
          <cell r="AG108">
            <v>0</v>
          </cell>
          <cell r="AH108">
            <v>300</v>
          </cell>
          <cell r="AI108">
            <v>305</v>
          </cell>
          <cell r="AJ108">
            <v>0</v>
          </cell>
          <cell r="AK108">
            <v>0</v>
          </cell>
          <cell r="AL108">
            <v>5</v>
          </cell>
          <cell r="AM108">
            <v>0</v>
          </cell>
          <cell r="AN108">
            <v>5</v>
          </cell>
          <cell r="AO108">
            <v>0</v>
          </cell>
          <cell r="AP108">
            <v>5</v>
          </cell>
          <cell r="AQ108" t="str">
            <v>US_GB_00051</v>
          </cell>
          <cell r="AR108">
            <v>0</v>
          </cell>
          <cell r="AS108">
            <v>122.5</v>
          </cell>
          <cell r="AU108">
            <v>122.5</v>
          </cell>
          <cell r="AV108">
            <v>0</v>
          </cell>
          <cell r="AW108">
            <v>612.5</v>
          </cell>
          <cell r="AX108">
            <v>606.375</v>
          </cell>
          <cell r="AY108">
            <v>0</v>
          </cell>
          <cell r="AZ108">
            <v>612.5</v>
          </cell>
          <cell r="BA108">
            <v>606.375</v>
          </cell>
          <cell r="BB108">
            <v>612.5</v>
          </cell>
          <cell r="BC108">
            <v>0</v>
          </cell>
          <cell r="BD108">
            <v>0</v>
          </cell>
          <cell r="BE108">
            <v>0</v>
          </cell>
          <cell r="BG108">
            <v>606.375</v>
          </cell>
          <cell r="BI108">
            <v>606.375</v>
          </cell>
          <cell r="BJ108">
            <v>37362.5</v>
          </cell>
          <cell r="BK108">
            <v>37362.5</v>
          </cell>
          <cell r="BL108">
            <v>36750</v>
          </cell>
          <cell r="BM108">
            <v>0</v>
          </cell>
          <cell r="BN108">
            <v>0</v>
          </cell>
          <cell r="BO108">
            <v>0</v>
          </cell>
          <cell r="BP108">
            <v>36750</v>
          </cell>
          <cell r="BQ108">
            <v>0</v>
          </cell>
          <cell r="BR108">
            <v>612.5</v>
          </cell>
          <cell r="BT108">
            <v>2</v>
          </cell>
          <cell r="BU108">
            <v>1</v>
          </cell>
          <cell r="BV108" t="str">
            <v>Y</v>
          </cell>
          <cell r="BW108">
            <v>0</v>
          </cell>
          <cell r="BX108">
            <v>0</v>
          </cell>
          <cell r="BY108">
            <v>2026</v>
          </cell>
          <cell r="BZ108" t="str">
            <v>-</v>
          </cell>
          <cell r="CA108" t="str">
            <v>-</v>
          </cell>
        </row>
        <row r="109">
          <cell r="A109" t="str">
            <v>Lucknow</v>
          </cell>
          <cell r="B109" t="str">
            <v>Mavericks</v>
          </cell>
          <cell r="C109" t="str">
            <v>Mid Level</v>
          </cell>
          <cell r="D109" t="str">
            <v>Kashif Nabi</v>
          </cell>
          <cell r="E109" t="str">
            <v>Mohammad Tariq</v>
          </cell>
          <cell r="F109" t="str">
            <v>Non-MSP</v>
          </cell>
          <cell r="G109" t="str">
            <v>Ashish Saxsena</v>
          </cell>
          <cell r="H109" t="str">
            <v>Ashish Kushwaha</v>
          </cell>
          <cell r="L109" t="str">
            <v>New</v>
          </cell>
          <cell r="M109">
            <v>46062</v>
          </cell>
          <cell r="N109">
            <v>140</v>
          </cell>
          <cell r="P109">
            <v>46427</v>
          </cell>
          <cell r="Q109" t="str">
            <v>PLC-4696</v>
          </cell>
          <cell r="R109" t="str">
            <v>Daniel Galindo</v>
          </cell>
          <cell r="S109" t="str">
            <v>Split</v>
          </cell>
          <cell r="T109" t="str">
            <v>W2</v>
          </cell>
          <cell r="U109" t="str">
            <v>Global Logic</v>
          </cell>
          <cell r="V109">
            <v>25</v>
          </cell>
          <cell r="W109">
            <v>0</v>
          </cell>
          <cell r="X109" t="str">
            <v>USD</v>
          </cell>
          <cell r="Y109">
            <v>45</v>
          </cell>
          <cell r="Z109">
            <v>0</v>
          </cell>
          <cell r="AA109">
            <v>0</v>
          </cell>
          <cell r="AB109">
            <v>0</v>
          </cell>
          <cell r="AC109">
            <v>46068</v>
          </cell>
          <cell r="AD109">
            <v>15</v>
          </cell>
          <cell r="AE109">
            <v>46387</v>
          </cell>
          <cell r="AF109">
            <v>28.749999999999996</v>
          </cell>
          <cell r="AG109">
            <v>0</v>
          </cell>
          <cell r="AH109">
            <v>28.749999999999996</v>
          </cell>
          <cell r="AI109">
            <v>45</v>
          </cell>
          <cell r="AJ109">
            <v>0</v>
          </cell>
          <cell r="AK109">
            <v>0</v>
          </cell>
          <cell r="AL109">
            <v>16.250000000000004</v>
          </cell>
          <cell r="AM109">
            <v>0</v>
          </cell>
          <cell r="AN109">
            <v>8.1250000000000018</v>
          </cell>
          <cell r="AO109">
            <v>0</v>
          </cell>
          <cell r="AP109">
            <v>8.1250000000000018</v>
          </cell>
          <cell r="AQ109" t="str">
            <v>US_27177</v>
          </cell>
          <cell r="AR109">
            <v>0</v>
          </cell>
          <cell r="AS109">
            <v>120</v>
          </cell>
          <cell r="AU109">
            <v>120</v>
          </cell>
          <cell r="AV109">
            <v>0</v>
          </cell>
          <cell r="AW109">
            <v>975.00000000000023</v>
          </cell>
          <cell r="AX109">
            <v>975.00000000000023</v>
          </cell>
          <cell r="AY109">
            <v>0</v>
          </cell>
          <cell r="AZ109">
            <v>975.00000000000023</v>
          </cell>
          <cell r="BA109">
            <v>975.00000000000023</v>
          </cell>
          <cell r="BB109">
            <v>975.00000000000023</v>
          </cell>
          <cell r="BC109">
            <v>0</v>
          </cell>
          <cell r="BD109">
            <v>0</v>
          </cell>
          <cell r="BE109">
            <v>0</v>
          </cell>
          <cell r="BG109">
            <v>975.00000000000023</v>
          </cell>
          <cell r="BI109">
            <v>975.00000000000023</v>
          </cell>
          <cell r="BJ109">
            <v>2700</v>
          </cell>
          <cell r="BK109">
            <v>2700</v>
          </cell>
          <cell r="BL109">
            <v>1500</v>
          </cell>
          <cell r="BM109">
            <v>3.75</v>
          </cell>
          <cell r="BN109">
            <v>0</v>
          </cell>
          <cell r="BO109">
            <v>450</v>
          </cell>
          <cell r="BP109">
            <v>1950</v>
          </cell>
          <cell r="BQ109">
            <v>3.75</v>
          </cell>
          <cell r="BR109">
            <v>750</v>
          </cell>
          <cell r="BS109" t="str">
            <v>Y</v>
          </cell>
          <cell r="BT109">
            <v>1</v>
          </cell>
          <cell r="BU109">
            <v>1</v>
          </cell>
          <cell r="BV109" t="str">
            <v>N</v>
          </cell>
          <cell r="BW109">
            <v>0</v>
          </cell>
          <cell r="BX109">
            <v>0</v>
          </cell>
          <cell r="BY109">
            <v>2026</v>
          </cell>
          <cell r="BZ109" t="str">
            <v>-</v>
          </cell>
          <cell r="CA109" t="str">
            <v>-</v>
          </cell>
        </row>
        <row r="110">
          <cell r="A110" t="str">
            <v>Lucknow</v>
          </cell>
          <cell r="B110" t="str">
            <v>Trust</v>
          </cell>
          <cell r="C110" t="str">
            <v>Mid Level</v>
          </cell>
          <cell r="D110" t="str">
            <v>Ashish Saxsena</v>
          </cell>
          <cell r="E110" t="str">
            <v>-</v>
          </cell>
          <cell r="F110" t="str">
            <v>Non-MSP</v>
          </cell>
          <cell r="G110" t="str">
            <v>Kashif Nabi</v>
          </cell>
          <cell r="H110" t="str">
            <v>Ashish Kushwaha</v>
          </cell>
          <cell r="L110" t="str">
            <v>New</v>
          </cell>
          <cell r="M110">
            <v>46062</v>
          </cell>
          <cell r="N110">
            <v>140</v>
          </cell>
          <cell r="P110">
            <v>46427</v>
          </cell>
          <cell r="Q110" t="str">
            <v>PLC-4696</v>
          </cell>
          <cell r="R110" t="str">
            <v>Daniel Galindo</v>
          </cell>
          <cell r="S110" t="str">
            <v>Split</v>
          </cell>
          <cell r="T110" t="str">
            <v>W2</v>
          </cell>
          <cell r="U110" t="str">
            <v>Global Logic</v>
          </cell>
          <cell r="V110">
            <v>25</v>
          </cell>
          <cell r="W110">
            <v>0</v>
          </cell>
          <cell r="X110" t="str">
            <v>USD</v>
          </cell>
          <cell r="Y110">
            <v>45</v>
          </cell>
          <cell r="Z110">
            <v>0</v>
          </cell>
          <cell r="AA110">
            <v>0</v>
          </cell>
          <cell r="AB110">
            <v>0</v>
          </cell>
          <cell r="AC110">
            <v>46068</v>
          </cell>
          <cell r="AD110">
            <v>15</v>
          </cell>
          <cell r="AE110">
            <v>46387</v>
          </cell>
          <cell r="AF110">
            <v>28.749999999999996</v>
          </cell>
          <cell r="AG110">
            <v>0</v>
          </cell>
          <cell r="AH110">
            <v>28.749999999999996</v>
          </cell>
          <cell r="AI110">
            <v>45</v>
          </cell>
          <cell r="AJ110">
            <v>0</v>
          </cell>
          <cell r="AK110">
            <v>0</v>
          </cell>
          <cell r="AL110">
            <v>16.250000000000004</v>
          </cell>
          <cell r="AM110">
            <v>0</v>
          </cell>
          <cell r="AN110">
            <v>8.1250000000000018</v>
          </cell>
          <cell r="AO110">
            <v>0</v>
          </cell>
          <cell r="AP110">
            <v>8.1250000000000018</v>
          </cell>
          <cell r="AQ110" t="str">
            <v>US_27177</v>
          </cell>
          <cell r="AR110">
            <v>0</v>
          </cell>
          <cell r="AS110">
            <v>120</v>
          </cell>
          <cell r="AU110">
            <v>120</v>
          </cell>
          <cell r="AV110">
            <v>0</v>
          </cell>
          <cell r="AW110">
            <v>975.00000000000023</v>
          </cell>
          <cell r="AX110">
            <v>975.00000000000023</v>
          </cell>
          <cell r="AY110">
            <v>0</v>
          </cell>
          <cell r="AZ110">
            <v>975.00000000000023</v>
          </cell>
          <cell r="BA110">
            <v>975.00000000000023</v>
          </cell>
          <cell r="BB110">
            <v>975.00000000000023</v>
          </cell>
          <cell r="BC110">
            <v>0</v>
          </cell>
          <cell r="BD110">
            <v>0</v>
          </cell>
          <cell r="BE110">
            <v>0</v>
          </cell>
          <cell r="BG110">
            <v>975.00000000000023</v>
          </cell>
          <cell r="BI110">
            <v>975.00000000000023</v>
          </cell>
          <cell r="BJ110">
            <v>2700</v>
          </cell>
          <cell r="BK110">
            <v>2700</v>
          </cell>
          <cell r="BL110">
            <v>1500</v>
          </cell>
          <cell r="BM110">
            <v>3.75</v>
          </cell>
          <cell r="BN110">
            <v>0</v>
          </cell>
          <cell r="BO110">
            <v>450</v>
          </cell>
          <cell r="BP110">
            <v>1950</v>
          </cell>
          <cell r="BQ110">
            <v>3.75</v>
          </cell>
          <cell r="BR110">
            <v>750</v>
          </cell>
          <cell r="BS110" t="str">
            <v>Y</v>
          </cell>
          <cell r="BT110">
            <v>1</v>
          </cell>
          <cell r="BU110">
            <v>1</v>
          </cell>
          <cell r="BV110" t="str">
            <v>N</v>
          </cell>
          <cell r="BW110">
            <v>0</v>
          </cell>
          <cell r="BX110">
            <v>0</v>
          </cell>
          <cell r="BY110">
            <v>2026</v>
          </cell>
          <cell r="BZ110" t="str">
            <v>-</v>
          </cell>
          <cell r="CA110" t="str">
            <v>-</v>
          </cell>
        </row>
        <row r="111">
          <cell r="A111" t="str">
            <v>Lucknow</v>
          </cell>
          <cell r="B111" t="str">
            <v>Mavericks</v>
          </cell>
          <cell r="C111" t="str">
            <v>Mid Level</v>
          </cell>
          <cell r="D111" t="str">
            <v>Kashif Nabi</v>
          </cell>
          <cell r="E111" t="str">
            <v>Mohammad Tariq</v>
          </cell>
          <cell r="F111" t="str">
            <v>Non-MSP</v>
          </cell>
          <cell r="G111" t="str">
            <v>Ashish Saxsena</v>
          </cell>
          <cell r="H111" t="str">
            <v>Ashish Kushwaha</v>
          </cell>
          <cell r="L111" t="str">
            <v>New</v>
          </cell>
          <cell r="M111">
            <v>46062</v>
          </cell>
          <cell r="N111">
            <v>140</v>
          </cell>
          <cell r="P111">
            <v>46427</v>
          </cell>
          <cell r="Q111" t="str">
            <v>PLC-4696</v>
          </cell>
          <cell r="R111" t="str">
            <v>Daniel Galindo</v>
          </cell>
          <cell r="S111" t="str">
            <v>Split</v>
          </cell>
          <cell r="T111" t="str">
            <v>W2</v>
          </cell>
          <cell r="U111" t="str">
            <v>Global Logic</v>
          </cell>
          <cell r="V111">
            <v>25</v>
          </cell>
          <cell r="W111">
            <v>0</v>
          </cell>
          <cell r="X111" t="str">
            <v>USD</v>
          </cell>
          <cell r="Y111">
            <v>45</v>
          </cell>
          <cell r="Z111">
            <v>0</v>
          </cell>
          <cell r="AA111">
            <v>0</v>
          </cell>
          <cell r="AB111">
            <v>0</v>
          </cell>
          <cell r="AC111">
            <v>46096</v>
          </cell>
          <cell r="AD111">
            <v>22</v>
          </cell>
          <cell r="AE111">
            <v>46387</v>
          </cell>
          <cell r="AF111">
            <v>28.749999999999996</v>
          </cell>
          <cell r="AG111">
            <v>0</v>
          </cell>
          <cell r="AH111">
            <v>28.749999999999996</v>
          </cell>
          <cell r="AI111">
            <v>45</v>
          </cell>
          <cell r="AJ111">
            <v>0</v>
          </cell>
          <cell r="AK111">
            <v>0</v>
          </cell>
          <cell r="AL111">
            <v>16.250000000000004</v>
          </cell>
          <cell r="AM111">
            <v>0</v>
          </cell>
          <cell r="AN111">
            <v>8.1250000000000018</v>
          </cell>
          <cell r="AO111">
            <v>0</v>
          </cell>
          <cell r="AP111">
            <v>8.1250000000000018</v>
          </cell>
          <cell r="AQ111" t="str">
            <v>US_27390</v>
          </cell>
          <cell r="AR111">
            <v>0</v>
          </cell>
          <cell r="AS111">
            <v>176</v>
          </cell>
          <cell r="AU111">
            <v>176</v>
          </cell>
          <cell r="AV111">
            <v>0</v>
          </cell>
          <cell r="AW111">
            <v>1430.0000000000002</v>
          </cell>
          <cell r="AX111">
            <v>1430.0000000000002</v>
          </cell>
          <cell r="AY111">
            <v>0</v>
          </cell>
          <cell r="AZ111">
            <v>1430.0000000000002</v>
          </cell>
          <cell r="BA111">
            <v>1430.0000000000002</v>
          </cell>
          <cell r="BB111">
            <v>1430.0000000000002</v>
          </cell>
          <cell r="BC111">
            <v>0</v>
          </cell>
          <cell r="BD111">
            <v>0</v>
          </cell>
          <cell r="BE111">
            <v>0</v>
          </cell>
          <cell r="BG111">
            <v>1430.0000000000002</v>
          </cell>
          <cell r="BI111">
            <v>1430.0000000000002</v>
          </cell>
          <cell r="BJ111">
            <v>3960</v>
          </cell>
          <cell r="BK111">
            <v>3960</v>
          </cell>
          <cell r="BL111">
            <v>2200</v>
          </cell>
          <cell r="BM111">
            <v>3.75</v>
          </cell>
          <cell r="BN111">
            <v>0</v>
          </cell>
          <cell r="BO111">
            <v>660</v>
          </cell>
          <cell r="BP111">
            <v>2860</v>
          </cell>
          <cell r="BQ111">
            <v>3.75</v>
          </cell>
          <cell r="BR111">
            <v>1100</v>
          </cell>
          <cell r="BS111" t="str">
            <v>Y</v>
          </cell>
          <cell r="BT111">
            <v>1</v>
          </cell>
          <cell r="BU111">
            <v>1</v>
          </cell>
          <cell r="BV111" t="str">
            <v>N</v>
          </cell>
          <cell r="BW111">
            <v>0</v>
          </cell>
          <cell r="BX111">
            <v>0</v>
          </cell>
          <cell r="BY111">
            <v>2026</v>
          </cell>
          <cell r="BZ111" t="str">
            <v>-</v>
          </cell>
          <cell r="CA111" t="str">
            <v>-</v>
          </cell>
        </row>
        <row r="112">
          <cell r="A112" t="str">
            <v>Lucknow</v>
          </cell>
          <cell r="B112" t="str">
            <v>Trust</v>
          </cell>
          <cell r="C112" t="str">
            <v>Mid Level</v>
          </cell>
          <cell r="D112" t="str">
            <v>Ashish Saxsena</v>
          </cell>
          <cell r="E112" t="str">
            <v>-</v>
          </cell>
          <cell r="F112" t="str">
            <v>Non-MSP</v>
          </cell>
          <cell r="G112" t="str">
            <v>Kashif Nabi</v>
          </cell>
          <cell r="H112" t="str">
            <v>Ashish Kushwaha</v>
          </cell>
          <cell r="L112" t="str">
            <v>New</v>
          </cell>
          <cell r="M112">
            <v>46062</v>
          </cell>
          <cell r="N112">
            <v>140</v>
          </cell>
          <cell r="P112">
            <v>46427</v>
          </cell>
          <cell r="Q112" t="str">
            <v>PLC-4696</v>
          </cell>
          <cell r="R112" t="str">
            <v>Daniel Galindo</v>
          </cell>
          <cell r="S112" t="str">
            <v>Split</v>
          </cell>
          <cell r="T112" t="str">
            <v>W2</v>
          </cell>
          <cell r="U112" t="str">
            <v>Global Logic</v>
          </cell>
          <cell r="V112">
            <v>25</v>
          </cell>
          <cell r="W112">
            <v>0</v>
          </cell>
          <cell r="X112" t="str">
            <v>USD</v>
          </cell>
          <cell r="Y112">
            <v>45</v>
          </cell>
          <cell r="Z112">
            <v>0</v>
          </cell>
          <cell r="AA112">
            <v>0</v>
          </cell>
          <cell r="AB112">
            <v>0</v>
          </cell>
          <cell r="AC112">
            <v>46096</v>
          </cell>
          <cell r="AD112">
            <v>22</v>
          </cell>
          <cell r="AE112">
            <v>46387</v>
          </cell>
          <cell r="AF112">
            <v>28.749999999999996</v>
          </cell>
          <cell r="AG112">
            <v>0</v>
          </cell>
          <cell r="AH112">
            <v>28.749999999999996</v>
          </cell>
          <cell r="AI112">
            <v>45</v>
          </cell>
          <cell r="AJ112">
            <v>0</v>
          </cell>
          <cell r="AK112">
            <v>0</v>
          </cell>
          <cell r="AL112">
            <v>16.250000000000004</v>
          </cell>
          <cell r="AM112">
            <v>0</v>
          </cell>
          <cell r="AN112">
            <v>8.1250000000000018</v>
          </cell>
          <cell r="AO112">
            <v>0</v>
          </cell>
          <cell r="AP112">
            <v>8.1250000000000018</v>
          </cell>
          <cell r="AQ112" t="str">
            <v>US_27390</v>
          </cell>
          <cell r="AR112">
            <v>0</v>
          </cell>
          <cell r="AS112">
            <v>176</v>
          </cell>
          <cell r="AU112">
            <v>176</v>
          </cell>
          <cell r="AV112">
            <v>0</v>
          </cell>
          <cell r="AW112">
            <v>1430.0000000000002</v>
          </cell>
          <cell r="AX112">
            <v>1430.0000000000002</v>
          </cell>
          <cell r="AY112">
            <v>0</v>
          </cell>
          <cell r="AZ112">
            <v>1430.0000000000002</v>
          </cell>
          <cell r="BA112">
            <v>1430.0000000000002</v>
          </cell>
          <cell r="BB112">
            <v>1430.0000000000002</v>
          </cell>
          <cell r="BC112">
            <v>0</v>
          </cell>
          <cell r="BD112">
            <v>0</v>
          </cell>
          <cell r="BE112">
            <v>0</v>
          </cell>
          <cell r="BG112">
            <v>1430.0000000000002</v>
          </cell>
          <cell r="BI112">
            <v>1430.0000000000002</v>
          </cell>
          <cell r="BJ112">
            <v>3960</v>
          </cell>
          <cell r="BK112">
            <v>3960</v>
          </cell>
          <cell r="BL112">
            <v>2200</v>
          </cell>
          <cell r="BM112">
            <v>3.75</v>
          </cell>
          <cell r="BN112">
            <v>0</v>
          </cell>
          <cell r="BO112">
            <v>660</v>
          </cell>
          <cell r="BP112">
            <v>2860</v>
          </cell>
          <cell r="BQ112">
            <v>3.75</v>
          </cell>
          <cell r="BR112">
            <v>1100</v>
          </cell>
          <cell r="BS112" t="str">
            <v>Y</v>
          </cell>
          <cell r="BT112">
            <v>1</v>
          </cell>
          <cell r="BU112">
            <v>1</v>
          </cell>
          <cell r="BV112" t="str">
            <v>N</v>
          </cell>
          <cell r="BW112">
            <v>0</v>
          </cell>
          <cell r="BX112">
            <v>0</v>
          </cell>
          <cell r="BY112">
            <v>2026</v>
          </cell>
          <cell r="BZ112" t="str">
            <v>-</v>
          </cell>
          <cell r="CA112" t="str">
            <v>-</v>
          </cell>
        </row>
        <row r="113">
          <cell r="A113" t="str">
            <v>Lucknow</v>
          </cell>
          <cell r="B113" t="str">
            <v>Mavericks</v>
          </cell>
          <cell r="C113" t="str">
            <v>Mid Level</v>
          </cell>
          <cell r="D113" t="str">
            <v>Kashif Nabi</v>
          </cell>
          <cell r="E113" t="str">
            <v>Mohammad Tariq</v>
          </cell>
          <cell r="F113" t="str">
            <v>Non-MSP</v>
          </cell>
          <cell r="G113" t="str">
            <v>Ashish Saxsena</v>
          </cell>
          <cell r="H113" t="str">
            <v>Ashish Kushwaha</v>
          </cell>
          <cell r="J113" t="str">
            <v>ACH</v>
          </cell>
          <cell r="L113" t="str">
            <v>New</v>
          </cell>
          <cell r="M113">
            <v>46062</v>
          </cell>
          <cell r="N113">
            <v>140</v>
          </cell>
          <cell r="P113">
            <v>46427</v>
          </cell>
          <cell r="Q113" t="str">
            <v>PLC-4696</v>
          </cell>
          <cell r="R113" t="str">
            <v>Daniel Galindo</v>
          </cell>
          <cell r="S113" t="str">
            <v>Split</v>
          </cell>
          <cell r="T113" t="str">
            <v>W2</v>
          </cell>
          <cell r="U113" t="str">
            <v>Global Logic</v>
          </cell>
          <cell r="V113">
            <v>25</v>
          </cell>
          <cell r="W113">
            <v>0</v>
          </cell>
          <cell r="X113" t="str">
            <v>USD</v>
          </cell>
          <cell r="Y113">
            <v>45</v>
          </cell>
          <cell r="Z113">
            <v>0</v>
          </cell>
          <cell r="AA113">
            <v>0</v>
          </cell>
          <cell r="AB113">
            <v>0</v>
          </cell>
          <cell r="AC113">
            <v>46127</v>
          </cell>
          <cell r="AD113">
            <v>22</v>
          </cell>
          <cell r="AE113">
            <v>46387</v>
          </cell>
          <cell r="AF113">
            <v>28.749999999999996</v>
          </cell>
          <cell r="AG113">
            <v>0</v>
          </cell>
          <cell r="AH113">
            <v>28.749999999999996</v>
          </cell>
          <cell r="AI113">
            <v>45</v>
          </cell>
          <cell r="AJ113">
            <v>0</v>
          </cell>
          <cell r="AK113">
            <v>0</v>
          </cell>
          <cell r="AL113">
            <v>16.250000000000004</v>
          </cell>
          <cell r="AM113">
            <v>0</v>
          </cell>
          <cell r="AN113">
            <v>8.1250000000000018</v>
          </cell>
          <cell r="AO113">
            <v>0</v>
          </cell>
          <cell r="AP113">
            <v>8.1250000000000018</v>
          </cell>
          <cell r="AQ113" t="str">
            <v>US_27624</v>
          </cell>
          <cell r="AR113">
            <v>0</v>
          </cell>
          <cell r="AS113">
            <v>176</v>
          </cell>
          <cell r="AU113">
            <v>176</v>
          </cell>
          <cell r="AV113">
            <v>0</v>
          </cell>
          <cell r="AW113">
            <v>1430.0000000000002</v>
          </cell>
          <cell r="AX113">
            <v>1415.7000000000003</v>
          </cell>
          <cell r="AY113">
            <v>0</v>
          </cell>
          <cell r="AZ113">
            <v>1430.0000000000002</v>
          </cell>
          <cell r="BA113">
            <v>1415.7000000000003</v>
          </cell>
          <cell r="BB113">
            <v>1430.0000000000002</v>
          </cell>
          <cell r="BC113">
            <v>0</v>
          </cell>
          <cell r="BD113">
            <v>0</v>
          </cell>
          <cell r="BE113">
            <v>0</v>
          </cell>
          <cell r="BG113">
            <v>1415.7000000000003</v>
          </cell>
          <cell r="BI113">
            <v>1415.7000000000003</v>
          </cell>
          <cell r="BJ113">
            <v>3960</v>
          </cell>
          <cell r="BK113">
            <v>3960</v>
          </cell>
          <cell r="BL113">
            <v>2200</v>
          </cell>
          <cell r="BM113">
            <v>3.75</v>
          </cell>
          <cell r="BN113">
            <v>0</v>
          </cell>
          <cell r="BO113">
            <v>660</v>
          </cell>
          <cell r="BP113">
            <v>2860</v>
          </cell>
          <cell r="BQ113">
            <v>3.75</v>
          </cell>
          <cell r="BR113">
            <v>1100</v>
          </cell>
          <cell r="BT113">
            <v>2</v>
          </cell>
          <cell r="BU113">
            <v>1</v>
          </cell>
          <cell r="BV113" t="str">
            <v>N</v>
          </cell>
          <cell r="BW113">
            <v>0</v>
          </cell>
          <cell r="BX113">
            <v>0</v>
          </cell>
          <cell r="BY113">
            <v>2026</v>
          </cell>
          <cell r="BZ113" t="str">
            <v>-</v>
          </cell>
          <cell r="CA113" t="str">
            <v>-</v>
          </cell>
        </row>
        <row r="114">
          <cell r="A114" t="str">
            <v>Lucknow</v>
          </cell>
          <cell r="B114" t="str">
            <v>Trust</v>
          </cell>
          <cell r="C114" t="str">
            <v>Mid Level</v>
          </cell>
          <cell r="D114" t="str">
            <v>Ashish Saxsena</v>
          </cell>
          <cell r="E114" t="str">
            <v>-</v>
          </cell>
          <cell r="F114" t="str">
            <v>Non-MSP</v>
          </cell>
          <cell r="G114" t="str">
            <v>Kashif Nabi</v>
          </cell>
          <cell r="H114" t="str">
            <v>Ashish Kushwaha</v>
          </cell>
          <cell r="J114" t="str">
            <v>ACH</v>
          </cell>
          <cell r="L114" t="str">
            <v>New</v>
          </cell>
          <cell r="M114">
            <v>46062</v>
          </cell>
          <cell r="N114">
            <v>140</v>
          </cell>
          <cell r="P114">
            <v>46427</v>
          </cell>
          <cell r="Q114" t="str">
            <v>PLC-4696</v>
          </cell>
          <cell r="R114" t="str">
            <v>Daniel Galindo</v>
          </cell>
          <cell r="S114" t="str">
            <v>Split</v>
          </cell>
          <cell r="T114" t="str">
            <v>W2</v>
          </cell>
          <cell r="U114" t="str">
            <v>Global Logic</v>
          </cell>
          <cell r="V114">
            <v>25</v>
          </cell>
          <cell r="W114">
            <v>0</v>
          </cell>
          <cell r="X114" t="str">
            <v>USD</v>
          </cell>
          <cell r="Y114">
            <v>45</v>
          </cell>
          <cell r="Z114">
            <v>0</v>
          </cell>
          <cell r="AA114">
            <v>0</v>
          </cell>
          <cell r="AB114">
            <v>0</v>
          </cell>
          <cell r="AC114">
            <v>46127</v>
          </cell>
          <cell r="AD114">
            <v>22</v>
          </cell>
          <cell r="AE114">
            <v>46387</v>
          </cell>
          <cell r="AF114">
            <v>28.749999999999996</v>
          </cell>
          <cell r="AG114">
            <v>0</v>
          </cell>
          <cell r="AH114">
            <v>28.749999999999996</v>
          </cell>
          <cell r="AI114">
            <v>45</v>
          </cell>
          <cell r="AJ114">
            <v>0</v>
          </cell>
          <cell r="AK114">
            <v>0</v>
          </cell>
          <cell r="AL114">
            <v>16.250000000000004</v>
          </cell>
          <cell r="AM114">
            <v>0</v>
          </cell>
          <cell r="AN114">
            <v>8.1250000000000018</v>
          </cell>
          <cell r="AO114">
            <v>0</v>
          </cell>
          <cell r="AP114">
            <v>8.1250000000000018</v>
          </cell>
          <cell r="AQ114" t="str">
            <v>US_27624</v>
          </cell>
          <cell r="AR114">
            <v>0</v>
          </cell>
          <cell r="AS114">
            <v>176</v>
          </cell>
          <cell r="AU114">
            <v>176</v>
          </cell>
          <cell r="AV114">
            <v>0</v>
          </cell>
          <cell r="AW114">
            <v>1430.0000000000002</v>
          </cell>
          <cell r="AX114">
            <v>1415.7000000000003</v>
          </cell>
          <cell r="AY114">
            <v>0</v>
          </cell>
          <cell r="AZ114">
            <v>1430.0000000000002</v>
          </cell>
          <cell r="BA114">
            <v>1415.7000000000003</v>
          </cell>
          <cell r="BB114">
            <v>1430.0000000000002</v>
          </cell>
          <cell r="BC114">
            <v>0</v>
          </cell>
          <cell r="BD114">
            <v>0</v>
          </cell>
          <cell r="BE114">
            <v>0</v>
          </cell>
          <cell r="BG114">
            <v>1415.7000000000003</v>
          </cell>
          <cell r="BI114">
            <v>1415.7000000000003</v>
          </cell>
          <cell r="BJ114">
            <v>3960</v>
          </cell>
          <cell r="BK114">
            <v>3960</v>
          </cell>
          <cell r="BL114">
            <v>2200</v>
          </cell>
          <cell r="BM114">
            <v>3.75</v>
          </cell>
          <cell r="BN114">
            <v>0</v>
          </cell>
          <cell r="BO114">
            <v>660</v>
          </cell>
          <cell r="BP114">
            <v>2860</v>
          </cell>
          <cell r="BQ114">
            <v>3.75</v>
          </cell>
          <cell r="BR114">
            <v>1100</v>
          </cell>
          <cell r="BT114">
            <v>2</v>
          </cell>
          <cell r="BU114">
            <v>1</v>
          </cell>
          <cell r="BV114" t="str">
            <v>N</v>
          </cell>
          <cell r="BW114">
            <v>0</v>
          </cell>
          <cell r="BX114">
            <v>0</v>
          </cell>
          <cell r="BY114">
            <v>2026</v>
          </cell>
          <cell r="BZ114" t="str">
            <v>-</v>
          </cell>
          <cell r="CA114" t="str">
            <v>-</v>
          </cell>
        </row>
        <row r="115">
          <cell r="A115" t="str">
            <v>Lucknow</v>
          </cell>
          <cell r="B115" t="str">
            <v>Mavericks</v>
          </cell>
          <cell r="C115" t="str">
            <v>Mid Level</v>
          </cell>
          <cell r="D115" t="str">
            <v>Kashif Nabi</v>
          </cell>
          <cell r="E115" t="str">
            <v>Mohammad Tariq</v>
          </cell>
          <cell r="F115" t="str">
            <v>Non-MSP</v>
          </cell>
          <cell r="G115" t="str">
            <v>Ashish Saxsena</v>
          </cell>
          <cell r="H115" t="str">
            <v>Ashish Kushwaha</v>
          </cell>
          <cell r="J115" t="str">
            <v>ACH</v>
          </cell>
          <cell r="L115" t="str">
            <v>New</v>
          </cell>
          <cell r="M115">
            <v>46062</v>
          </cell>
          <cell r="N115">
            <v>140</v>
          </cell>
          <cell r="P115">
            <v>46427</v>
          </cell>
          <cell r="Q115" t="str">
            <v>PLC-4696</v>
          </cell>
          <cell r="R115" t="str">
            <v>Daniel Galindo</v>
          </cell>
          <cell r="S115" t="str">
            <v>Split</v>
          </cell>
          <cell r="T115" t="str">
            <v>W2</v>
          </cell>
          <cell r="U115" t="str">
            <v>Global Logic</v>
          </cell>
          <cell r="V115">
            <v>25</v>
          </cell>
          <cell r="W115">
            <v>0</v>
          </cell>
          <cell r="X115" t="str">
            <v>USD</v>
          </cell>
          <cell r="Y115">
            <v>45</v>
          </cell>
          <cell r="Z115">
            <v>0</v>
          </cell>
          <cell r="AA115">
            <v>0</v>
          </cell>
          <cell r="AB115">
            <v>0</v>
          </cell>
          <cell r="AC115">
            <v>46157</v>
          </cell>
          <cell r="AD115">
            <v>22</v>
          </cell>
          <cell r="AE115">
            <v>46387</v>
          </cell>
          <cell r="AF115">
            <v>28.749999999999996</v>
          </cell>
          <cell r="AG115">
            <v>0</v>
          </cell>
          <cell r="AH115">
            <v>28.749999999999996</v>
          </cell>
          <cell r="AI115">
            <v>45</v>
          </cell>
          <cell r="AJ115">
            <v>0</v>
          </cell>
          <cell r="AK115">
            <v>0</v>
          </cell>
          <cell r="AL115">
            <v>16.250000000000004</v>
          </cell>
          <cell r="AM115">
            <v>0</v>
          </cell>
          <cell r="AN115">
            <v>8.1250000000000018</v>
          </cell>
          <cell r="AO115">
            <v>0</v>
          </cell>
          <cell r="AP115">
            <v>8.1250000000000018</v>
          </cell>
          <cell r="AQ115" t="str">
            <v>US_27911</v>
          </cell>
          <cell r="AR115">
            <v>0</v>
          </cell>
          <cell r="AS115">
            <v>113</v>
          </cell>
          <cell r="AU115">
            <v>113</v>
          </cell>
          <cell r="AV115">
            <v>0</v>
          </cell>
          <cell r="AW115">
            <v>918.12500000000023</v>
          </cell>
          <cell r="AX115">
            <v>908.94375000000025</v>
          </cell>
          <cell r="AY115">
            <v>0</v>
          </cell>
          <cell r="AZ115">
            <v>918.12500000000023</v>
          </cell>
          <cell r="BA115">
            <v>908.94375000000025</v>
          </cell>
          <cell r="BB115">
            <v>918.12500000000023</v>
          </cell>
          <cell r="BC115">
            <v>0</v>
          </cell>
          <cell r="BD115">
            <v>0</v>
          </cell>
          <cell r="BE115">
            <v>0</v>
          </cell>
          <cell r="BG115">
            <v>908.94375000000025</v>
          </cell>
          <cell r="BI115">
            <v>908.94375000000025</v>
          </cell>
          <cell r="BJ115">
            <v>2542.5</v>
          </cell>
          <cell r="BK115">
            <v>2542.5</v>
          </cell>
          <cell r="BL115">
            <v>1412.5</v>
          </cell>
          <cell r="BM115">
            <v>3.75</v>
          </cell>
          <cell r="BN115">
            <v>0</v>
          </cell>
          <cell r="BO115">
            <v>423.75</v>
          </cell>
          <cell r="BP115">
            <v>1836.25</v>
          </cell>
          <cell r="BQ115">
            <v>3.75</v>
          </cell>
          <cell r="BR115">
            <v>706.25</v>
          </cell>
          <cell r="BT115">
            <v>2</v>
          </cell>
          <cell r="BU115">
            <v>1</v>
          </cell>
          <cell r="BV115" t="str">
            <v>N</v>
          </cell>
          <cell r="BW115">
            <v>0</v>
          </cell>
          <cell r="BX115">
            <v>0</v>
          </cell>
          <cell r="BY115">
            <v>2026</v>
          </cell>
          <cell r="BZ115" t="str">
            <v>-</v>
          </cell>
          <cell r="CA115" t="str">
            <v>-</v>
          </cell>
        </row>
        <row r="116">
          <cell r="A116" t="str">
            <v>Lucknow</v>
          </cell>
          <cell r="B116" t="str">
            <v>Trust</v>
          </cell>
          <cell r="C116" t="str">
            <v>Mid Level</v>
          </cell>
          <cell r="D116" t="str">
            <v>Ashish Saxsena</v>
          </cell>
          <cell r="E116" t="str">
            <v>-</v>
          </cell>
          <cell r="F116" t="str">
            <v>Non-MSP</v>
          </cell>
          <cell r="G116" t="str">
            <v>Kashif Nabi</v>
          </cell>
          <cell r="H116" t="str">
            <v>Ashish Kushwaha</v>
          </cell>
          <cell r="J116" t="str">
            <v>ACH</v>
          </cell>
          <cell r="L116" t="str">
            <v>New</v>
          </cell>
          <cell r="M116">
            <v>46062</v>
          </cell>
          <cell r="N116">
            <v>140</v>
          </cell>
          <cell r="P116">
            <v>46427</v>
          </cell>
          <cell r="Q116" t="str">
            <v>PLC-4696</v>
          </cell>
          <cell r="R116" t="str">
            <v>Daniel Galindo</v>
          </cell>
          <cell r="S116" t="str">
            <v>Split</v>
          </cell>
          <cell r="T116" t="str">
            <v>W2</v>
          </cell>
          <cell r="U116" t="str">
            <v>Global Logic</v>
          </cell>
          <cell r="V116">
            <v>25</v>
          </cell>
          <cell r="W116">
            <v>0</v>
          </cell>
          <cell r="X116" t="str">
            <v>USD</v>
          </cell>
          <cell r="Y116">
            <v>45</v>
          </cell>
          <cell r="Z116">
            <v>0</v>
          </cell>
          <cell r="AA116">
            <v>0</v>
          </cell>
          <cell r="AB116">
            <v>0</v>
          </cell>
          <cell r="AC116">
            <v>46157</v>
          </cell>
          <cell r="AD116">
            <v>22</v>
          </cell>
          <cell r="AE116">
            <v>46387</v>
          </cell>
          <cell r="AF116">
            <v>28.749999999999996</v>
          </cell>
          <cell r="AG116">
            <v>0</v>
          </cell>
          <cell r="AH116">
            <v>28.749999999999996</v>
          </cell>
          <cell r="AI116">
            <v>45</v>
          </cell>
          <cell r="AJ116">
            <v>0</v>
          </cell>
          <cell r="AK116">
            <v>0</v>
          </cell>
          <cell r="AL116">
            <v>16.250000000000004</v>
          </cell>
          <cell r="AM116">
            <v>0</v>
          </cell>
          <cell r="AN116">
            <v>8.1250000000000018</v>
          </cell>
          <cell r="AO116">
            <v>0</v>
          </cell>
          <cell r="AP116">
            <v>8.1250000000000018</v>
          </cell>
          <cell r="AQ116" t="str">
            <v>US_27911</v>
          </cell>
          <cell r="AR116">
            <v>0</v>
          </cell>
          <cell r="AS116">
            <v>113</v>
          </cell>
          <cell r="AU116">
            <v>113</v>
          </cell>
          <cell r="AV116">
            <v>0</v>
          </cell>
          <cell r="AW116">
            <v>918.12500000000023</v>
          </cell>
          <cell r="AX116">
            <v>908.94375000000025</v>
          </cell>
          <cell r="AY116">
            <v>0</v>
          </cell>
          <cell r="AZ116">
            <v>918.12500000000023</v>
          </cell>
          <cell r="BA116">
            <v>908.94375000000025</v>
          </cell>
          <cell r="BB116">
            <v>918.12500000000023</v>
          </cell>
          <cell r="BC116">
            <v>0</v>
          </cell>
          <cell r="BD116">
            <v>0</v>
          </cell>
          <cell r="BE116">
            <v>0</v>
          </cell>
          <cell r="BG116">
            <v>908.94375000000025</v>
          </cell>
          <cell r="BI116">
            <v>908.94375000000025</v>
          </cell>
          <cell r="BJ116">
            <v>2542.5</v>
          </cell>
          <cell r="BK116">
            <v>2542.5</v>
          </cell>
          <cell r="BL116">
            <v>1412.5</v>
          </cell>
          <cell r="BM116">
            <v>3.75</v>
          </cell>
          <cell r="BN116">
            <v>0</v>
          </cell>
          <cell r="BO116">
            <v>423.75</v>
          </cell>
          <cell r="BP116">
            <v>1836.25</v>
          </cell>
          <cell r="BQ116">
            <v>3.75</v>
          </cell>
          <cell r="BR116">
            <v>706.25</v>
          </cell>
          <cell r="BT116">
            <v>2</v>
          </cell>
          <cell r="BU116">
            <v>1</v>
          </cell>
          <cell r="BV116" t="str">
            <v>N</v>
          </cell>
          <cell r="BW116">
            <v>0</v>
          </cell>
          <cell r="BX116">
            <v>0</v>
          </cell>
          <cell r="BY116">
            <v>2026</v>
          </cell>
          <cell r="BZ116" t="str">
            <v>-</v>
          </cell>
          <cell r="CA116" t="str">
            <v>-</v>
          </cell>
        </row>
        <row r="117">
          <cell r="A117" t="str">
            <v>Lucknow</v>
          </cell>
          <cell r="B117" t="str">
            <v>Trust</v>
          </cell>
          <cell r="C117" t="str">
            <v>Mid Level</v>
          </cell>
          <cell r="D117" t="str">
            <v>Shashank Yadav</v>
          </cell>
          <cell r="E117" t="str">
            <v>-</v>
          </cell>
          <cell r="F117" t="str">
            <v>Non-MSP</v>
          </cell>
          <cell r="H117" t="str">
            <v>Abhishek Verma</v>
          </cell>
          <cell r="L117" t="str">
            <v>New</v>
          </cell>
          <cell r="M117">
            <v>46027</v>
          </cell>
          <cell r="N117">
            <v>175</v>
          </cell>
          <cell r="O117">
            <v>46106</v>
          </cell>
          <cell r="P117">
            <v>46392</v>
          </cell>
          <cell r="Q117" t="str">
            <v>PLC-4651</v>
          </cell>
          <cell r="R117" t="str">
            <v>Daniel Livingston</v>
          </cell>
          <cell r="S117" t="str">
            <v>Individual</v>
          </cell>
          <cell r="T117" t="str">
            <v>Referral</v>
          </cell>
          <cell r="U117" t="str">
            <v>Reflik</v>
          </cell>
          <cell r="V117">
            <v>0</v>
          </cell>
          <cell r="W117">
            <v>0</v>
          </cell>
          <cell r="X117" t="str">
            <v>USD</v>
          </cell>
          <cell r="Y117">
            <v>5</v>
          </cell>
          <cell r="Z117">
            <v>0</v>
          </cell>
          <cell r="AA117">
            <v>0</v>
          </cell>
          <cell r="AB117">
            <v>0</v>
          </cell>
          <cell r="AC117">
            <v>46037</v>
          </cell>
          <cell r="AD117">
            <v>17</v>
          </cell>
          <cell r="AE117">
            <v>46387</v>
          </cell>
          <cell r="AF117">
            <v>0</v>
          </cell>
          <cell r="AG117">
            <v>0</v>
          </cell>
          <cell r="AH117">
            <v>0</v>
          </cell>
          <cell r="AI117">
            <v>5</v>
          </cell>
          <cell r="AJ117">
            <v>0</v>
          </cell>
          <cell r="AK117">
            <v>0</v>
          </cell>
          <cell r="AL117">
            <v>5</v>
          </cell>
          <cell r="AM117">
            <v>0</v>
          </cell>
          <cell r="AN117">
            <v>5</v>
          </cell>
          <cell r="AO117">
            <v>0</v>
          </cell>
          <cell r="AP117">
            <v>5</v>
          </cell>
          <cell r="AQ117" t="str">
            <v>US_26952</v>
          </cell>
          <cell r="AR117">
            <v>0</v>
          </cell>
          <cell r="AS117">
            <v>152</v>
          </cell>
          <cell r="AU117">
            <v>152</v>
          </cell>
          <cell r="AV117">
            <v>0</v>
          </cell>
          <cell r="AW117">
            <v>760</v>
          </cell>
          <cell r="AX117">
            <v>760</v>
          </cell>
          <cell r="AY117">
            <v>0</v>
          </cell>
          <cell r="AZ117">
            <v>760</v>
          </cell>
          <cell r="BA117">
            <v>760</v>
          </cell>
          <cell r="BB117">
            <v>760</v>
          </cell>
          <cell r="BC117">
            <v>0</v>
          </cell>
          <cell r="BD117">
            <v>0</v>
          </cell>
          <cell r="BE117">
            <v>0</v>
          </cell>
          <cell r="BG117">
            <v>760</v>
          </cell>
          <cell r="BI117">
            <v>760</v>
          </cell>
          <cell r="BJ117">
            <v>760</v>
          </cell>
          <cell r="BK117">
            <v>760</v>
          </cell>
          <cell r="BL117">
            <v>0</v>
          </cell>
          <cell r="BM117">
            <v>0</v>
          </cell>
          <cell r="BN117">
            <v>0</v>
          </cell>
          <cell r="BO117">
            <v>0</v>
          </cell>
          <cell r="BP117">
            <v>0</v>
          </cell>
          <cell r="BQ117">
            <v>0</v>
          </cell>
          <cell r="BR117">
            <v>760</v>
          </cell>
          <cell r="BS117" t="str">
            <v>Y</v>
          </cell>
          <cell r="BT117">
            <v>1</v>
          </cell>
          <cell r="BU117">
            <v>1</v>
          </cell>
          <cell r="BV117" t="str">
            <v>Y</v>
          </cell>
          <cell r="BW117">
            <v>0</v>
          </cell>
          <cell r="BX117">
            <v>0</v>
          </cell>
          <cell r="BY117">
            <v>2026</v>
          </cell>
          <cell r="BZ117" t="str">
            <v>-</v>
          </cell>
          <cell r="CA117" t="str">
            <v>-</v>
          </cell>
        </row>
        <row r="118">
          <cell r="A118" t="str">
            <v>Lucknow</v>
          </cell>
          <cell r="B118" t="str">
            <v>Trust</v>
          </cell>
          <cell r="C118" t="str">
            <v>Mid Level</v>
          </cell>
          <cell r="D118" t="str">
            <v>Shashank Yadav</v>
          </cell>
          <cell r="E118" t="str">
            <v>-</v>
          </cell>
          <cell r="F118" t="str">
            <v>Non-MSP</v>
          </cell>
          <cell r="H118" t="str">
            <v>Abhishek Verma</v>
          </cell>
          <cell r="L118" t="str">
            <v>New</v>
          </cell>
          <cell r="M118">
            <v>46027</v>
          </cell>
          <cell r="N118">
            <v>175</v>
          </cell>
          <cell r="O118">
            <v>46106</v>
          </cell>
          <cell r="P118">
            <v>46392</v>
          </cell>
          <cell r="Q118" t="str">
            <v>PLC-4651</v>
          </cell>
          <cell r="R118" t="str">
            <v>Daniel Livingston</v>
          </cell>
          <cell r="S118" t="str">
            <v>Individual</v>
          </cell>
          <cell r="T118" t="str">
            <v>Referral</v>
          </cell>
          <cell r="U118" t="str">
            <v>Reflik</v>
          </cell>
          <cell r="V118">
            <v>0</v>
          </cell>
          <cell r="W118">
            <v>0</v>
          </cell>
          <cell r="X118" t="str">
            <v>USD</v>
          </cell>
          <cell r="Y118">
            <v>5</v>
          </cell>
          <cell r="Z118">
            <v>0</v>
          </cell>
          <cell r="AA118">
            <v>0</v>
          </cell>
          <cell r="AB118">
            <v>0</v>
          </cell>
          <cell r="AC118">
            <v>46068</v>
          </cell>
          <cell r="AD118">
            <v>20</v>
          </cell>
          <cell r="AE118">
            <v>46387</v>
          </cell>
          <cell r="AF118">
            <v>0</v>
          </cell>
          <cell r="AG118">
            <v>0</v>
          </cell>
          <cell r="AH118">
            <v>0</v>
          </cell>
          <cell r="AI118">
            <v>5</v>
          </cell>
          <cell r="AJ118">
            <v>0</v>
          </cell>
          <cell r="AK118">
            <v>0</v>
          </cell>
          <cell r="AL118">
            <v>5</v>
          </cell>
          <cell r="AM118">
            <v>0</v>
          </cell>
          <cell r="AN118">
            <v>5</v>
          </cell>
          <cell r="AO118">
            <v>0</v>
          </cell>
          <cell r="AP118">
            <v>5</v>
          </cell>
          <cell r="AQ118" t="str">
            <v>US_27153</v>
          </cell>
          <cell r="AR118">
            <v>0</v>
          </cell>
          <cell r="AS118">
            <v>160</v>
          </cell>
          <cell r="AU118">
            <v>160</v>
          </cell>
          <cell r="AV118">
            <v>0</v>
          </cell>
          <cell r="AW118">
            <v>800</v>
          </cell>
          <cell r="AX118">
            <v>800</v>
          </cell>
          <cell r="AY118">
            <v>0</v>
          </cell>
          <cell r="AZ118">
            <v>800</v>
          </cell>
          <cell r="BA118">
            <v>800</v>
          </cell>
          <cell r="BB118">
            <v>800</v>
          </cell>
          <cell r="BC118">
            <v>0</v>
          </cell>
          <cell r="BD118">
            <v>0</v>
          </cell>
          <cell r="BE118">
            <v>0</v>
          </cell>
          <cell r="BG118">
            <v>800</v>
          </cell>
          <cell r="BI118">
            <v>800</v>
          </cell>
          <cell r="BJ118">
            <v>800</v>
          </cell>
          <cell r="BK118">
            <v>800</v>
          </cell>
          <cell r="BL118">
            <v>0</v>
          </cell>
          <cell r="BM118">
            <v>0</v>
          </cell>
          <cell r="BN118">
            <v>0</v>
          </cell>
          <cell r="BO118">
            <v>0</v>
          </cell>
          <cell r="BP118">
            <v>0</v>
          </cell>
          <cell r="BQ118">
            <v>0</v>
          </cell>
          <cell r="BR118">
            <v>800</v>
          </cell>
          <cell r="BS118" t="str">
            <v>Y</v>
          </cell>
          <cell r="BT118">
            <v>1</v>
          </cell>
          <cell r="BU118">
            <v>1</v>
          </cell>
          <cell r="BV118" t="str">
            <v>Y</v>
          </cell>
          <cell r="BW118">
            <v>0</v>
          </cell>
          <cell r="BX118">
            <v>0</v>
          </cell>
          <cell r="BY118">
            <v>2026</v>
          </cell>
          <cell r="BZ118" t="str">
            <v>-</v>
          </cell>
          <cell r="CA118" t="str">
            <v>-</v>
          </cell>
        </row>
        <row r="119">
          <cell r="A119" t="str">
            <v>Lucknow</v>
          </cell>
          <cell r="B119" t="str">
            <v>Trust</v>
          </cell>
          <cell r="C119" t="str">
            <v>Mid Level</v>
          </cell>
          <cell r="D119" t="str">
            <v>Shashank Yadav</v>
          </cell>
          <cell r="E119" t="str">
            <v>-</v>
          </cell>
          <cell r="F119" t="str">
            <v>Non-MSP</v>
          </cell>
          <cell r="H119" t="str">
            <v>Abhishek Verma</v>
          </cell>
          <cell r="L119" t="str">
            <v>New</v>
          </cell>
          <cell r="M119">
            <v>46027</v>
          </cell>
          <cell r="N119">
            <v>175</v>
          </cell>
          <cell r="O119">
            <v>46106</v>
          </cell>
          <cell r="P119">
            <v>46392</v>
          </cell>
          <cell r="Q119" t="str">
            <v>PLC-4651</v>
          </cell>
          <cell r="R119" t="str">
            <v>Daniel Livingston</v>
          </cell>
          <cell r="S119" t="str">
            <v>Individual</v>
          </cell>
          <cell r="T119" t="str">
            <v>Referral</v>
          </cell>
          <cell r="U119" t="str">
            <v>Reflik</v>
          </cell>
          <cell r="V119">
            <v>0</v>
          </cell>
          <cell r="W119">
            <v>0</v>
          </cell>
          <cell r="X119" t="str">
            <v>USD</v>
          </cell>
          <cell r="Y119">
            <v>5</v>
          </cell>
          <cell r="Z119">
            <v>0</v>
          </cell>
          <cell r="AA119">
            <v>0</v>
          </cell>
          <cell r="AB119">
            <v>0</v>
          </cell>
          <cell r="AC119">
            <v>46096</v>
          </cell>
          <cell r="AD119">
            <v>22</v>
          </cell>
          <cell r="AE119">
            <v>46387</v>
          </cell>
          <cell r="AF119">
            <v>0</v>
          </cell>
          <cell r="AG119">
            <v>0</v>
          </cell>
          <cell r="AH119">
            <v>0</v>
          </cell>
          <cell r="AI119">
            <v>5</v>
          </cell>
          <cell r="AJ119">
            <v>0</v>
          </cell>
          <cell r="AK119">
            <v>0</v>
          </cell>
          <cell r="AL119">
            <v>5</v>
          </cell>
          <cell r="AM119">
            <v>0</v>
          </cell>
          <cell r="AN119">
            <v>5</v>
          </cell>
          <cell r="AO119">
            <v>0</v>
          </cell>
          <cell r="AP119">
            <v>5</v>
          </cell>
          <cell r="AQ119" t="str">
            <v>US_27369</v>
          </cell>
          <cell r="AR119">
            <v>0</v>
          </cell>
          <cell r="AS119">
            <v>148</v>
          </cell>
          <cell r="AU119">
            <v>148</v>
          </cell>
          <cell r="AV119">
            <v>0</v>
          </cell>
          <cell r="AW119">
            <v>740</v>
          </cell>
          <cell r="AX119">
            <v>740</v>
          </cell>
          <cell r="AY119">
            <v>0</v>
          </cell>
          <cell r="AZ119">
            <v>740</v>
          </cell>
          <cell r="BA119">
            <v>740</v>
          </cell>
          <cell r="BB119">
            <v>740</v>
          </cell>
          <cell r="BC119">
            <v>0</v>
          </cell>
          <cell r="BD119">
            <v>0</v>
          </cell>
          <cell r="BE119">
            <v>0</v>
          </cell>
          <cell r="BG119">
            <v>740</v>
          </cell>
          <cell r="BI119">
            <v>740</v>
          </cell>
          <cell r="BJ119">
            <v>740</v>
          </cell>
          <cell r="BK119">
            <v>740</v>
          </cell>
          <cell r="BL119">
            <v>0</v>
          </cell>
          <cell r="BM119">
            <v>0</v>
          </cell>
          <cell r="BN119">
            <v>0</v>
          </cell>
          <cell r="BO119">
            <v>0</v>
          </cell>
          <cell r="BP119">
            <v>0</v>
          </cell>
          <cell r="BQ119">
            <v>0</v>
          </cell>
          <cell r="BR119">
            <v>740</v>
          </cell>
          <cell r="BS119" t="str">
            <v>Y</v>
          </cell>
          <cell r="BT119">
            <v>1</v>
          </cell>
          <cell r="BU119">
            <v>1</v>
          </cell>
          <cell r="BV119" t="str">
            <v>Y</v>
          </cell>
          <cell r="BW119">
            <v>0</v>
          </cell>
          <cell r="BX119">
            <v>0</v>
          </cell>
          <cell r="BY119">
            <v>2026</v>
          </cell>
          <cell r="BZ119" t="str">
            <v>-</v>
          </cell>
          <cell r="CA119" t="str">
            <v>-</v>
          </cell>
        </row>
        <row r="120">
          <cell r="A120" t="str">
            <v>Lucknow</v>
          </cell>
          <cell r="B120" t="str">
            <v>Trust</v>
          </cell>
          <cell r="C120" t="str">
            <v>Mid Level</v>
          </cell>
          <cell r="D120" t="str">
            <v>Shashank Yadav</v>
          </cell>
          <cell r="F120" t="str">
            <v>Non-MSP</v>
          </cell>
          <cell r="H120" t="str">
            <v>Vishwajeet Tiwari</v>
          </cell>
          <cell r="L120" t="str">
            <v>New</v>
          </cell>
          <cell r="M120">
            <v>46139</v>
          </cell>
          <cell r="N120">
            <v>63</v>
          </cell>
          <cell r="P120">
            <v>46504</v>
          </cell>
          <cell r="Q120" t="str">
            <v>PLC-4824</v>
          </cell>
          <cell r="R120" t="str">
            <v>Daniel Miller</v>
          </cell>
          <cell r="S120" t="str">
            <v>Individual</v>
          </cell>
          <cell r="T120" t="str">
            <v>FTE</v>
          </cell>
          <cell r="U120" t="str">
            <v>Reflik</v>
          </cell>
          <cell r="V120">
            <v>0</v>
          </cell>
          <cell r="W120">
            <v>0</v>
          </cell>
          <cell r="X120" t="str">
            <v>USD</v>
          </cell>
          <cell r="Y120">
            <v>5000</v>
          </cell>
          <cell r="Z120">
            <v>0</v>
          </cell>
          <cell r="AA120">
            <v>0</v>
          </cell>
          <cell r="AB120">
            <v>0</v>
          </cell>
          <cell r="AC120">
            <v>46127</v>
          </cell>
          <cell r="AD120">
            <v>1</v>
          </cell>
          <cell r="AE120">
            <v>46387</v>
          </cell>
          <cell r="AF120">
            <v>0</v>
          </cell>
          <cell r="AG120">
            <v>0</v>
          </cell>
          <cell r="AH120">
            <v>0</v>
          </cell>
          <cell r="AI120">
            <v>5000</v>
          </cell>
          <cell r="AJ120">
            <v>0</v>
          </cell>
          <cell r="AK120">
            <v>0</v>
          </cell>
          <cell r="AL120">
            <v>5000</v>
          </cell>
          <cell r="AM120">
            <v>0</v>
          </cell>
          <cell r="AN120">
            <v>5000</v>
          </cell>
          <cell r="AO120">
            <v>0</v>
          </cell>
          <cell r="AP120">
            <v>5000</v>
          </cell>
          <cell r="AQ120" t="str">
            <v>US_27697</v>
          </cell>
          <cell r="AR120">
            <v>0</v>
          </cell>
          <cell r="AS120">
            <v>1</v>
          </cell>
          <cell r="AU120">
            <v>1</v>
          </cell>
          <cell r="AV120">
            <v>0</v>
          </cell>
          <cell r="AW120">
            <v>5000</v>
          </cell>
          <cell r="AX120">
            <v>5000</v>
          </cell>
          <cell r="AY120">
            <v>0</v>
          </cell>
          <cell r="AZ120">
            <v>5000</v>
          </cell>
          <cell r="BA120">
            <v>5000</v>
          </cell>
          <cell r="BB120">
            <v>5000</v>
          </cell>
          <cell r="BC120">
            <v>0</v>
          </cell>
          <cell r="BD120">
            <v>0</v>
          </cell>
          <cell r="BE120">
            <v>0</v>
          </cell>
          <cell r="BG120">
            <v>5000</v>
          </cell>
          <cell r="BI120">
            <v>0</v>
          </cell>
          <cell r="BJ120">
            <v>5000</v>
          </cell>
          <cell r="BK120">
            <v>5000</v>
          </cell>
          <cell r="BL120">
            <v>0</v>
          </cell>
          <cell r="BM120">
            <v>0</v>
          </cell>
          <cell r="BN120">
            <v>0</v>
          </cell>
          <cell r="BO120">
            <v>0</v>
          </cell>
          <cell r="BP120">
            <v>0</v>
          </cell>
          <cell r="BQ120">
            <v>0</v>
          </cell>
          <cell r="BR120">
            <v>5000</v>
          </cell>
          <cell r="BT120">
            <v>2</v>
          </cell>
          <cell r="BU120">
            <v>2</v>
          </cell>
          <cell r="BV120" t="str">
            <v>N</v>
          </cell>
          <cell r="BW120">
            <v>0</v>
          </cell>
          <cell r="BX120">
            <v>0</v>
          </cell>
          <cell r="BY120">
            <v>2026</v>
          </cell>
          <cell r="BZ120" t="str">
            <v>-</v>
          </cell>
          <cell r="CA120" t="str">
            <v>-</v>
          </cell>
        </row>
        <row r="121">
          <cell r="A121" t="str">
            <v>Lucknow</v>
          </cell>
          <cell r="B121" t="str">
            <v>Titans</v>
          </cell>
          <cell r="C121" t="str">
            <v>Mid Level</v>
          </cell>
          <cell r="D121" t="str">
            <v>Noor Beg</v>
          </cell>
          <cell r="E121" t="str">
            <v>-</v>
          </cell>
          <cell r="F121" t="str">
            <v>Non-MSP</v>
          </cell>
          <cell r="H121" t="str">
            <v>Pass Through</v>
          </cell>
          <cell r="L121" t="str">
            <v>New</v>
          </cell>
          <cell r="M121">
            <v>46042</v>
          </cell>
          <cell r="N121">
            <v>160</v>
          </cell>
          <cell r="P121">
            <v>46407</v>
          </cell>
          <cell r="Q121" t="str">
            <v>PLC-Passthrough</v>
          </cell>
          <cell r="R121" t="str">
            <v>Danielle De Souza Ramirez</v>
          </cell>
          <cell r="S121" t="str">
            <v>Individual</v>
          </cell>
          <cell r="T121" t="str">
            <v>C2C</v>
          </cell>
          <cell r="U121" t="str">
            <v>Genpact</v>
          </cell>
          <cell r="V121">
            <v>300</v>
          </cell>
          <cell r="W121">
            <v>0</v>
          </cell>
          <cell r="X121" t="str">
            <v>USD</v>
          </cell>
          <cell r="Y121">
            <v>305</v>
          </cell>
          <cell r="Z121">
            <v>0</v>
          </cell>
          <cell r="AA121">
            <v>0</v>
          </cell>
          <cell r="AB121">
            <v>0</v>
          </cell>
          <cell r="AC121">
            <v>46037</v>
          </cell>
          <cell r="AD121">
            <v>8</v>
          </cell>
          <cell r="AE121">
            <v>46387</v>
          </cell>
          <cell r="AF121">
            <v>300</v>
          </cell>
          <cell r="AG121">
            <v>0</v>
          </cell>
          <cell r="AH121">
            <v>300</v>
          </cell>
          <cell r="AI121">
            <v>305</v>
          </cell>
          <cell r="AJ121">
            <v>0</v>
          </cell>
          <cell r="AK121">
            <v>0</v>
          </cell>
          <cell r="AL121">
            <v>5</v>
          </cell>
          <cell r="AM121">
            <v>0</v>
          </cell>
          <cell r="AN121">
            <v>5</v>
          </cell>
          <cell r="AO121">
            <v>0</v>
          </cell>
          <cell r="AP121">
            <v>5</v>
          </cell>
          <cell r="AQ121" t="str">
            <v>US_GB_00012</v>
          </cell>
          <cell r="AR121">
            <v>0</v>
          </cell>
          <cell r="AS121">
            <v>72</v>
          </cell>
          <cell r="AU121">
            <v>72</v>
          </cell>
          <cell r="AV121">
            <v>0</v>
          </cell>
          <cell r="AW121">
            <v>360</v>
          </cell>
          <cell r="AX121">
            <v>360</v>
          </cell>
          <cell r="AY121">
            <v>0</v>
          </cell>
          <cell r="AZ121">
            <v>360</v>
          </cell>
          <cell r="BA121">
            <v>360</v>
          </cell>
          <cell r="BB121">
            <v>360</v>
          </cell>
          <cell r="BC121">
            <v>0</v>
          </cell>
          <cell r="BD121">
            <v>0</v>
          </cell>
          <cell r="BE121">
            <v>0</v>
          </cell>
          <cell r="BG121">
            <v>360</v>
          </cell>
          <cell r="BI121">
            <v>360</v>
          </cell>
          <cell r="BJ121">
            <v>21960</v>
          </cell>
          <cell r="BK121">
            <v>21960</v>
          </cell>
          <cell r="BL121">
            <v>21600</v>
          </cell>
          <cell r="BM121">
            <v>0</v>
          </cell>
          <cell r="BN121">
            <v>0</v>
          </cell>
          <cell r="BO121">
            <v>0</v>
          </cell>
          <cell r="BP121">
            <v>21600</v>
          </cell>
          <cell r="BQ121">
            <v>0</v>
          </cell>
          <cell r="BR121">
            <v>360</v>
          </cell>
          <cell r="BS121" t="str">
            <v>Y</v>
          </cell>
          <cell r="BT121">
            <v>1</v>
          </cell>
          <cell r="BU121">
            <v>1</v>
          </cell>
          <cell r="BV121" t="str">
            <v>Y</v>
          </cell>
          <cell r="BW121">
            <v>0</v>
          </cell>
          <cell r="BX121">
            <v>0</v>
          </cell>
          <cell r="BY121">
            <v>2026</v>
          </cell>
          <cell r="BZ121" t="str">
            <v>-</v>
          </cell>
          <cell r="CA121" t="str">
            <v>-</v>
          </cell>
        </row>
        <row r="122">
          <cell r="A122" t="str">
            <v>Lucknow</v>
          </cell>
          <cell r="B122" t="str">
            <v>Titans</v>
          </cell>
          <cell r="C122" t="str">
            <v>Mid Level</v>
          </cell>
          <cell r="D122" t="str">
            <v>Noor Beg</v>
          </cell>
          <cell r="E122" t="str">
            <v>-</v>
          </cell>
          <cell r="F122" t="str">
            <v>Non-MSP</v>
          </cell>
          <cell r="H122" t="str">
            <v>Pass Through</v>
          </cell>
          <cell r="L122" t="str">
            <v>New</v>
          </cell>
          <cell r="M122">
            <v>46042</v>
          </cell>
          <cell r="N122">
            <v>160</v>
          </cell>
          <cell r="P122">
            <v>46407</v>
          </cell>
          <cell r="Q122" t="str">
            <v>PLC-Passthrough</v>
          </cell>
          <cell r="R122" t="str">
            <v>Danielle De Souza Ramirez</v>
          </cell>
          <cell r="S122" t="str">
            <v>Individual</v>
          </cell>
          <cell r="T122" t="str">
            <v>C2C</v>
          </cell>
          <cell r="U122" t="str">
            <v>Genpact</v>
          </cell>
          <cell r="V122">
            <v>300</v>
          </cell>
          <cell r="W122">
            <v>0</v>
          </cell>
          <cell r="X122" t="str">
            <v>USD</v>
          </cell>
          <cell r="Y122">
            <v>305</v>
          </cell>
          <cell r="Z122">
            <v>0</v>
          </cell>
          <cell r="AA122">
            <v>0</v>
          </cell>
          <cell r="AB122">
            <v>0</v>
          </cell>
          <cell r="AC122">
            <v>46068</v>
          </cell>
          <cell r="AD122">
            <v>20</v>
          </cell>
          <cell r="AE122">
            <v>46387</v>
          </cell>
          <cell r="AF122">
            <v>300</v>
          </cell>
          <cell r="AG122">
            <v>0</v>
          </cell>
          <cell r="AH122">
            <v>300</v>
          </cell>
          <cell r="AI122">
            <v>305</v>
          </cell>
          <cell r="AJ122">
            <v>0</v>
          </cell>
          <cell r="AK122">
            <v>0</v>
          </cell>
          <cell r="AL122">
            <v>5</v>
          </cell>
          <cell r="AM122">
            <v>0</v>
          </cell>
          <cell r="AN122">
            <v>5</v>
          </cell>
          <cell r="AO122">
            <v>0</v>
          </cell>
          <cell r="AP122">
            <v>5</v>
          </cell>
          <cell r="AQ122" t="str">
            <v>US_GB_00025</v>
          </cell>
          <cell r="AR122">
            <v>0</v>
          </cell>
          <cell r="AS122">
            <v>152</v>
          </cell>
          <cell r="AU122">
            <v>152</v>
          </cell>
          <cell r="AV122">
            <v>0</v>
          </cell>
          <cell r="AW122">
            <v>760</v>
          </cell>
          <cell r="AX122">
            <v>760</v>
          </cell>
          <cell r="AY122">
            <v>0</v>
          </cell>
          <cell r="AZ122">
            <v>760</v>
          </cell>
          <cell r="BA122">
            <v>760</v>
          </cell>
          <cell r="BB122">
            <v>760</v>
          </cell>
          <cell r="BC122">
            <v>0</v>
          </cell>
          <cell r="BD122">
            <v>0</v>
          </cell>
          <cell r="BE122">
            <v>0</v>
          </cell>
          <cell r="BG122">
            <v>760</v>
          </cell>
          <cell r="BI122">
            <v>760</v>
          </cell>
          <cell r="BJ122">
            <v>46360</v>
          </cell>
          <cell r="BK122">
            <v>46360</v>
          </cell>
          <cell r="BL122">
            <v>45600</v>
          </cell>
          <cell r="BM122">
            <v>0</v>
          </cell>
          <cell r="BN122">
            <v>0</v>
          </cell>
          <cell r="BO122">
            <v>0</v>
          </cell>
          <cell r="BP122">
            <v>45600</v>
          </cell>
          <cell r="BQ122">
            <v>0</v>
          </cell>
          <cell r="BR122">
            <v>760</v>
          </cell>
          <cell r="BS122" t="str">
            <v>Y</v>
          </cell>
          <cell r="BT122">
            <v>1</v>
          </cell>
          <cell r="BU122">
            <v>1</v>
          </cell>
          <cell r="BV122" t="str">
            <v>Y</v>
          </cell>
          <cell r="BW122">
            <v>0</v>
          </cell>
          <cell r="BX122">
            <v>0</v>
          </cell>
          <cell r="BY122">
            <v>2026</v>
          </cell>
          <cell r="BZ122" t="str">
            <v>-</v>
          </cell>
          <cell r="CA122" t="str">
            <v>-</v>
          </cell>
        </row>
        <row r="123">
          <cell r="A123" t="str">
            <v>Lucknow</v>
          </cell>
          <cell r="B123" t="str">
            <v>Titans</v>
          </cell>
          <cell r="C123" t="str">
            <v>Mid Level</v>
          </cell>
          <cell r="D123" t="str">
            <v>Noor Beg</v>
          </cell>
          <cell r="E123" t="str">
            <v>-</v>
          </cell>
          <cell r="F123" t="str">
            <v>Non-MSP</v>
          </cell>
          <cell r="H123" t="str">
            <v>Pass Through</v>
          </cell>
          <cell r="L123" t="str">
            <v>New</v>
          </cell>
          <cell r="M123">
            <v>46042</v>
          </cell>
          <cell r="N123">
            <v>160</v>
          </cell>
          <cell r="P123">
            <v>46407</v>
          </cell>
          <cell r="Q123" t="str">
            <v>PLC-Passthrough</v>
          </cell>
          <cell r="R123" t="str">
            <v>Danielle De Souza Ramirez</v>
          </cell>
          <cell r="S123" t="str">
            <v>Individual</v>
          </cell>
          <cell r="T123" t="str">
            <v>C2C</v>
          </cell>
          <cell r="U123" t="str">
            <v>Genpact</v>
          </cell>
          <cell r="V123">
            <v>300</v>
          </cell>
          <cell r="W123">
            <v>0</v>
          </cell>
          <cell r="X123" t="str">
            <v>USD</v>
          </cell>
          <cell r="Y123">
            <v>305</v>
          </cell>
          <cell r="Z123">
            <v>0</v>
          </cell>
          <cell r="AA123">
            <v>0</v>
          </cell>
          <cell r="AB123">
            <v>0</v>
          </cell>
          <cell r="AC123">
            <v>46096</v>
          </cell>
          <cell r="AD123">
            <v>22</v>
          </cell>
          <cell r="AE123">
            <v>46387</v>
          </cell>
          <cell r="AF123">
            <v>300</v>
          </cell>
          <cell r="AG123">
            <v>0</v>
          </cell>
          <cell r="AH123">
            <v>300</v>
          </cell>
          <cell r="AI123">
            <v>305</v>
          </cell>
          <cell r="AJ123">
            <v>0</v>
          </cell>
          <cell r="AK123">
            <v>0</v>
          </cell>
          <cell r="AL123">
            <v>5</v>
          </cell>
          <cell r="AM123">
            <v>0</v>
          </cell>
          <cell r="AN123">
            <v>5</v>
          </cell>
          <cell r="AO123">
            <v>0</v>
          </cell>
          <cell r="AP123">
            <v>5</v>
          </cell>
          <cell r="AQ123" t="str">
            <v>US_GB_00040</v>
          </cell>
          <cell r="AR123">
            <v>0</v>
          </cell>
          <cell r="AS123">
            <v>176</v>
          </cell>
          <cell r="AU123">
            <v>176</v>
          </cell>
          <cell r="AV123">
            <v>0</v>
          </cell>
          <cell r="AW123">
            <v>880</v>
          </cell>
          <cell r="AX123">
            <v>880</v>
          </cell>
          <cell r="AY123">
            <v>0</v>
          </cell>
          <cell r="AZ123">
            <v>880</v>
          </cell>
          <cell r="BA123">
            <v>880</v>
          </cell>
          <cell r="BB123">
            <v>880</v>
          </cell>
          <cell r="BC123">
            <v>0</v>
          </cell>
          <cell r="BD123">
            <v>0</v>
          </cell>
          <cell r="BE123">
            <v>0</v>
          </cell>
          <cell r="BG123">
            <v>880</v>
          </cell>
          <cell r="BI123">
            <v>880</v>
          </cell>
          <cell r="BJ123">
            <v>53680</v>
          </cell>
          <cell r="BK123">
            <v>53680</v>
          </cell>
          <cell r="BL123">
            <v>52800</v>
          </cell>
          <cell r="BM123">
            <v>0</v>
          </cell>
          <cell r="BN123">
            <v>0</v>
          </cell>
          <cell r="BO123">
            <v>0</v>
          </cell>
          <cell r="BP123">
            <v>52800</v>
          </cell>
          <cell r="BQ123">
            <v>0</v>
          </cell>
          <cell r="BR123">
            <v>880</v>
          </cell>
          <cell r="BS123" t="str">
            <v>Y</v>
          </cell>
          <cell r="BT123">
            <v>1</v>
          </cell>
          <cell r="BU123">
            <v>1</v>
          </cell>
          <cell r="BV123" t="str">
            <v>Y</v>
          </cell>
          <cell r="BW123">
            <v>0</v>
          </cell>
          <cell r="BX123">
            <v>0</v>
          </cell>
          <cell r="BY123">
            <v>2026</v>
          </cell>
          <cell r="BZ123" t="str">
            <v>-</v>
          </cell>
          <cell r="CA123" t="str">
            <v>-</v>
          </cell>
        </row>
        <row r="124">
          <cell r="A124" t="str">
            <v>Lucknow</v>
          </cell>
          <cell r="B124" t="str">
            <v>Titans</v>
          </cell>
          <cell r="C124" t="str">
            <v>Mid Level</v>
          </cell>
          <cell r="D124" t="str">
            <v>Noor Beg</v>
          </cell>
          <cell r="E124" t="str">
            <v>-</v>
          </cell>
          <cell r="F124" t="str">
            <v>Non-MSP</v>
          </cell>
          <cell r="H124" t="str">
            <v>Pass Through</v>
          </cell>
          <cell r="J124" t="str">
            <v>ACH</v>
          </cell>
          <cell r="L124" t="str">
            <v>New</v>
          </cell>
          <cell r="M124">
            <v>46042</v>
          </cell>
          <cell r="N124">
            <v>160</v>
          </cell>
          <cell r="P124">
            <v>46407</v>
          </cell>
          <cell r="Q124" t="str">
            <v>PLC-Passthrough</v>
          </cell>
          <cell r="R124" t="str">
            <v>Danielle De Souza Ramirez</v>
          </cell>
          <cell r="S124" t="str">
            <v>Individual</v>
          </cell>
          <cell r="T124" t="str">
            <v>C2C</v>
          </cell>
          <cell r="U124" t="str">
            <v>Genpact</v>
          </cell>
          <cell r="V124">
            <v>300</v>
          </cell>
          <cell r="W124">
            <v>0</v>
          </cell>
          <cell r="X124" t="str">
            <v>USD</v>
          </cell>
          <cell r="Y124">
            <v>305</v>
          </cell>
          <cell r="Z124">
            <v>0</v>
          </cell>
          <cell r="AA124">
            <v>0</v>
          </cell>
          <cell r="AB124">
            <v>0</v>
          </cell>
          <cell r="AC124">
            <v>46127</v>
          </cell>
          <cell r="AD124">
            <v>22</v>
          </cell>
          <cell r="AE124">
            <v>46387</v>
          </cell>
          <cell r="AF124">
            <v>300</v>
          </cell>
          <cell r="AG124">
            <v>0</v>
          </cell>
          <cell r="AH124">
            <v>300</v>
          </cell>
          <cell r="AI124">
            <v>305</v>
          </cell>
          <cell r="AJ124">
            <v>0</v>
          </cell>
          <cell r="AK124">
            <v>0</v>
          </cell>
          <cell r="AL124">
            <v>5</v>
          </cell>
          <cell r="AM124">
            <v>0</v>
          </cell>
          <cell r="AN124">
            <v>5</v>
          </cell>
          <cell r="AO124">
            <v>0</v>
          </cell>
          <cell r="AP124">
            <v>5</v>
          </cell>
          <cell r="AQ124" t="str">
            <v>US_GB_00046</v>
          </cell>
          <cell r="AR124">
            <v>0</v>
          </cell>
          <cell r="AS124">
            <v>176</v>
          </cell>
          <cell r="AU124">
            <v>176</v>
          </cell>
          <cell r="AV124">
            <v>0</v>
          </cell>
          <cell r="AW124">
            <v>880</v>
          </cell>
          <cell r="AX124">
            <v>871.2</v>
          </cell>
          <cell r="AY124">
            <v>0</v>
          </cell>
          <cell r="AZ124">
            <v>880</v>
          </cell>
          <cell r="BA124">
            <v>871.2</v>
          </cell>
          <cell r="BB124">
            <v>880</v>
          </cell>
          <cell r="BC124">
            <v>0</v>
          </cell>
          <cell r="BD124">
            <v>0</v>
          </cell>
          <cell r="BE124">
            <v>0</v>
          </cell>
          <cell r="BG124">
            <v>871.2</v>
          </cell>
          <cell r="BI124">
            <v>871.2</v>
          </cell>
          <cell r="BJ124">
            <v>53680</v>
          </cell>
          <cell r="BK124">
            <v>53680</v>
          </cell>
          <cell r="BL124">
            <v>52800</v>
          </cell>
          <cell r="BM124">
            <v>0</v>
          </cell>
          <cell r="BN124">
            <v>0</v>
          </cell>
          <cell r="BO124">
            <v>0</v>
          </cell>
          <cell r="BP124">
            <v>52800</v>
          </cell>
          <cell r="BQ124">
            <v>0</v>
          </cell>
          <cell r="BR124">
            <v>880</v>
          </cell>
          <cell r="BT124">
            <v>2</v>
          </cell>
          <cell r="BU124">
            <v>1</v>
          </cell>
          <cell r="BV124" t="str">
            <v>Y</v>
          </cell>
          <cell r="BW124">
            <v>0</v>
          </cell>
          <cell r="BX124">
            <v>0</v>
          </cell>
          <cell r="BY124">
            <v>2026</v>
          </cell>
          <cell r="BZ124" t="str">
            <v>-</v>
          </cell>
          <cell r="CA124" t="str">
            <v>-</v>
          </cell>
        </row>
        <row r="125">
          <cell r="A125" t="str">
            <v>Lucknow</v>
          </cell>
          <cell r="B125" t="str">
            <v>Titans</v>
          </cell>
          <cell r="C125" t="str">
            <v>Mid Level</v>
          </cell>
          <cell r="D125" t="str">
            <v>Noor Beg</v>
          </cell>
          <cell r="E125" t="str">
            <v>-</v>
          </cell>
          <cell r="F125" t="str">
            <v>Non-MSP</v>
          </cell>
          <cell r="H125" t="str">
            <v>Pass Through</v>
          </cell>
          <cell r="J125" t="str">
            <v>ACH</v>
          </cell>
          <cell r="L125" t="str">
            <v>New</v>
          </cell>
          <cell r="M125">
            <v>46042</v>
          </cell>
          <cell r="N125">
            <v>160</v>
          </cell>
          <cell r="P125">
            <v>46407</v>
          </cell>
          <cell r="Q125" t="str">
            <v>PLC-Passthrough</v>
          </cell>
          <cell r="R125" t="str">
            <v>Danielle De Souza Ramirez</v>
          </cell>
          <cell r="S125" t="str">
            <v>Individual</v>
          </cell>
          <cell r="T125" t="str">
            <v>C2C</v>
          </cell>
          <cell r="U125" t="str">
            <v>Genpact</v>
          </cell>
          <cell r="V125">
            <v>300</v>
          </cell>
          <cell r="W125">
            <v>0</v>
          </cell>
          <cell r="X125" t="str">
            <v>USD</v>
          </cell>
          <cell r="Y125">
            <v>305</v>
          </cell>
          <cell r="Z125">
            <v>0</v>
          </cell>
          <cell r="AA125">
            <v>0</v>
          </cell>
          <cell r="AB125">
            <v>0</v>
          </cell>
          <cell r="AC125">
            <v>46157</v>
          </cell>
          <cell r="AD125">
            <v>22</v>
          </cell>
          <cell r="AE125">
            <v>46387</v>
          </cell>
          <cell r="AF125">
            <v>300</v>
          </cell>
          <cell r="AG125">
            <v>0</v>
          </cell>
          <cell r="AH125">
            <v>300</v>
          </cell>
          <cell r="AI125">
            <v>305</v>
          </cell>
          <cell r="AJ125">
            <v>0</v>
          </cell>
          <cell r="AK125">
            <v>0</v>
          </cell>
          <cell r="AL125">
            <v>5</v>
          </cell>
          <cell r="AM125">
            <v>0</v>
          </cell>
          <cell r="AN125">
            <v>5</v>
          </cell>
          <cell r="AO125">
            <v>0</v>
          </cell>
          <cell r="AP125">
            <v>5</v>
          </cell>
          <cell r="AQ125" t="str">
            <v>US_GB_00052</v>
          </cell>
          <cell r="AR125">
            <v>0</v>
          </cell>
          <cell r="AS125">
            <v>165</v>
          </cell>
          <cell r="AU125">
            <v>165</v>
          </cell>
          <cell r="AV125">
            <v>0</v>
          </cell>
          <cell r="AW125">
            <v>825</v>
          </cell>
          <cell r="AX125">
            <v>816.75</v>
          </cell>
          <cell r="AY125">
            <v>0</v>
          </cell>
          <cell r="AZ125">
            <v>825</v>
          </cell>
          <cell r="BA125">
            <v>816.75</v>
          </cell>
          <cell r="BB125">
            <v>825</v>
          </cell>
          <cell r="BC125">
            <v>0</v>
          </cell>
          <cell r="BD125">
            <v>0</v>
          </cell>
          <cell r="BE125">
            <v>0</v>
          </cell>
          <cell r="BG125">
            <v>816.75</v>
          </cell>
          <cell r="BI125">
            <v>816.75</v>
          </cell>
          <cell r="BJ125">
            <v>50325</v>
          </cell>
          <cell r="BK125">
            <v>50325</v>
          </cell>
          <cell r="BL125">
            <v>49500</v>
          </cell>
          <cell r="BM125">
            <v>0</v>
          </cell>
          <cell r="BN125">
            <v>0</v>
          </cell>
          <cell r="BO125">
            <v>0</v>
          </cell>
          <cell r="BP125">
            <v>49500</v>
          </cell>
          <cell r="BQ125">
            <v>0</v>
          </cell>
          <cell r="BR125">
            <v>825</v>
          </cell>
          <cell r="BT125">
            <v>2</v>
          </cell>
          <cell r="BU125">
            <v>1</v>
          </cell>
          <cell r="BV125" t="str">
            <v>Y</v>
          </cell>
          <cell r="BW125">
            <v>0</v>
          </cell>
          <cell r="BX125">
            <v>0</v>
          </cell>
          <cell r="BY125">
            <v>2026</v>
          </cell>
          <cell r="BZ125" t="str">
            <v>-</v>
          </cell>
          <cell r="CA125" t="str">
            <v>-</v>
          </cell>
        </row>
        <row r="126">
          <cell r="A126" t="str">
            <v>Chennai</v>
          </cell>
          <cell r="B126" t="str">
            <v>Chennai</v>
          </cell>
          <cell r="C126" t="str">
            <v>Mid Level</v>
          </cell>
          <cell r="D126" t="str">
            <v>Vinoth L</v>
          </cell>
          <cell r="F126" t="str">
            <v>Non-MSP</v>
          </cell>
          <cell r="H126" t="str">
            <v>Dinesh Kumar Veluchamy</v>
          </cell>
          <cell r="J126" t="str">
            <v>ACH</v>
          </cell>
          <cell r="L126" t="str">
            <v>New</v>
          </cell>
          <cell r="M126">
            <v>46170</v>
          </cell>
          <cell r="N126">
            <v>32</v>
          </cell>
          <cell r="P126">
            <v>46535</v>
          </cell>
          <cell r="R126" t="str">
            <v>Danila Borisovich Ivanov</v>
          </cell>
          <cell r="S126" t="str">
            <v>Individual</v>
          </cell>
          <cell r="T126" t="str">
            <v>W2</v>
          </cell>
          <cell r="U126" t="str">
            <v>LTM</v>
          </cell>
          <cell r="V126">
            <v>52</v>
          </cell>
          <cell r="W126">
            <v>0</v>
          </cell>
          <cell r="X126" t="str">
            <v>USD</v>
          </cell>
          <cell r="Y126">
            <v>70</v>
          </cell>
          <cell r="Z126">
            <v>0</v>
          </cell>
          <cell r="AA126">
            <v>0</v>
          </cell>
          <cell r="AB126">
            <v>0</v>
          </cell>
          <cell r="AC126">
            <v>46157</v>
          </cell>
          <cell r="AD126">
            <v>2</v>
          </cell>
          <cell r="AE126">
            <v>46387</v>
          </cell>
          <cell r="AF126">
            <v>59.8</v>
          </cell>
          <cell r="AG126">
            <v>0</v>
          </cell>
          <cell r="AH126">
            <v>59.8</v>
          </cell>
          <cell r="AI126">
            <v>70</v>
          </cell>
          <cell r="AJ126">
            <v>0</v>
          </cell>
          <cell r="AK126">
            <v>0</v>
          </cell>
          <cell r="AL126">
            <v>10.200000000000003</v>
          </cell>
          <cell r="AM126">
            <v>0</v>
          </cell>
          <cell r="AN126">
            <v>10.200000000000003</v>
          </cell>
          <cell r="AO126">
            <v>0</v>
          </cell>
          <cell r="AP126">
            <v>10.200000000000003</v>
          </cell>
          <cell r="AU126">
            <v>16</v>
          </cell>
          <cell r="BB126">
            <v>163.20000000000005</v>
          </cell>
          <cell r="BC126">
            <v>116.66666666666667</v>
          </cell>
          <cell r="BI126">
            <v>0</v>
          </cell>
          <cell r="BK126">
            <v>1120</v>
          </cell>
          <cell r="BL126">
            <v>832</v>
          </cell>
          <cell r="BM126">
            <v>7.8</v>
          </cell>
          <cell r="BN126">
            <v>0</v>
          </cell>
          <cell r="BO126">
            <v>124.8</v>
          </cell>
          <cell r="BP126">
            <v>956.8</v>
          </cell>
          <cell r="BQ126">
            <v>7.8</v>
          </cell>
          <cell r="BR126">
            <v>163.19999999999999</v>
          </cell>
          <cell r="BT126">
            <v>2</v>
          </cell>
          <cell r="BU126">
            <v>2</v>
          </cell>
          <cell r="BV126" t="str">
            <v>Y</v>
          </cell>
          <cell r="BY126">
            <v>2026</v>
          </cell>
          <cell r="BZ126" t="str">
            <v>-</v>
          </cell>
          <cell r="CA126" t="str">
            <v>-</v>
          </cell>
        </row>
        <row r="127">
          <cell r="A127" t="str">
            <v>Lucknow</v>
          </cell>
          <cell r="B127" t="str">
            <v>Titans</v>
          </cell>
          <cell r="C127" t="str">
            <v>Mid Level</v>
          </cell>
          <cell r="D127" t="str">
            <v>Nitin Saxena</v>
          </cell>
          <cell r="E127" t="str">
            <v>-</v>
          </cell>
          <cell r="F127" t="str">
            <v>Non-MSP</v>
          </cell>
          <cell r="H127" t="str">
            <v>Hamza Ali</v>
          </cell>
          <cell r="I127" t="str">
            <v>-</v>
          </cell>
          <cell r="L127" t="str">
            <v>New</v>
          </cell>
          <cell r="M127">
            <v>46143</v>
          </cell>
          <cell r="N127">
            <v>59</v>
          </cell>
          <cell r="P127">
            <v>46508</v>
          </cell>
          <cell r="Q127" t="str">
            <v>PLC-4545</v>
          </cell>
          <cell r="R127" t="str">
            <v>Daron Howard-2</v>
          </cell>
          <cell r="S127" t="str">
            <v>Individual</v>
          </cell>
          <cell r="T127" t="str">
            <v>FTE</v>
          </cell>
          <cell r="U127" t="str">
            <v>Genpact</v>
          </cell>
          <cell r="V127">
            <v>0</v>
          </cell>
          <cell r="W127">
            <v>0</v>
          </cell>
          <cell r="X127" t="str">
            <v>USD</v>
          </cell>
          <cell r="Y127">
            <v>2184</v>
          </cell>
          <cell r="Z127">
            <v>0</v>
          </cell>
          <cell r="AA127">
            <v>0</v>
          </cell>
          <cell r="AB127">
            <v>0</v>
          </cell>
          <cell r="AC127">
            <v>46157</v>
          </cell>
          <cell r="AD127">
            <v>1</v>
          </cell>
          <cell r="AE127">
            <v>46387</v>
          </cell>
          <cell r="AF127">
            <v>0</v>
          </cell>
          <cell r="AG127">
            <v>0</v>
          </cell>
          <cell r="AH127">
            <v>0</v>
          </cell>
          <cell r="AI127">
            <v>2184</v>
          </cell>
          <cell r="AJ127">
            <v>0</v>
          </cell>
          <cell r="AK127">
            <v>0</v>
          </cell>
          <cell r="AL127">
            <v>2184</v>
          </cell>
          <cell r="AM127">
            <v>0</v>
          </cell>
          <cell r="AN127">
            <v>2184</v>
          </cell>
          <cell r="AO127">
            <v>0</v>
          </cell>
          <cell r="AP127">
            <v>2184</v>
          </cell>
          <cell r="AQ127" t="str">
            <v>US_27576_A</v>
          </cell>
          <cell r="AR127">
            <v>0</v>
          </cell>
          <cell r="AS127">
            <v>1</v>
          </cell>
          <cell r="AU127">
            <v>1</v>
          </cell>
          <cell r="AV127">
            <v>0</v>
          </cell>
          <cell r="AW127">
            <v>2184</v>
          </cell>
          <cell r="AX127">
            <v>2184</v>
          </cell>
          <cell r="AY127">
            <v>0</v>
          </cell>
          <cell r="AZ127">
            <v>2184</v>
          </cell>
          <cell r="BA127">
            <v>2184</v>
          </cell>
          <cell r="BB127">
            <v>2184</v>
          </cell>
          <cell r="BC127">
            <v>50</v>
          </cell>
          <cell r="BD127">
            <v>2882.88</v>
          </cell>
          <cell r="BE127">
            <v>2882.88</v>
          </cell>
          <cell r="BG127">
            <v>2184</v>
          </cell>
          <cell r="BI127">
            <v>0</v>
          </cell>
          <cell r="BJ127">
            <v>2184</v>
          </cell>
          <cell r="BK127">
            <v>2184</v>
          </cell>
          <cell r="BL127">
            <v>0</v>
          </cell>
          <cell r="BM127">
            <v>0</v>
          </cell>
          <cell r="BN127">
            <v>0</v>
          </cell>
          <cell r="BO127">
            <v>0</v>
          </cell>
          <cell r="BP127">
            <v>0</v>
          </cell>
          <cell r="BQ127">
            <v>0</v>
          </cell>
          <cell r="BR127">
            <v>2184</v>
          </cell>
          <cell r="BT127">
            <v>2</v>
          </cell>
          <cell r="BU127">
            <v>2</v>
          </cell>
          <cell r="BV127" t="str">
            <v>Y</v>
          </cell>
          <cell r="BW127">
            <v>5765.76</v>
          </cell>
          <cell r="BX127">
            <v>5765.76</v>
          </cell>
          <cell r="BY127">
            <v>2026</v>
          </cell>
          <cell r="BZ127" t="str">
            <v>-</v>
          </cell>
          <cell r="CA127" t="str">
            <v>-</v>
          </cell>
        </row>
        <row r="128">
          <cell r="A128" t="str">
            <v>Lucknow</v>
          </cell>
          <cell r="B128" t="str">
            <v>Mavericks</v>
          </cell>
          <cell r="C128" t="str">
            <v>Mid Level</v>
          </cell>
          <cell r="D128" t="str">
            <v>Mohammad Fakhrul</v>
          </cell>
          <cell r="E128" t="str">
            <v>-</v>
          </cell>
          <cell r="F128" t="str">
            <v>MSP</v>
          </cell>
          <cell r="H128" t="str">
            <v>Pass Through/MSP</v>
          </cell>
          <cell r="L128" t="str">
            <v>New</v>
          </cell>
          <cell r="M128">
            <v>46083</v>
          </cell>
          <cell r="N128">
            <v>119</v>
          </cell>
          <cell r="O128">
            <v>46122</v>
          </cell>
          <cell r="P128">
            <v>46448</v>
          </cell>
          <cell r="Q128" t="str">
            <v>PLC-Passthrough</v>
          </cell>
          <cell r="R128" t="str">
            <v>David Boateng</v>
          </cell>
          <cell r="S128" t="str">
            <v>Individual</v>
          </cell>
          <cell r="T128" t="str">
            <v>C2C</v>
          </cell>
          <cell r="U128" t="str">
            <v>CoForge</v>
          </cell>
          <cell r="V128">
            <v>80</v>
          </cell>
          <cell r="W128">
            <v>0</v>
          </cell>
          <cell r="X128" t="str">
            <v>USD</v>
          </cell>
          <cell r="Y128">
            <v>81</v>
          </cell>
          <cell r="Z128">
            <v>0</v>
          </cell>
          <cell r="AA128">
            <v>0</v>
          </cell>
          <cell r="AB128">
            <v>0</v>
          </cell>
          <cell r="AC128">
            <v>46096</v>
          </cell>
          <cell r="AD128">
            <v>22</v>
          </cell>
          <cell r="AE128">
            <v>46387</v>
          </cell>
          <cell r="AF128">
            <v>80</v>
          </cell>
          <cell r="AG128">
            <v>0</v>
          </cell>
          <cell r="AH128">
            <v>80</v>
          </cell>
          <cell r="AI128">
            <v>81</v>
          </cell>
          <cell r="AJ128">
            <v>0</v>
          </cell>
          <cell r="AK128">
            <v>0</v>
          </cell>
          <cell r="AL128">
            <v>1</v>
          </cell>
          <cell r="AM128">
            <v>0</v>
          </cell>
          <cell r="AN128">
            <v>1</v>
          </cell>
          <cell r="AO128">
            <v>0</v>
          </cell>
          <cell r="AP128">
            <v>1</v>
          </cell>
          <cell r="AQ128" t="str">
            <v>US_CMSP_00557</v>
          </cell>
          <cell r="AR128">
            <v>0</v>
          </cell>
          <cell r="AS128">
            <v>160</v>
          </cell>
          <cell r="AU128">
            <v>160</v>
          </cell>
          <cell r="AV128">
            <v>0</v>
          </cell>
          <cell r="AW128">
            <v>160</v>
          </cell>
          <cell r="AX128">
            <v>160</v>
          </cell>
          <cell r="AY128">
            <v>0</v>
          </cell>
          <cell r="AZ128">
            <v>160</v>
          </cell>
          <cell r="BA128">
            <v>160</v>
          </cell>
          <cell r="BB128">
            <v>160</v>
          </cell>
          <cell r="BC128">
            <v>0</v>
          </cell>
          <cell r="BD128">
            <v>0</v>
          </cell>
          <cell r="BE128">
            <v>0</v>
          </cell>
          <cell r="BG128">
            <v>160</v>
          </cell>
          <cell r="BI128">
            <v>160</v>
          </cell>
          <cell r="BJ128">
            <v>12960</v>
          </cell>
          <cell r="BK128">
            <v>12960</v>
          </cell>
          <cell r="BL128">
            <v>12800</v>
          </cell>
          <cell r="BM128">
            <v>0</v>
          </cell>
          <cell r="BN128">
            <v>0</v>
          </cell>
          <cell r="BO128">
            <v>0</v>
          </cell>
          <cell r="BP128">
            <v>12800</v>
          </cell>
          <cell r="BQ128">
            <v>0</v>
          </cell>
          <cell r="BR128">
            <v>160</v>
          </cell>
          <cell r="BS128" t="str">
            <v>Y</v>
          </cell>
          <cell r="BT128">
            <v>1</v>
          </cell>
          <cell r="BU128">
            <v>1</v>
          </cell>
          <cell r="BV128" t="str">
            <v>N</v>
          </cell>
          <cell r="BW128">
            <v>0</v>
          </cell>
          <cell r="BX128">
            <v>0</v>
          </cell>
          <cell r="BY128">
            <v>2026</v>
          </cell>
          <cell r="BZ128" t="str">
            <v>-</v>
          </cell>
          <cell r="CA128" t="str">
            <v>-</v>
          </cell>
        </row>
        <row r="129">
          <cell r="A129" t="str">
            <v>Lucknow</v>
          </cell>
          <cell r="B129" t="str">
            <v>Mavericks</v>
          </cell>
          <cell r="C129" t="str">
            <v>Mid Level</v>
          </cell>
          <cell r="D129" t="str">
            <v>Mohammad Fakhrul</v>
          </cell>
          <cell r="E129" t="str">
            <v>-</v>
          </cell>
          <cell r="F129" t="str">
            <v>MSP</v>
          </cell>
          <cell r="H129" t="str">
            <v>Pass Through/MSP</v>
          </cell>
          <cell r="J129" t="str">
            <v>ACH</v>
          </cell>
          <cell r="L129" t="str">
            <v>New</v>
          </cell>
          <cell r="M129">
            <v>46083</v>
          </cell>
          <cell r="N129">
            <v>119</v>
          </cell>
          <cell r="O129">
            <v>46122</v>
          </cell>
          <cell r="P129">
            <v>46448</v>
          </cell>
          <cell r="Q129" t="str">
            <v>PLC-Passthrough</v>
          </cell>
          <cell r="R129" t="str">
            <v>David Boateng</v>
          </cell>
          <cell r="S129" t="str">
            <v>Individual</v>
          </cell>
          <cell r="T129" t="str">
            <v>C2C</v>
          </cell>
          <cell r="U129" t="str">
            <v>CoForge</v>
          </cell>
          <cell r="V129">
            <v>80</v>
          </cell>
          <cell r="W129">
            <v>0</v>
          </cell>
          <cell r="X129" t="str">
            <v>USD</v>
          </cell>
          <cell r="Y129">
            <v>81</v>
          </cell>
          <cell r="Z129">
            <v>0</v>
          </cell>
          <cell r="AA129">
            <v>0</v>
          </cell>
          <cell r="AB129">
            <v>0</v>
          </cell>
          <cell r="AC129">
            <v>46127</v>
          </cell>
          <cell r="AD129">
            <v>22</v>
          </cell>
          <cell r="AE129">
            <v>46387</v>
          </cell>
          <cell r="AF129">
            <v>80</v>
          </cell>
          <cell r="AG129">
            <v>0</v>
          </cell>
          <cell r="AH129">
            <v>80</v>
          </cell>
          <cell r="AI129">
            <v>81</v>
          </cell>
          <cell r="AJ129">
            <v>0</v>
          </cell>
          <cell r="AK129">
            <v>0</v>
          </cell>
          <cell r="AL129">
            <v>1</v>
          </cell>
          <cell r="AM129">
            <v>0</v>
          </cell>
          <cell r="AN129">
            <v>1</v>
          </cell>
          <cell r="AO129">
            <v>0</v>
          </cell>
          <cell r="AP129">
            <v>1</v>
          </cell>
          <cell r="AQ129" t="str">
            <v>US_CMSP_00591</v>
          </cell>
          <cell r="AR129">
            <v>0</v>
          </cell>
          <cell r="AS129">
            <v>56</v>
          </cell>
          <cell r="AU129">
            <v>56</v>
          </cell>
          <cell r="AV129">
            <v>0</v>
          </cell>
          <cell r="AW129">
            <v>56</v>
          </cell>
          <cell r="AX129">
            <v>55.44</v>
          </cell>
          <cell r="AY129">
            <v>0</v>
          </cell>
          <cell r="AZ129">
            <v>56</v>
          </cell>
          <cell r="BA129">
            <v>55.44</v>
          </cell>
          <cell r="BB129">
            <v>56</v>
          </cell>
          <cell r="BC129">
            <v>0</v>
          </cell>
          <cell r="BD129">
            <v>0</v>
          </cell>
          <cell r="BE129">
            <v>0</v>
          </cell>
          <cell r="BG129">
            <v>55.44</v>
          </cell>
          <cell r="BI129">
            <v>55.44</v>
          </cell>
          <cell r="BJ129">
            <v>4536</v>
          </cell>
          <cell r="BK129">
            <v>4536</v>
          </cell>
          <cell r="BL129">
            <v>4480</v>
          </cell>
          <cell r="BM129">
            <v>0</v>
          </cell>
          <cell r="BN129">
            <v>0</v>
          </cell>
          <cell r="BO129">
            <v>0</v>
          </cell>
          <cell r="BP129">
            <v>4480</v>
          </cell>
          <cell r="BQ129">
            <v>0</v>
          </cell>
          <cell r="BR129">
            <v>56</v>
          </cell>
          <cell r="BS129" t="str">
            <v>Y</v>
          </cell>
          <cell r="BT129">
            <v>2</v>
          </cell>
          <cell r="BU129">
            <v>1</v>
          </cell>
          <cell r="BV129" t="str">
            <v>N</v>
          </cell>
          <cell r="BW129">
            <v>0</v>
          </cell>
          <cell r="BX129">
            <v>0</v>
          </cell>
          <cell r="BY129">
            <v>2026</v>
          </cell>
          <cell r="BZ129" t="str">
            <v>-</v>
          </cell>
          <cell r="CA129" t="str">
            <v>-</v>
          </cell>
        </row>
        <row r="130">
          <cell r="A130" t="str">
            <v>Lucknow</v>
          </cell>
          <cell r="B130" t="str">
            <v>Titans</v>
          </cell>
          <cell r="C130" t="str">
            <v>Mid Level</v>
          </cell>
          <cell r="D130" t="str">
            <v>Noor Beg</v>
          </cell>
          <cell r="E130" t="str">
            <v>-</v>
          </cell>
          <cell r="F130" t="str">
            <v>Non-MSP</v>
          </cell>
          <cell r="H130" t="str">
            <v>Pass Through</v>
          </cell>
          <cell r="L130" t="str">
            <v>New</v>
          </cell>
          <cell r="M130">
            <v>46042</v>
          </cell>
          <cell r="N130">
            <v>160</v>
          </cell>
          <cell r="O130">
            <v>46100</v>
          </cell>
          <cell r="P130">
            <v>46407</v>
          </cell>
          <cell r="Q130" t="str">
            <v>PLC-Passthrough</v>
          </cell>
          <cell r="R130" t="str">
            <v>Deborah Ann Davis</v>
          </cell>
          <cell r="S130" t="str">
            <v>Individual</v>
          </cell>
          <cell r="T130" t="str">
            <v>C2C</v>
          </cell>
          <cell r="U130" t="str">
            <v>Genpact</v>
          </cell>
          <cell r="V130">
            <v>150</v>
          </cell>
          <cell r="W130">
            <v>0</v>
          </cell>
          <cell r="X130" t="str">
            <v>USD</v>
          </cell>
          <cell r="Y130">
            <v>155</v>
          </cell>
          <cell r="Z130">
            <v>0</v>
          </cell>
          <cell r="AA130">
            <v>0</v>
          </cell>
          <cell r="AB130">
            <v>0</v>
          </cell>
          <cell r="AC130">
            <v>46037</v>
          </cell>
          <cell r="AD130">
            <v>8</v>
          </cell>
          <cell r="AE130">
            <v>46387</v>
          </cell>
          <cell r="AF130">
            <v>150</v>
          </cell>
          <cell r="AG130">
            <v>0</v>
          </cell>
          <cell r="AH130">
            <v>150</v>
          </cell>
          <cell r="AI130">
            <v>155</v>
          </cell>
          <cell r="AJ130">
            <v>0</v>
          </cell>
          <cell r="AK130">
            <v>0</v>
          </cell>
          <cell r="AL130">
            <v>5</v>
          </cell>
          <cell r="AM130">
            <v>0</v>
          </cell>
          <cell r="AN130">
            <v>5</v>
          </cell>
          <cell r="AO130">
            <v>0</v>
          </cell>
          <cell r="AP130">
            <v>5</v>
          </cell>
          <cell r="AQ130" t="str">
            <v>US_GB_00004</v>
          </cell>
          <cell r="AR130">
            <v>0</v>
          </cell>
          <cell r="AS130">
            <v>72</v>
          </cell>
          <cell r="AU130">
            <v>72</v>
          </cell>
          <cell r="AV130">
            <v>0</v>
          </cell>
          <cell r="AW130">
            <v>360</v>
          </cell>
          <cell r="AX130">
            <v>360</v>
          </cell>
          <cell r="AY130">
            <v>0</v>
          </cell>
          <cell r="AZ130">
            <v>360</v>
          </cell>
          <cell r="BA130">
            <v>360</v>
          </cell>
          <cell r="BB130">
            <v>360</v>
          </cell>
          <cell r="BC130">
            <v>0</v>
          </cell>
          <cell r="BD130">
            <v>0</v>
          </cell>
          <cell r="BE130">
            <v>0</v>
          </cell>
          <cell r="BG130">
            <v>360</v>
          </cell>
          <cell r="BI130">
            <v>360</v>
          </cell>
          <cell r="BJ130">
            <v>11160</v>
          </cell>
          <cell r="BK130">
            <v>11160</v>
          </cell>
          <cell r="BL130">
            <v>10800</v>
          </cell>
          <cell r="BM130">
            <v>0</v>
          </cell>
          <cell r="BN130">
            <v>0</v>
          </cell>
          <cell r="BO130">
            <v>0</v>
          </cell>
          <cell r="BP130">
            <v>10800</v>
          </cell>
          <cell r="BQ130">
            <v>0</v>
          </cell>
          <cell r="BR130">
            <v>360</v>
          </cell>
          <cell r="BS130" t="str">
            <v>Y</v>
          </cell>
          <cell r="BT130">
            <v>1</v>
          </cell>
          <cell r="BU130">
            <v>1</v>
          </cell>
          <cell r="BV130" t="str">
            <v>Y</v>
          </cell>
          <cell r="BW130">
            <v>0</v>
          </cell>
          <cell r="BX130">
            <v>0</v>
          </cell>
          <cell r="BY130">
            <v>2026</v>
          </cell>
          <cell r="BZ130" t="str">
            <v>-</v>
          </cell>
          <cell r="CA130" t="str">
            <v>-</v>
          </cell>
        </row>
        <row r="131">
          <cell r="A131" t="str">
            <v>Lucknow</v>
          </cell>
          <cell r="B131" t="str">
            <v>Titans</v>
          </cell>
          <cell r="C131" t="str">
            <v>Mid Level</v>
          </cell>
          <cell r="D131" t="str">
            <v>Noor Beg</v>
          </cell>
          <cell r="E131" t="str">
            <v>-</v>
          </cell>
          <cell r="F131" t="str">
            <v>Non-MSP</v>
          </cell>
          <cell r="H131" t="str">
            <v>Pass Through</v>
          </cell>
          <cell r="L131" t="str">
            <v>New</v>
          </cell>
          <cell r="M131">
            <v>46042</v>
          </cell>
          <cell r="N131">
            <v>160</v>
          </cell>
          <cell r="O131">
            <v>46100</v>
          </cell>
          <cell r="P131">
            <v>46407</v>
          </cell>
          <cell r="Q131" t="str">
            <v>PLC-Passthrough</v>
          </cell>
          <cell r="R131" t="str">
            <v>Deborah Ann Davis</v>
          </cell>
          <cell r="S131" t="str">
            <v>Individual</v>
          </cell>
          <cell r="T131" t="str">
            <v>C2C</v>
          </cell>
          <cell r="U131" t="str">
            <v>Genpact</v>
          </cell>
          <cell r="V131">
            <v>150</v>
          </cell>
          <cell r="W131">
            <v>0</v>
          </cell>
          <cell r="X131" t="str">
            <v>USD</v>
          </cell>
          <cell r="Y131">
            <v>155</v>
          </cell>
          <cell r="Z131">
            <v>0</v>
          </cell>
          <cell r="AA131">
            <v>0</v>
          </cell>
          <cell r="AB131">
            <v>0</v>
          </cell>
          <cell r="AC131">
            <v>46068</v>
          </cell>
          <cell r="AD131">
            <v>20</v>
          </cell>
          <cell r="AE131">
            <v>46387</v>
          </cell>
          <cell r="AF131">
            <v>150</v>
          </cell>
          <cell r="AG131">
            <v>0</v>
          </cell>
          <cell r="AH131">
            <v>150</v>
          </cell>
          <cell r="AI131">
            <v>155</v>
          </cell>
          <cell r="AJ131">
            <v>0</v>
          </cell>
          <cell r="AK131">
            <v>0</v>
          </cell>
          <cell r="AL131">
            <v>5</v>
          </cell>
          <cell r="AM131">
            <v>0</v>
          </cell>
          <cell r="AN131">
            <v>5</v>
          </cell>
          <cell r="AO131">
            <v>0</v>
          </cell>
          <cell r="AP131">
            <v>5</v>
          </cell>
          <cell r="AQ131" t="str">
            <v>US_GB_00017</v>
          </cell>
          <cell r="AR131">
            <v>0</v>
          </cell>
          <cell r="AS131">
            <v>152</v>
          </cell>
          <cell r="AU131">
            <v>152</v>
          </cell>
          <cell r="AV131">
            <v>0</v>
          </cell>
          <cell r="AW131">
            <v>760</v>
          </cell>
          <cell r="AX131">
            <v>760</v>
          </cell>
          <cell r="AY131">
            <v>0</v>
          </cell>
          <cell r="AZ131">
            <v>760</v>
          </cell>
          <cell r="BA131">
            <v>760</v>
          </cell>
          <cell r="BB131">
            <v>760</v>
          </cell>
          <cell r="BC131">
            <v>0</v>
          </cell>
          <cell r="BD131">
            <v>0</v>
          </cell>
          <cell r="BE131">
            <v>0</v>
          </cell>
          <cell r="BG131">
            <v>760</v>
          </cell>
          <cell r="BI131">
            <v>760</v>
          </cell>
          <cell r="BJ131">
            <v>23560</v>
          </cell>
          <cell r="BK131">
            <v>23560</v>
          </cell>
          <cell r="BL131">
            <v>22800</v>
          </cell>
          <cell r="BM131">
            <v>0</v>
          </cell>
          <cell r="BN131">
            <v>0</v>
          </cell>
          <cell r="BO131">
            <v>0</v>
          </cell>
          <cell r="BP131">
            <v>22800</v>
          </cell>
          <cell r="BQ131">
            <v>0</v>
          </cell>
          <cell r="BR131">
            <v>760</v>
          </cell>
          <cell r="BS131" t="str">
            <v>Y</v>
          </cell>
          <cell r="BT131">
            <v>1</v>
          </cell>
          <cell r="BU131">
            <v>1</v>
          </cell>
          <cell r="BV131" t="str">
            <v>Y</v>
          </cell>
          <cell r="BW131">
            <v>0</v>
          </cell>
          <cell r="BX131">
            <v>0</v>
          </cell>
          <cell r="BY131">
            <v>2026</v>
          </cell>
          <cell r="BZ131" t="str">
            <v>-</v>
          </cell>
          <cell r="CA131" t="str">
            <v>-</v>
          </cell>
        </row>
        <row r="132">
          <cell r="A132" t="str">
            <v>Lucknow</v>
          </cell>
          <cell r="B132" t="str">
            <v>Titans</v>
          </cell>
          <cell r="C132" t="str">
            <v>Mid Level</v>
          </cell>
          <cell r="D132" t="str">
            <v>Noor Beg</v>
          </cell>
          <cell r="E132" t="str">
            <v>-</v>
          </cell>
          <cell r="F132" t="str">
            <v>Non-MSP</v>
          </cell>
          <cell r="H132" t="str">
            <v>Pass Through</v>
          </cell>
          <cell r="L132" t="str">
            <v>New</v>
          </cell>
          <cell r="M132">
            <v>46042</v>
          </cell>
          <cell r="N132">
            <v>160</v>
          </cell>
          <cell r="O132">
            <v>46100</v>
          </cell>
          <cell r="P132">
            <v>46407</v>
          </cell>
          <cell r="Q132" t="str">
            <v>PLC-Passthrough</v>
          </cell>
          <cell r="R132" t="str">
            <v>Deborah Ann Davis</v>
          </cell>
          <cell r="S132" t="str">
            <v>Individual</v>
          </cell>
          <cell r="T132" t="str">
            <v>C2C</v>
          </cell>
          <cell r="U132" t="str">
            <v>Genpact</v>
          </cell>
          <cell r="V132">
            <v>150</v>
          </cell>
          <cell r="W132">
            <v>0</v>
          </cell>
          <cell r="X132" t="str">
            <v>USD</v>
          </cell>
          <cell r="Y132">
            <v>155</v>
          </cell>
          <cell r="Z132">
            <v>0</v>
          </cell>
          <cell r="AA132">
            <v>0</v>
          </cell>
          <cell r="AB132">
            <v>0</v>
          </cell>
          <cell r="AC132">
            <v>46096</v>
          </cell>
          <cell r="AD132">
            <v>22</v>
          </cell>
          <cell r="AE132">
            <v>46387</v>
          </cell>
          <cell r="AF132">
            <v>150</v>
          </cell>
          <cell r="AG132">
            <v>0</v>
          </cell>
          <cell r="AH132">
            <v>150</v>
          </cell>
          <cell r="AI132">
            <v>155</v>
          </cell>
          <cell r="AJ132">
            <v>0</v>
          </cell>
          <cell r="AK132">
            <v>0</v>
          </cell>
          <cell r="AL132">
            <v>5</v>
          </cell>
          <cell r="AM132">
            <v>0</v>
          </cell>
          <cell r="AN132">
            <v>5</v>
          </cell>
          <cell r="AO132">
            <v>0</v>
          </cell>
          <cell r="AP132">
            <v>5</v>
          </cell>
          <cell r="AQ132" t="str">
            <v>US_GB_00032</v>
          </cell>
          <cell r="AR132">
            <v>0</v>
          </cell>
          <cell r="AS132">
            <v>112</v>
          </cell>
          <cell r="AU132">
            <v>112</v>
          </cell>
          <cell r="AV132">
            <v>0</v>
          </cell>
          <cell r="AW132">
            <v>560</v>
          </cell>
          <cell r="AX132">
            <v>560</v>
          </cell>
          <cell r="AY132">
            <v>0</v>
          </cell>
          <cell r="AZ132">
            <v>560</v>
          </cell>
          <cell r="BA132">
            <v>560</v>
          </cell>
          <cell r="BB132">
            <v>560</v>
          </cell>
          <cell r="BC132">
            <v>0</v>
          </cell>
          <cell r="BD132">
            <v>0</v>
          </cell>
          <cell r="BE132">
            <v>0</v>
          </cell>
          <cell r="BG132">
            <v>560</v>
          </cell>
          <cell r="BI132">
            <v>560</v>
          </cell>
          <cell r="BJ132">
            <v>17360</v>
          </cell>
          <cell r="BK132">
            <v>17360</v>
          </cell>
          <cell r="BL132">
            <v>16800</v>
          </cell>
          <cell r="BM132">
            <v>0</v>
          </cell>
          <cell r="BN132">
            <v>0</v>
          </cell>
          <cell r="BO132">
            <v>0</v>
          </cell>
          <cell r="BP132">
            <v>16800</v>
          </cell>
          <cell r="BQ132">
            <v>0</v>
          </cell>
          <cell r="BR132">
            <v>560</v>
          </cell>
          <cell r="BS132" t="str">
            <v>Y</v>
          </cell>
          <cell r="BT132">
            <v>1</v>
          </cell>
          <cell r="BU132">
            <v>1</v>
          </cell>
          <cell r="BV132" t="str">
            <v>Y</v>
          </cell>
          <cell r="BW132">
            <v>0</v>
          </cell>
          <cell r="BX132">
            <v>0</v>
          </cell>
          <cell r="BY132">
            <v>2026</v>
          </cell>
          <cell r="BZ132" t="str">
            <v>-</v>
          </cell>
          <cell r="CA132" t="str">
            <v>-</v>
          </cell>
        </row>
        <row r="133">
          <cell r="A133" t="str">
            <v>Chennai</v>
          </cell>
          <cell r="B133" t="str">
            <v>Chennai</v>
          </cell>
          <cell r="C133" t="str">
            <v>Mid Level</v>
          </cell>
          <cell r="D133" t="str">
            <v>Vinoth L</v>
          </cell>
          <cell r="F133" t="str">
            <v>Non-MSP</v>
          </cell>
          <cell r="H133" t="str">
            <v>Vinoth L</v>
          </cell>
          <cell r="J133" t="str">
            <v>ACH</v>
          </cell>
          <cell r="L133" t="str">
            <v>New</v>
          </cell>
          <cell r="M133">
            <v>46170</v>
          </cell>
          <cell r="N133">
            <v>32</v>
          </cell>
          <cell r="P133">
            <v>46535</v>
          </cell>
          <cell r="R133" t="str">
            <v>Deepa Chirag Dave</v>
          </cell>
          <cell r="S133" t="str">
            <v>Individual</v>
          </cell>
          <cell r="T133" t="str">
            <v>C2C</v>
          </cell>
          <cell r="U133" t="str">
            <v>LTM</v>
          </cell>
          <cell r="V133">
            <v>70</v>
          </cell>
          <cell r="W133">
            <v>0</v>
          </cell>
          <cell r="X133" t="str">
            <v>USD</v>
          </cell>
          <cell r="Y133">
            <v>88</v>
          </cell>
          <cell r="Z133">
            <v>0</v>
          </cell>
          <cell r="AA133">
            <v>0</v>
          </cell>
          <cell r="AB133">
            <v>13</v>
          </cell>
          <cell r="AC133">
            <v>46157</v>
          </cell>
          <cell r="AD133">
            <v>2</v>
          </cell>
          <cell r="AE133">
            <v>46387</v>
          </cell>
          <cell r="AF133">
            <v>70</v>
          </cell>
          <cell r="AG133">
            <v>0</v>
          </cell>
          <cell r="AH133">
            <v>83</v>
          </cell>
          <cell r="AI133">
            <v>88</v>
          </cell>
          <cell r="AJ133">
            <v>0</v>
          </cell>
          <cell r="AK133">
            <v>0</v>
          </cell>
          <cell r="AL133">
            <v>5</v>
          </cell>
          <cell r="AM133">
            <v>0</v>
          </cell>
          <cell r="AN133">
            <v>5</v>
          </cell>
          <cell r="AO133">
            <v>0</v>
          </cell>
          <cell r="AP133">
            <v>5</v>
          </cell>
          <cell r="AQ133" t="str">
            <v>US_27987</v>
          </cell>
          <cell r="AR133">
            <v>0</v>
          </cell>
          <cell r="AS133">
            <v>16</v>
          </cell>
          <cell r="AU133">
            <v>16</v>
          </cell>
          <cell r="AV133">
            <v>0</v>
          </cell>
          <cell r="AW133">
            <v>80</v>
          </cell>
          <cell r="AX133">
            <v>79.2</v>
          </cell>
          <cell r="AY133">
            <v>0</v>
          </cell>
          <cell r="AZ133">
            <v>80</v>
          </cell>
          <cell r="BA133">
            <v>79.2</v>
          </cell>
          <cell r="BB133">
            <v>80</v>
          </cell>
          <cell r="BC133">
            <v>0</v>
          </cell>
          <cell r="BD133">
            <v>0</v>
          </cell>
          <cell r="BE133">
            <v>0</v>
          </cell>
          <cell r="BG133">
            <v>79.2</v>
          </cell>
          <cell r="BI133">
            <v>0</v>
          </cell>
          <cell r="BJ133">
            <v>1408</v>
          </cell>
          <cell r="BK133">
            <v>1408</v>
          </cell>
          <cell r="BL133">
            <v>1120</v>
          </cell>
          <cell r="BM133">
            <v>0</v>
          </cell>
          <cell r="BN133">
            <v>208</v>
          </cell>
          <cell r="BO133">
            <v>0</v>
          </cell>
          <cell r="BP133">
            <v>1328</v>
          </cell>
          <cell r="BQ133">
            <v>13</v>
          </cell>
          <cell r="BR133">
            <v>80</v>
          </cell>
          <cell r="BT133">
            <v>2</v>
          </cell>
          <cell r="BU133">
            <v>2</v>
          </cell>
          <cell r="BV133" t="str">
            <v>N</v>
          </cell>
          <cell r="BW133">
            <v>0</v>
          </cell>
          <cell r="BX133">
            <v>0</v>
          </cell>
          <cell r="BY133">
            <v>2026</v>
          </cell>
          <cell r="BZ133" t="str">
            <v>-</v>
          </cell>
          <cell r="CA133" t="str">
            <v>-</v>
          </cell>
        </row>
        <row r="134">
          <cell r="A134" t="str">
            <v>Noida</v>
          </cell>
          <cell r="B134" t="str">
            <v>Noida IT</v>
          </cell>
          <cell r="C134" t="str">
            <v>Mid Level</v>
          </cell>
          <cell r="D134" t="str">
            <v>Abdul Rahman</v>
          </cell>
          <cell r="E134" t="str">
            <v>-</v>
          </cell>
          <cell r="F134" t="str">
            <v>Non-MSP</v>
          </cell>
          <cell r="H134" t="str">
            <v>Avinay Shrivastav</v>
          </cell>
          <cell r="L134" t="str">
            <v>New</v>
          </cell>
          <cell r="M134">
            <v>46065</v>
          </cell>
          <cell r="N134">
            <v>137</v>
          </cell>
          <cell r="P134">
            <v>46430</v>
          </cell>
          <cell r="Q134" t="str">
            <v>PLC-4717</v>
          </cell>
          <cell r="R134" t="str">
            <v>Deepika Khorana</v>
          </cell>
          <cell r="S134" t="str">
            <v>Individual</v>
          </cell>
          <cell r="T134" t="str">
            <v>C2C</v>
          </cell>
          <cell r="U134" t="str">
            <v xml:space="preserve">Happiest Minds </v>
          </cell>
          <cell r="V134">
            <v>55</v>
          </cell>
          <cell r="W134">
            <v>0</v>
          </cell>
          <cell r="X134" t="str">
            <v>USD</v>
          </cell>
          <cell r="Y134">
            <v>68</v>
          </cell>
          <cell r="Z134">
            <v>0</v>
          </cell>
          <cell r="AA134">
            <v>0</v>
          </cell>
          <cell r="AB134">
            <v>3</v>
          </cell>
          <cell r="AC134">
            <v>46068</v>
          </cell>
          <cell r="AD134">
            <v>12</v>
          </cell>
          <cell r="AE134">
            <v>46387</v>
          </cell>
          <cell r="AF134">
            <v>55</v>
          </cell>
          <cell r="AG134">
            <v>0</v>
          </cell>
          <cell r="AH134">
            <v>58</v>
          </cell>
          <cell r="AI134">
            <v>68</v>
          </cell>
          <cell r="AJ134">
            <v>0</v>
          </cell>
          <cell r="AK134">
            <v>0</v>
          </cell>
          <cell r="AL134">
            <v>10</v>
          </cell>
          <cell r="AM134">
            <v>0</v>
          </cell>
          <cell r="AN134">
            <v>10</v>
          </cell>
          <cell r="AO134">
            <v>0</v>
          </cell>
          <cell r="AP134">
            <v>10</v>
          </cell>
          <cell r="AQ134" t="str">
            <v>US_27186</v>
          </cell>
          <cell r="AR134">
            <v>0</v>
          </cell>
          <cell r="AS134">
            <v>88</v>
          </cell>
          <cell r="AU134">
            <v>88</v>
          </cell>
          <cell r="AV134">
            <v>0</v>
          </cell>
          <cell r="AW134">
            <v>880</v>
          </cell>
          <cell r="AX134">
            <v>880</v>
          </cell>
          <cell r="AY134">
            <v>0</v>
          </cell>
          <cell r="AZ134">
            <v>880</v>
          </cell>
          <cell r="BA134">
            <v>880</v>
          </cell>
          <cell r="BB134">
            <v>880</v>
          </cell>
          <cell r="BC134">
            <v>0</v>
          </cell>
          <cell r="BD134">
            <v>0</v>
          </cell>
          <cell r="BE134">
            <v>0</v>
          </cell>
          <cell r="BG134">
            <v>880</v>
          </cell>
          <cell r="BI134">
            <v>880</v>
          </cell>
          <cell r="BJ134">
            <v>5984</v>
          </cell>
          <cell r="BK134">
            <v>5984</v>
          </cell>
          <cell r="BL134">
            <v>4840</v>
          </cell>
          <cell r="BM134">
            <v>0</v>
          </cell>
          <cell r="BN134">
            <v>264</v>
          </cell>
          <cell r="BO134">
            <v>0</v>
          </cell>
          <cell r="BP134">
            <v>5104</v>
          </cell>
          <cell r="BQ134">
            <v>3</v>
          </cell>
          <cell r="BR134">
            <v>880</v>
          </cell>
          <cell r="BS134" t="str">
            <v>Y</v>
          </cell>
          <cell r="BT134">
            <v>1</v>
          </cell>
          <cell r="BU134">
            <v>1</v>
          </cell>
          <cell r="BV134" t="str">
            <v>N</v>
          </cell>
          <cell r="BW134">
            <v>0</v>
          </cell>
          <cell r="BX134">
            <v>0</v>
          </cell>
          <cell r="BY134">
            <v>2026</v>
          </cell>
          <cell r="BZ134" t="str">
            <v>-</v>
          </cell>
          <cell r="CA134" t="str">
            <v>-</v>
          </cell>
        </row>
        <row r="135">
          <cell r="A135" t="str">
            <v>Noida</v>
          </cell>
          <cell r="B135" t="str">
            <v>Noida IT</v>
          </cell>
          <cell r="C135" t="str">
            <v>Mid Level</v>
          </cell>
          <cell r="D135" t="str">
            <v>Abdul Rahman</v>
          </cell>
          <cell r="E135" t="str">
            <v>-</v>
          </cell>
          <cell r="F135" t="str">
            <v>Non-MSP</v>
          </cell>
          <cell r="H135" t="str">
            <v>Avinay Shrivastav</v>
          </cell>
          <cell r="L135" t="str">
            <v>New</v>
          </cell>
          <cell r="M135">
            <v>46065</v>
          </cell>
          <cell r="N135">
            <v>137</v>
          </cell>
          <cell r="P135">
            <v>46430</v>
          </cell>
          <cell r="Q135" t="str">
            <v>PLC-4717</v>
          </cell>
          <cell r="R135" t="str">
            <v>Deepika Khorana</v>
          </cell>
          <cell r="S135" t="str">
            <v>Individual</v>
          </cell>
          <cell r="T135" t="str">
            <v>C2C</v>
          </cell>
          <cell r="U135" t="str">
            <v xml:space="preserve">Happiest Minds </v>
          </cell>
          <cell r="V135">
            <v>55</v>
          </cell>
          <cell r="W135">
            <v>0</v>
          </cell>
          <cell r="X135" t="str">
            <v>USD</v>
          </cell>
          <cell r="Y135">
            <v>68</v>
          </cell>
          <cell r="Z135">
            <v>0</v>
          </cell>
          <cell r="AA135">
            <v>0</v>
          </cell>
          <cell r="AB135">
            <v>3</v>
          </cell>
          <cell r="AC135">
            <v>46096</v>
          </cell>
          <cell r="AD135">
            <v>22</v>
          </cell>
          <cell r="AE135">
            <v>46387</v>
          </cell>
          <cell r="AF135">
            <v>55</v>
          </cell>
          <cell r="AG135">
            <v>0</v>
          </cell>
          <cell r="AH135">
            <v>58</v>
          </cell>
          <cell r="AI135">
            <v>68</v>
          </cell>
          <cell r="AJ135">
            <v>0</v>
          </cell>
          <cell r="AK135">
            <v>0</v>
          </cell>
          <cell r="AL135">
            <v>10</v>
          </cell>
          <cell r="AM135">
            <v>0</v>
          </cell>
          <cell r="AN135">
            <v>10</v>
          </cell>
          <cell r="AO135">
            <v>0</v>
          </cell>
          <cell r="AP135">
            <v>10</v>
          </cell>
          <cell r="AQ135" t="str">
            <v>US_27399</v>
          </cell>
          <cell r="AR135">
            <v>0</v>
          </cell>
          <cell r="AS135">
            <v>160</v>
          </cell>
          <cell r="AU135">
            <v>160</v>
          </cell>
          <cell r="AV135">
            <v>0</v>
          </cell>
          <cell r="AW135">
            <v>1600</v>
          </cell>
          <cell r="AX135">
            <v>1600</v>
          </cell>
          <cell r="AY135">
            <v>0</v>
          </cell>
          <cell r="AZ135">
            <v>1600</v>
          </cell>
          <cell r="BA135">
            <v>1600</v>
          </cell>
          <cell r="BB135">
            <v>1600</v>
          </cell>
          <cell r="BC135">
            <v>0</v>
          </cell>
          <cell r="BD135">
            <v>0</v>
          </cell>
          <cell r="BE135">
            <v>0</v>
          </cell>
          <cell r="BG135">
            <v>1600</v>
          </cell>
          <cell r="BI135">
            <v>1600</v>
          </cell>
          <cell r="BJ135">
            <v>10880</v>
          </cell>
          <cell r="BK135">
            <v>10880</v>
          </cell>
          <cell r="BL135">
            <v>8800</v>
          </cell>
          <cell r="BM135">
            <v>0</v>
          </cell>
          <cell r="BN135">
            <v>480</v>
          </cell>
          <cell r="BO135">
            <v>0</v>
          </cell>
          <cell r="BP135">
            <v>9280</v>
          </cell>
          <cell r="BQ135">
            <v>3</v>
          </cell>
          <cell r="BR135">
            <v>1600</v>
          </cell>
          <cell r="BS135" t="str">
            <v>Y</v>
          </cell>
          <cell r="BT135">
            <v>1</v>
          </cell>
          <cell r="BU135">
            <v>1</v>
          </cell>
          <cell r="BV135" t="str">
            <v>N</v>
          </cell>
          <cell r="BW135">
            <v>0</v>
          </cell>
          <cell r="BX135">
            <v>0</v>
          </cell>
          <cell r="BY135">
            <v>2026</v>
          </cell>
          <cell r="BZ135" t="str">
            <v>-</v>
          </cell>
          <cell r="CA135" t="str">
            <v>-</v>
          </cell>
        </row>
        <row r="136">
          <cell r="A136" t="str">
            <v>Noida</v>
          </cell>
          <cell r="B136" t="str">
            <v>Noida IT</v>
          </cell>
          <cell r="C136" t="str">
            <v>Mid Level</v>
          </cell>
          <cell r="D136" t="str">
            <v>Abdul Rahman</v>
          </cell>
          <cell r="E136" t="str">
            <v>-</v>
          </cell>
          <cell r="F136" t="str">
            <v>Non-MSP</v>
          </cell>
          <cell r="H136" t="str">
            <v>Avinay Shrivastav</v>
          </cell>
          <cell r="J136" t="str">
            <v>ACH</v>
          </cell>
          <cell r="L136" t="str">
            <v>New</v>
          </cell>
          <cell r="M136">
            <v>46065</v>
          </cell>
          <cell r="N136">
            <v>137</v>
          </cell>
          <cell r="P136">
            <v>46430</v>
          </cell>
          <cell r="Q136" t="str">
            <v>PLC-4717</v>
          </cell>
          <cell r="R136" t="str">
            <v>Deepika Khorana</v>
          </cell>
          <cell r="S136" t="str">
            <v>Individual</v>
          </cell>
          <cell r="T136" t="str">
            <v>C2C</v>
          </cell>
          <cell r="U136" t="str">
            <v xml:space="preserve">Happiest Minds </v>
          </cell>
          <cell r="V136">
            <v>55</v>
          </cell>
          <cell r="W136">
            <v>0</v>
          </cell>
          <cell r="X136" t="str">
            <v>USD</v>
          </cell>
          <cell r="Y136">
            <v>68</v>
          </cell>
          <cell r="Z136">
            <v>0</v>
          </cell>
          <cell r="AA136">
            <v>0</v>
          </cell>
          <cell r="AB136">
            <v>3</v>
          </cell>
          <cell r="AC136">
            <v>46127</v>
          </cell>
          <cell r="AD136">
            <v>22</v>
          </cell>
          <cell r="AE136">
            <v>46387</v>
          </cell>
          <cell r="AF136">
            <v>55</v>
          </cell>
          <cell r="AG136">
            <v>0</v>
          </cell>
          <cell r="AH136">
            <v>58</v>
          </cell>
          <cell r="AI136">
            <v>68</v>
          </cell>
          <cell r="AJ136">
            <v>0</v>
          </cell>
          <cell r="AK136">
            <v>0</v>
          </cell>
          <cell r="AL136">
            <v>10</v>
          </cell>
          <cell r="AM136">
            <v>0</v>
          </cell>
          <cell r="AN136">
            <v>10</v>
          </cell>
          <cell r="AO136">
            <v>0</v>
          </cell>
          <cell r="AP136">
            <v>10</v>
          </cell>
          <cell r="AQ136" t="str">
            <v>US_27632</v>
          </cell>
          <cell r="AR136">
            <v>0</v>
          </cell>
          <cell r="AS136">
            <v>160</v>
          </cell>
          <cell r="AU136">
            <v>160</v>
          </cell>
          <cell r="AV136">
            <v>0</v>
          </cell>
          <cell r="AW136">
            <v>1600</v>
          </cell>
          <cell r="AX136">
            <v>1584</v>
          </cell>
          <cell r="AY136">
            <v>0</v>
          </cell>
          <cell r="AZ136">
            <v>1600</v>
          </cell>
          <cell r="BA136">
            <v>1584</v>
          </cell>
          <cell r="BB136">
            <v>1600</v>
          </cell>
          <cell r="BC136">
            <v>0</v>
          </cell>
          <cell r="BD136">
            <v>0</v>
          </cell>
          <cell r="BE136">
            <v>0</v>
          </cell>
          <cell r="BG136">
            <v>1584</v>
          </cell>
          <cell r="BI136">
            <v>1584</v>
          </cell>
          <cell r="BJ136">
            <v>10880</v>
          </cell>
          <cell r="BK136">
            <v>10880</v>
          </cell>
          <cell r="BL136">
            <v>8800</v>
          </cell>
          <cell r="BM136">
            <v>0</v>
          </cell>
          <cell r="BN136">
            <v>480</v>
          </cell>
          <cell r="BO136">
            <v>0</v>
          </cell>
          <cell r="BP136">
            <v>9280</v>
          </cell>
          <cell r="BQ136">
            <v>3</v>
          </cell>
          <cell r="BR136">
            <v>1600</v>
          </cell>
          <cell r="BT136">
            <v>2</v>
          </cell>
          <cell r="BU136">
            <v>1</v>
          </cell>
          <cell r="BV136" t="str">
            <v>N</v>
          </cell>
          <cell r="BW136">
            <v>0</v>
          </cell>
          <cell r="BX136">
            <v>0</v>
          </cell>
          <cell r="BY136">
            <v>2026</v>
          </cell>
          <cell r="BZ136" t="str">
            <v>-</v>
          </cell>
          <cell r="CA136" t="str">
            <v>-</v>
          </cell>
        </row>
        <row r="137">
          <cell r="A137" t="str">
            <v>Noida</v>
          </cell>
          <cell r="B137" t="str">
            <v>Noida IT</v>
          </cell>
          <cell r="C137" t="str">
            <v>Mid Level</v>
          </cell>
          <cell r="D137" t="str">
            <v>Abdul Rahman</v>
          </cell>
          <cell r="E137" t="str">
            <v>-</v>
          </cell>
          <cell r="F137" t="str">
            <v>Non-MSP</v>
          </cell>
          <cell r="H137" t="str">
            <v>Avinay Shrivastav</v>
          </cell>
          <cell r="J137" t="str">
            <v>ACH</v>
          </cell>
          <cell r="L137" t="str">
            <v>New</v>
          </cell>
          <cell r="M137">
            <v>46065</v>
          </cell>
          <cell r="N137">
            <v>137</v>
          </cell>
          <cell r="P137">
            <v>46430</v>
          </cell>
          <cell r="Q137" t="str">
            <v>PLC-4717</v>
          </cell>
          <cell r="R137" t="str">
            <v>Deepika Khorana</v>
          </cell>
          <cell r="S137" t="str">
            <v>Individual</v>
          </cell>
          <cell r="T137" t="str">
            <v>C2C</v>
          </cell>
          <cell r="U137" t="str">
            <v xml:space="preserve">Happiest Minds </v>
          </cell>
          <cell r="V137">
            <v>55</v>
          </cell>
          <cell r="W137">
            <v>0</v>
          </cell>
          <cell r="X137" t="str">
            <v>USD</v>
          </cell>
          <cell r="Y137">
            <v>68</v>
          </cell>
          <cell r="Z137">
            <v>0</v>
          </cell>
          <cell r="AA137">
            <v>0</v>
          </cell>
          <cell r="AB137">
            <v>3</v>
          </cell>
          <cell r="AC137">
            <v>46157</v>
          </cell>
          <cell r="AD137">
            <v>22</v>
          </cell>
          <cell r="AE137">
            <v>46387</v>
          </cell>
          <cell r="AF137">
            <v>55</v>
          </cell>
          <cell r="AG137">
            <v>0</v>
          </cell>
          <cell r="AH137">
            <v>58</v>
          </cell>
          <cell r="AI137">
            <v>68</v>
          </cell>
          <cell r="AJ137">
            <v>0</v>
          </cell>
          <cell r="AK137">
            <v>0</v>
          </cell>
          <cell r="AL137">
            <v>10</v>
          </cell>
          <cell r="AM137">
            <v>0</v>
          </cell>
          <cell r="AN137">
            <v>10</v>
          </cell>
          <cell r="AO137">
            <v>0</v>
          </cell>
          <cell r="AP137">
            <v>10</v>
          </cell>
          <cell r="AQ137" t="str">
            <v>US_27917</v>
          </cell>
          <cell r="AR137">
            <v>0</v>
          </cell>
          <cell r="AS137">
            <v>152</v>
          </cell>
          <cell r="AU137">
            <v>152</v>
          </cell>
          <cell r="AV137">
            <v>0</v>
          </cell>
          <cell r="AW137">
            <v>1520</v>
          </cell>
          <cell r="AX137">
            <v>1504.8</v>
          </cell>
          <cell r="AY137">
            <v>0</v>
          </cell>
          <cell r="AZ137">
            <v>1520</v>
          </cell>
          <cell r="BA137">
            <v>1504.8</v>
          </cell>
          <cell r="BB137">
            <v>1520</v>
          </cell>
          <cell r="BC137">
            <v>0</v>
          </cell>
          <cell r="BD137">
            <v>0</v>
          </cell>
          <cell r="BE137">
            <v>0</v>
          </cell>
          <cell r="BG137">
            <v>1504.8</v>
          </cell>
          <cell r="BI137">
            <v>1504.8</v>
          </cell>
          <cell r="BJ137">
            <v>10336</v>
          </cell>
          <cell r="BK137">
            <v>10336</v>
          </cell>
          <cell r="BL137">
            <v>8360</v>
          </cell>
          <cell r="BM137">
            <v>0</v>
          </cell>
          <cell r="BN137">
            <v>456</v>
          </cell>
          <cell r="BO137">
            <v>0</v>
          </cell>
          <cell r="BP137">
            <v>8816</v>
          </cell>
          <cell r="BQ137">
            <v>3</v>
          </cell>
          <cell r="BR137">
            <v>1520</v>
          </cell>
          <cell r="BT137">
            <v>2</v>
          </cell>
          <cell r="BU137">
            <v>1</v>
          </cell>
          <cell r="BV137" t="str">
            <v>N</v>
          </cell>
          <cell r="BW137">
            <v>0</v>
          </cell>
          <cell r="BX137">
            <v>0</v>
          </cell>
          <cell r="BY137">
            <v>2026</v>
          </cell>
          <cell r="BZ137" t="str">
            <v>-</v>
          </cell>
          <cell r="CA137" t="str">
            <v>-</v>
          </cell>
        </row>
        <row r="138">
          <cell r="A138" t="str">
            <v>Lucknow</v>
          </cell>
          <cell r="B138" t="str">
            <v>Pioneer</v>
          </cell>
          <cell r="C138" t="str">
            <v>Mid Level</v>
          </cell>
          <cell r="D138" t="str">
            <v>Lucky Jain</v>
          </cell>
          <cell r="F138" t="str">
            <v>Non-MSP</v>
          </cell>
          <cell r="H138" t="str">
            <v>Amrit Srivastav</v>
          </cell>
          <cell r="J138" t="str">
            <v>ACH</v>
          </cell>
          <cell r="L138" t="str">
            <v>New</v>
          </cell>
          <cell r="M138">
            <v>46147</v>
          </cell>
          <cell r="N138">
            <v>55</v>
          </cell>
          <cell r="P138">
            <v>46512</v>
          </cell>
          <cell r="Q138" t="str">
            <v>PLC-4911</v>
          </cell>
          <cell r="R138" t="str">
            <v>Denise Nicole Sapio</v>
          </cell>
          <cell r="S138" t="str">
            <v>Individual</v>
          </cell>
          <cell r="T138" t="str">
            <v>W2</v>
          </cell>
          <cell r="U138" t="str">
            <v>Randstad</v>
          </cell>
          <cell r="V138">
            <v>52.37</v>
          </cell>
          <cell r="W138">
            <v>0</v>
          </cell>
          <cell r="X138" t="str">
            <v>USD</v>
          </cell>
          <cell r="Y138">
            <v>70.7</v>
          </cell>
          <cell r="Z138">
            <v>0</v>
          </cell>
          <cell r="AA138">
            <v>0</v>
          </cell>
          <cell r="AB138">
            <v>0</v>
          </cell>
          <cell r="AC138">
            <v>46157</v>
          </cell>
          <cell r="AD138">
            <v>19</v>
          </cell>
          <cell r="AE138">
            <v>46387</v>
          </cell>
          <cell r="AF138">
            <v>60.22549999999999</v>
          </cell>
          <cell r="AG138">
            <v>0</v>
          </cell>
          <cell r="AH138">
            <v>60.22549999999999</v>
          </cell>
          <cell r="AI138">
            <v>68.579000000000008</v>
          </cell>
          <cell r="AJ138">
            <v>0</v>
          </cell>
          <cell r="AK138">
            <v>0</v>
          </cell>
          <cell r="AL138">
            <v>8.3535000000000181</v>
          </cell>
          <cell r="AM138">
            <v>0</v>
          </cell>
          <cell r="AN138">
            <v>8.3535000000000181</v>
          </cell>
          <cell r="AO138">
            <v>0</v>
          </cell>
          <cell r="AP138">
            <v>8.3535000000000181</v>
          </cell>
          <cell r="AQ138" t="str">
            <v>US_27973</v>
          </cell>
          <cell r="AR138">
            <v>0</v>
          </cell>
          <cell r="AS138">
            <v>32</v>
          </cell>
          <cell r="AU138">
            <v>32</v>
          </cell>
          <cell r="AV138">
            <v>0</v>
          </cell>
          <cell r="AW138">
            <v>267.31200000000058</v>
          </cell>
          <cell r="AX138">
            <v>264.6388800000006</v>
          </cell>
          <cell r="AY138">
            <v>0</v>
          </cell>
          <cell r="AZ138">
            <v>267.31200000000058</v>
          </cell>
          <cell r="BA138">
            <v>264.6388800000006</v>
          </cell>
          <cell r="BB138">
            <v>267.31200000000058</v>
          </cell>
          <cell r="BC138">
            <v>0</v>
          </cell>
          <cell r="BD138">
            <v>0</v>
          </cell>
          <cell r="BE138">
            <v>0</v>
          </cell>
          <cell r="BG138">
            <v>264.6388800000006</v>
          </cell>
          <cell r="BI138">
            <v>0</v>
          </cell>
          <cell r="BJ138">
            <v>2262.4</v>
          </cell>
          <cell r="BK138">
            <v>2194.5280000000002</v>
          </cell>
          <cell r="BL138">
            <v>1675.84</v>
          </cell>
          <cell r="BM138">
            <v>7.8554999999999993</v>
          </cell>
          <cell r="BN138">
            <v>0</v>
          </cell>
          <cell r="BO138">
            <v>251.37599999999998</v>
          </cell>
          <cell r="BP138">
            <v>1927.2159999999999</v>
          </cell>
          <cell r="BQ138">
            <v>7.8554999999999993</v>
          </cell>
          <cell r="BR138">
            <v>267.31200000000035</v>
          </cell>
          <cell r="BS138" t="str">
            <v>Y</v>
          </cell>
          <cell r="BT138">
            <v>2</v>
          </cell>
          <cell r="BU138">
            <v>2</v>
          </cell>
          <cell r="BV138" t="str">
            <v>N</v>
          </cell>
          <cell r="BW138">
            <v>0</v>
          </cell>
          <cell r="BX138">
            <v>0</v>
          </cell>
          <cell r="BY138">
            <v>2026</v>
          </cell>
          <cell r="BZ138" t="str">
            <v>-</v>
          </cell>
          <cell r="CA138" t="str">
            <v>-</v>
          </cell>
        </row>
        <row r="139">
          <cell r="A139" t="str">
            <v>Lucknow</v>
          </cell>
          <cell r="B139" t="str">
            <v>Mavericks</v>
          </cell>
          <cell r="C139" t="str">
            <v>Mid Level</v>
          </cell>
          <cell r="D139" t="str">
            <v>Mohammad Fakhrul</v>
          </cell>
          <cell r="E139" t="str">
            <v>-</v>
          </cell>
          <cell r="F139" t="str">
            <v>MSP</v>
          </cell>
          <cell r="H139" t="str">
            <v>Pass Through/MSP</v>
          </cell>
          <cell r="J139" t="str">
            <v>ACH</v>
          </cell>
          <cell r="L139" t="str">
            <v>New</v>
          </cell>
          <cell r="M139">
            <v>46119</v>
          </cell>
          <cell r="N139">
            <v>83</v>
          </cell>
          <cell r="O139">
            <v>46148</v>
          </cell>
          <cell r="P139">
            <v>46484</v>
          </cell>
          <cell r="Q139" t="str">
            <v>PLC-Passthrough</v>
          </cell>
          <cell r="R139" t="str">
            <v>Dheeraj Kumar Salke</v>
          </cell>
          <cell r="S139" t="str">
            <v>Individual</v>
          </cell>
          <cell r="T139" t="str">
            <v>C2C</v>
          </cell>
          <cell r="U139" t="str">
            <v>CoForge</v>
          </cell>
          <cell r="V139">
            <v>75</v>
          </cell>
          <cell r="W139">
            <v>0</v>
          </cell>
          <cell r="X139" t="str">
            <v>USD</v>
          </cell>
          <cell r="Y139">
            <v>76</v>
          </cell>
          <cell r="Z139">
            <v>0</v>
          </cell>
          <cell r="AA139">
            <v>0</v>
          </cell>
          <cell r="AB139">
            <v>0</v>
          </cell>
          <cell r="AC139">
            <v>46127</v>
          </cell>
          <cell r="AD139">
            <v>18</v>
          </cell>
          <cell r="AE139">
            <v>46387</v>
          </cell>
          <cell r="AF139">
            <v>75</v>
          </cell>
          <cell r="AG139">
            <v>0</v>
          </cell>
          <cell r="AH139">
            <v>75</v>
          </cell>
          <cell r="AI139">
            <v>76</v>
          </cell>
          <cell r="AJ139">
            <v>0</v>
          </cell>
          <cell r="AK139">
            <v>0</v>
          </cell>
          <cell r="AL139">
            <v>1</v>
          </cell>
          <cell r="AM139">
            <v>0</v>
          </cell>
          <cell r="AN139">
            <v>1</v>
          </cell>
          <cell r="AO139">
            <v>0</v>
          </cell>
          <cell r="AP139">
            <v>1</v>
          </cell>
          <cell r="AQ139" t="str">
            <v>US_CMSP_00732</v>
          </cell>
          <cell r="AR139">
            <v>0</v>
          </cell>
          <cell r="AS139">
            <v>120</v>
          </cell>
          <cell r="AU139">
            <v>120</v>
          </cell>
          <cell r="AV139">
            <v>0</v>
          </cell>
          <cell r="AW139">
            <v>120</v>
          </cell>
          <cell r="AX139">
            <v>118.8</v>
          </cell>
          <cell r="AY139">
            <v>0</v>
          </cell>
          <cell r="AZ139">
            <v>120</v>
          </cell>
          <cell r="BA139">
            <v>118.8</v>
          </cell>
          <cell r="BB139">
            <v>120</v>
          </cell>
          <cell r="BC139">
            <v>0</v>
          </cell>
          <cell r="BD139">
            <v>0</v>
          </cell>
          <cell r="BE139">
            <v>0</v>
          </cell>
          <cell r="BG139">
            <v>118.8</v>
          </cell>
          <cell r="BI139">
            <v>0</v>
          </cell>
          <cell r="BJ139">
            <v>9120</v>
          </cell>
          <cell r="BK139">
            <v>9120</v>
          </cell>
          <cell r="BL139">
            <v>9000</v>
          </cell>
          <cell r="BM139">
            <v>0</v>
          </cell>
          <cell r="BN139">
            <v>0</v>
          </cell>
          <cell r="BO139">
            <v>0</v>
          </cell>
          <cell r="BP139">
            <v>9000</v>
          </cell>
          <cell r="BQ139">
            <v>0</v>
          </cell>
          <cell r="BR139">
            <v>120</v>
          </cell>
          <cell r="BT139">
            <v>2</v>
          </cell>
          <cell r="BU139">
            <v>2</v>
          </cell>
          <cell r="BV139" t="str">
            <v>N</v>
          </cell>
          <cell r="BW139">
            <v>0</v>
          </cell>
          <cell r="BX139">
            <v>0</v>
          </cell>
          <cell r="BY139">
            <v>2026</v>
          </cell>
          <cell r="BZ139" t="str">
            <v>-</v>
          </cell>
          <cell r="CA139" t="str">
            <v>-</v>
          </cell>
        </row>
        <row r="140">
          <cell r="A140" t="str">
            <v>Lucknow</v>
          </cell>
          <cell r="B140" t="str">
            <v>Mavericks</v>
          </cell>
          <cell r="C140" t="str">
            <v>Mid Level</v>
          </cell>
          <cell r="D140" t="str">
            <v>Mohammad Fakhrul</v>
          </cell>
          <cell r="E140" t="str">
            <v>-</v>
          </cell>
          <cell r="F140" t="str">
            <v>MSP</v>
          </cell>
          <cell r="H140" t="str">
            <v>Pass Through/MSP</v>
          </cell>
          <cell r="J140" t="str">
            <v>ACH</v>
          </cell>
          <cell r="L140" t="str">
            <v>New</v>
          </cell>
          <cell r="M140">
            <v>46119</v>
          </cell>
          <cell r="N140">
            <v>83</v>
          </cell>
          <cell r="O140">
            <v>46148</v>
          </cell>
          <cell r="P140">
            <v>46484</v>
          </cell>
          <cell r="Q140" t="str">
            <v>PLC-Passthrough</v>
          </cell>
          <cell r="R140" t="str">
            <v>Dheeraj Kumar Salke</v>
          </cell>
          <cell r="S140" t="str">
            <v>Individual</v>
          </cell>
          <cell r="T140" t="str">
            <v>C2C</v>
          </cell>
          <cell r="U140" t="str">
            <v>CoForge</v>
          </cell>
          <cell r="V140">
            <v>75</v>
          </cell>
          <cell r="W140">
            <v>0</v>
          </cell>
          <cell r="X140" t="str">
            <v>USD</v>
          </cell>
          <cell r="Y140">
            <v>76</v>
          </cell>
          <cell r="Z140">
            <v>0</v>
          </cell>
          <cell r="AA140">
            <v>0</v>
          </cell>
          <cell r="AB140">
            <v>0</v>
          </cell>
          <cell r="AC140">
            <v>46157</v>
          </cell>
          <cell r="AD140">
            <v>18</v>
          </cell>
          <cell r="AE140">
            <v>46387</v>
          </cell>
          <cell r="AF140">
            <v>75</v>
          </cell>
          <cell r="AG140">
            <v>0</v>
          </cell>
          <cell r="AH140">
            <v>75</v>
          </cell>
          <cell r="AI140">
            <v>76</v>
          </cell>
          <cell r="AJ140">
            <v>0</v>
          </cell>
          <cell r="AK140">
            <v>0</v>
          </cell>
          <cell r="AL140">
            <v>1</v>
          </cell>
          <cell r="AM140">
            <v>0</v>
          </cell>
          <cell r="AN140">
            <v>1</v>
          </cell>
          <cell r="AO140">
            <v>0</v>
          </cell>
          <cell r="AP140">
            <v>1</v>
          </cell>
          <cell r="AQ140" t="str">
            <v>US_CMSP_00874</v>
          </cell>
          <cell r="AR140">
            <v>0</v>
          </cell>
          <cell r="AS140">
            <v>32</v>
          </cell>
          <cell r="AU140">
            <v>32</v>
          </cell>
          <cell r="AV140">
            <v>0</v>
          </cell>
          <cell r="AW140">
            <v>32</v>
          </cell>
          <cell r="AX140">
            <v>31.68</v>
          </cell>
          <cell r="AY140">
            <v>0</v>
          </cell>
          <cell r="AZ140">
            <v>32</v>
          </cell>
          <cell r="BA140">
            <v>31.68</v>
          </cell>
          <cell r="BB140">
            <v>32</v>
          </cell>
          <cell r="BC140">
            <v>0</v>
          </cell>
          <cell r="BD140">
            <v>0</v>
          </cell>
          <cell r="BE140">
            <v>0</v>
          </cell>
          <cell r="BG140">
            <v>31.68</v>
          </cell>
          <cell r="BI140">
            <v>0</v>
          </cell>
          <cell r="BJ140">
            <v>2432</v>
          </cell>
          <cell r="BK140">
            <v>2432</v>
          </cell>
          <cell r="BL140">
            <v>2400</v>
          </cell>
          <cell r="BM140">
            <v>0</v>
          </cell>
          <cell r="BN140">
            <v>0</v>
          </cell>
          <cell r="BO140">
            <v>0</v>
          </cell>
          <cell r="BP140">
            <v>2400</v>
          </cell>
          <cell r="BQ140">
            <v>0</v>
          </cell>
          <cell r="BR140">
            <v>32</v>
          </cell>
          <cell r="BT140">
            <v>2</v>
          </cell>
          <cell r="BU140">
            <v>2</v>
          </cell>
          <cell r="BV140" t="str">
            <v>N</v>
          </cell>
          <cell r="BW140">
            <v>0</v>
          </cell>
          <cell r="BX140">
            <v>0</v>
          </cell>
          <cell r="BY140">
            <v>2026</v>
          </cell>
          <cell r="BZ140" t="str">
            <v>-</v>
          </cell>
          <cell r="CA140" t="str">
            <v>-</v>
          </cell>
        </row>
        <row r="141">
          <cell r="A141" t="str">
            <v>Lucknow</v>
          </cell>
          <cell r="B141" t="str">
            <v>Titans</v>
          </cell>
          <cell r="C141" t="str">
            <v>Mid Level</v>
          </cell>
          <cell r="D141" t="str">
            <v>Aditya Yadav</v>
          </cell>
          <cell r="E141" t="str">
            <v>-</v>
          </cell>
          <cell r="F141" t="str">
            <v>Non-MSP</v>
          </cell>
          <cell r="H141" t="str">
            <v>Aastha Tiwari</v>
          </cell>
          <cell r="L141" t="str">
            <v>New</v>
          </cell>
          <cell r="M141">
            <v>46104</v>
          </cell>
          <cell r="N141">
            <v>98</v>
          </cell>
          <cell r="P141">
            <v>46469</v>
          </cell>
          <cell r="Q141" t="str">
            <v>PLC-4796</v>
          </cell>
          <cell r="R141" t="str">
            <v>Diony Aponte</v>
          </cell>
          <cell r="S141" t="str">
            <v>Individual</v>
          </cell>
          <cell r="T141" t="str">
            <v>FTE</v>
          </cell>
          <cell r="U141" t="str">
            <v>Cyient</v>
          </cell>
          <cell r="V141">
            <v>0</v>
          </cell>
          <cell r="W141">
            <v>0</v>
          </cell>
          <cell r="X141" t="str">
            <v>USD</v>
          </cell>
          <cell r="Y141">
            <v>4500</v>
          </cell>
          <cell r="Z141">
            <v>0</v>
          </cell>
          <cell r="AA141">
            <v>0</v>
          </cell>
          <cell r="AB141">
            <v>0</v>
          </cell>
          <cell r="AC141">
            <v>46096</v>
          </cell>
          <cell r="AD141">
            <v>1</v>
          </cell>
          <cell r="AE141">
            <v>46387</v>
          </cell>
          <cell r="AF141">
            <v>0</v>
          </cell>
          <cell r="AG141">
            <v>0</v>
          </cell>
          <cell r="AH141">
            <v>0</v>
          </cell>
          <cell r="AI141">
            <v>4500</v>
          </cell>
          <cell r="AJ141">
            <v>0</v>
          </cell>
          <cell r="AK141">
            <v>0</v>
          </cell>
          <cell r="AL141">
            <v>4500</v>
          </cell>
          <cell r="AM141">
            <v>0</v>
          </cell>
          <cell r="AN141">
            <v>4500</v>
          </cell>
          <cell r="AO141">
            <v>0</v>
          </cell>
          <cell r="AP141">
            <v>4500</v>
          </cell>
          <cell r="AU141">
            <v>1</v>
          </cell>
          <cell r="BB141">
            <v>4500</v>
          </cell>
          <cell r="BC141">
            <v>0</v>
          </cell>
          <cell r="BD141">
            <v>0</v>
          </cell>
          <cell r="BE141">
            <v>0</v>
          </cell>
          <cell r="BK141">
            <v>4500</v>
          </cell>
          <cell r="BL141">
            <v>0</v>
          </cell>
          <cell r="BM141">
            <v>0</v>
          </cell>
          <cell r="BN141">
            <v>0</v>
          </cell>
          <cell r="BO141">
            <v>0</v>
          </cell>
          <cell r="BP141">
            <v>0</v>
          </cell>
          <cell r="BQ141">
            <v>0</v>
          </cell>
          <cell r="BR141">
            <v>4500</v>
          </cell>
          <cell r="BT141">
            <v>1</v>
          </cell>
          <cell r="BU141">
            <v>1</v>
          </cell>
          <cell r="BV141" t="str">
            <v>Y</v>
          </cell>
          <cell r="BW141">
            <v>0</v>
          </cell>
          <cell r="BX141">
            <v>0</v>
          </cell>
          <cell r="BY141">
            <v>2026</v>
          </cell>
          <cell r="BZ141" t="str">
            <v>-</v>
          </cell>
          <cell r="CA141" t="str">
            <v>-</v>
          </cell>
        </row>
        <row r="142">
          <cell r="A142" t="str">
            <v>Lucknow</v>
          </cell>
          <cell r="B142" t="str">
            <v>Mavericks</v>
          </cell>
          <cell r="C142" t="str">
            <v>Mid Level</v>
          </cell>
          <cell r="D142" t="str">
            <v>Rohit Gupta</v>
          </cell>
          <cell r="E142" t="str">
            <v>Yogesh Bisht</v>
          </cell>
          <cell r="F142" t="str">
            <v>Non-MSP</v>
          </cell>
          <cell r="H142" t="str">
            <v>Nilesh Shahi</v>
          </cell>
          <cell r="J142" t="str">
            <v>ACH</v>
          </cell>
          <cell r="L142" t="str">
            <v>New</v>
          </cell>
          <cell r="M142">
            <v>46170</v>
          </cell>
          <cell r="N142">
            <v>32</v>
          </cell>
          <cell r="P142">
            <v>46535</v>
          </cell>
          <cell r="R142" t="str">
            <v>Divya Ranjeeth Jasti</v>
          </cell>
          <cell r="S142" t="str">
            <v>Individual</v>
          </cell>
          <cell r="T142" t="str">
            <v>C2C</v>
          </cell>
          <cell r="U142" t="str">
            <v>Mphasis</v>
          </cell>
          <cell r="V142">
            <v>64</v>
          </cell>
          <cell r="W142">
            <v>0</v>
          </cell>
          <cell r="X142" t="str">
            <v>USD</v>
          </cell>
          <cell r="Y142">
            <v>67</v>
          </cell>
          <cell r="Z142">
            <v>0</v>
          </cell>
          <cell r="AA142">
            <v>0</v>
          </cell>
          <cell r="AB142">
            <v>0</v>
          </cell>
          <cell r="AC142">
            <v>46157</v>
          </cell>
          <cell r="AD142">
            <v>2</v>
          </cell>
          <cell r="AE142">
            <v>46387</v>
          </cell>
          <cell r="AF142">
            <v>64</v>
          </cell>
          <cell r="AG142">
            <v>0</v>
          </cell>
          <cell r="AH142">
            <v>64</v>
          </cell>
          <cell r="AI142">
            <v>67</v>
          </cell>
          <cell r="AJ142">
            <v>0</v>
          </cell>
          <cell r="AK142">
            <v>0</v>
          </cell>
          <cell r="AL142">
            <v>3</v>
          </cell>
          <cell r="AM142">
            <v>0</v>
          </cell>
          <cell r="AN142">
            <v>3</v>
          </cell>
          <cell r="AO142">
            <v>0</v>
          </cell>
          <cell r="AP142">
            <v>3</v>
          </cell>
          <cell r="AQ142" t="str">
            <v>US_27980</v>
          </cell>
          <cell r="AR142">
            <v>0</v>
          </cell>
          <cell r="AS142">
            <v>16</v>
          </cell>
          <cell r="AU142">
            <v>16</v>
          </cell>
          <cell r="AV142">
            <v>0</v>
          </cell>
          <cell r="AW142">
            <v>48</v>
          </cell>
          <cell r="AX142">
            <v>47.519999999999996</v>
          </cell>
          <cell r="AY142">
            <v>0</v>
          </cell>
          <cell r="AZ142">
            <v>48</v>
          </cell>
          <cell r="BA142">
            <v>47.519999999999996</v>
          </cell>
          <cell r="BB142">
            <v>48</v>
          </cell>
          <cell r="BC142">
            <v>50</v>
          </cell>
          <cell r="BD142">
            <v>62.726399999999991</v>
          </cell>
          <cell r="BE142">
            <v>62.726399999999991</v>
          </cell>
          <cell r="BG142">
            <v>47.519999999999996</v>
          </cell>
          <cell r="BI142">
            <v>0</v>
          </cell>
          <cell r="BJ142">
            <v>1072</v>
          </cell>
          <cell r="BK142">
            <v>1072</v>
          </cell>
          <cell r="BL142">
            <v>1024</v>
          </cell>
          <cell r="BM142">
            <v>0</v>
          </cell>
          <cell r="BN142">
            <v>0</v>
          </cell>
          <cell r="BO142">
            <v>0</v>
          </cell>
          <cell r="BP142">
            <v>1024</v>
          </cell>
          <cell r="BQ142">
            <v>0</v>
          </cell>
          <cell r="BR142">
            <v>48</v>
          </cell>
          <cell r="BT142">
            <v>2</v>
          </cell>
          <cell r="BU142">
            <v>2</v>
          </cell>
          <cell r="BV142" t="str">
            <v>N</v>
          </cell>
          <cell r="BW142">
            <v>125.45279999999998</v>
          </cell>
          <cell r="BX142">
            <v>125.45279999999998</v>
          </cell>
          <cell r="BY142">
            <v>2026</v>
          </cell>
          <cell r="BZ142" t="str">
            <v>-</v>
          </cell>
          <cell r="CA142" t="str">
            <v>-</v>
          </cell>
        </row>
        <row r="143">
          <cell r="A143" t="str">
            <v>Lucknow</v>
          </cell>
          <cell r="B143" t="str">
            <v>Mavericks</v>
          </cell>
          <cell r="C143" t="str">
            <v>Mid Level</v>
          </cell>
          <cell r="D143" t="str">
            <v>Mohammad Fakhrul</v>
          </cell>
          <cell r="E143" t="str">
            <v>-</v>
          </cell>
          <cell r="F143" t="str">
            <v>MSP</v>
          </cell>
          <cell r="H143" t="str">
            <v>Pass Through/MSP</v>
          </cell>
          <cell r="L143" t="str">
            <v>New</v>
          </cell>
          <cell r="M143">
            <v>46082</v>
          </cell>
          <cell r="N143">
            <v>120</v>
          </cell>
          <cell r="P143">
            <v>46447</v>
          </cell>
          <cell r="Q143" t="str">
            <v>PLC-Passthrough</v>
          </cell>
          <cell r="R143" t="str">
            <v>Divya Thiruvarangam</v>
          </cell>
          <cell r="S143" t="str">
            <v>Individual</v>
          </cell>
          <cell r="T143" t="str">
            <v>C2C</v>
          </cell>
          <cell r="U143" t="str">
            <v>Cigniti</v>
          </cell>
          <cell r="V143">
            <v>76</v>
          </cell>
          <cell r="W143">
            <v>0</v>
          </cell>
          <cell r="X143" t="str">
            <v>USD</v>
          </cell>
          <cell r="Y143">
            <v>76</v>
          </cell>
          <cell r="Z143">
            <v>0</v>
          </cell>
          <cell r="AA143">
            <v>0</v>
          </cell>
          <cell r="AB143">
            <v>0</v>
          </cell>
          <cell r="AC143">
            <v>46096</v>
          </cell>
          <cell r="AD143">
            <v>22</v>
          </cell>
          <cell r="AE143">
            <v>46387</v>
          </cell>
          <cell r="AF143">
            <v>76</v>
          </cell>
          <cell r="AG143">
            <v>0</v>
          </cell>
          <cell r="AH143">
            <v>76</v>
          </cell>
          <cell r="AI143">
            <v>76</v>
          </cell>
          <cell r="AJ143">
            <v>0</v>
          </cell>
          <cell r="AK143">
            <v>0</v>
          </cell>
          <cell r="AL143">
            <v>0</v>
          </cell>
          <cell r="AM143">
            <v>0</v>
          </cell>
          <cell r="AN143">
            <v>0</v>
          </cell>
          <cell r="AO143">
            <v>0</v>
          </cell>
          <cell r="AP143">
            <v>0</v>
          </cell>
          <cell r="AQ143" t="str">
            <v>US_CMSP_00553</v>
          </cell>
          <cell r="AR143">
            <v>0</v>
          </cell>
          <cell r="AS143">
            <v>136</v>
          </cell>
          <cell r="AU143">
            <v>136</v>
          </cell>
          <cell r="AV143">
            <v>0</v>
          </cell>
          <cell r="AW143">
            <v>0</v>
          </cell>
          <cell r="AX143">
            <v>0</v>
          </cell>
          <cell r="AY143">
            <v>0</v>
          </cell>
          <cell r="AZ143">
            <v>0</v>
          </cell>
          <cell r="BA143">
            <v>0</v>
          </cell>
          <cell r="BB143">
            <v>0</v>
          </cell>
          <cell r="BC143">
            <v>0</v>
          </cell>
          <cell r="BD143">
            <v>0</v>
          </cell>
          <cell r="BE143">
            <v>0</v>
          </cell>
          <cell r="BG143">
            <v>0</v>
          </cell>
          <cell r="BI143">
            <v>0</v>
          </cell>
          <cell r="BJ143">
            <v>10336</v>
          </cell>
          <cell r="BK143">
            <v>10336</v>
          </cell>
          <cell r="BL143">
            <v>10336</v>
          </cell>
          <cell r="BM143">
            <v>0</v>
          </cell>
          <cell r="BN143">
            <v>0</v>
          </cell>
          <cell r="BO143">
            <v>0</v>
          </cell>
          <cell r="BP143">
            <v>10336</v>
          </cell>
          <cell r="BQ143">
            <v>0</v>
          </cell>
          <cell r="BR143">
            <v>0</v>
          </cell>
          <cell r="BS143" t="str">
            <v>Y</v>
          </cell>
          <cell r="BT143">
            <v>1</v>
          </cell>
          <cell r="BU143">
            <v>1</v>
          </cell>
          <cell r="BV143" t="str">
            <v>N</v>
          </cell>
          <cell r="BW143">
            <v>0</v>
          </cell>
          <cell r="BX143">
            <v>0</v>
          </cell>
          <cell r="BY143">
            <v>2026</v>
          </cell>
          <cell r="BZ143" t="str">
            <v>-</v>
          </cell>
          <cell r="CA143" t="str">
            <v>-</v>
          </cell>
        </row>
        <row r="144">
          <cell r="A144" t="str">
            <v>Lucknow</v>
          </cell>
          <cell r="B144" t="str">
            <v>Mavericks</v>
          </cell>
          <cell r="C144" t="str">
            <v>Mid Level</v>
          </cell>
          <cell r="D144" t="str">
            <v>Mohammad Fakhrul</v>
          </cell>
          <cell r="E144" t="str">
            <v>-</v>
          </cell>
          <cell r="F144" t="str">
            <v>MSP</v>
          </cell>
          <cell r="H144" t="str">
            <v>Pass Through/MSP</v>
          </cell>
          <cell r="J144" t="str">
            <v>ACH</v>
          </cell>
          <cell r="L144" t="str">
            <v>New</v>
          </cell>
          <cell r="M144">
            <v>46082</v>
          </cell>
          <cell r="N144">
            <v>120</v>
          </cell>
          <cell r="P144">
            <v>46447</v>
          </cell>
          <cell r="Q144" t="str">
            <v>PLC-Passthrough</v>
          </cell>
          <cell r="R144" t="str">
            <v>Divya Thiruvarangam</v>
          </cell>
          <cell r="S144" t="str">
            <v>Individual</v>
          </cell>
          <cell r="T144" t="str">
            <v>C2C</v>
          </cell>
          <cell r="U144" t="str">
            <v>Cigniti</v>
          </cell>
          <cell r="V144">
            <v>76</v>
          </cell>
          <cell r="W144">
            <v>0</v>
          </cell>
          <cell r="X144" t="str">
            <v>USD</v>
          </cell>
          <cell r="Y144">
            <v>76</v>
          </cell>
          <cell r="Z144">
            <v>0</v>
          </cell>
          <cell r="AA144">
            <v>0</v>
          </cell>
          <cell r="AB144">
            <v>0</v>
          </cell>
          <cell r="AC144">
            <v>46127</v>
          </cell>
          <cell r="AD144">
            <v>22</v>
          </cell>
          <cell r="AE144">
            <v>46387</v>
          </cell>
          <cell r="AF144">
            <v>76</v>
          </cell>
          <cell r="AG144">
            <v>0</v>
          </cell>
          <cell r="AH144">
            <v>76</v>
          </cell>
          <cell r="AI144">
            <v>76</v>
          </cell>
          <cell r="AJ144">
            <v>0</v>
          </cell>
          <cell r="AK144">
            <v>0</v>
          </cell>
          <cell r="AL144">
            <v>0</v>
          </cell>
          <cell r="AM144">
            <v>0</v>
          </cell>
          <cell r="AN144">
            <v>0</v>
          </cell>
          <cell r="AO144">
            <v>0</v>
          </cell>
          <cell r="AP144">
            <v>0</v>
          </cell>
          <cell r="AQ144" t="str">
            <v>US_CMSP_00700</v>
          </cell>
          <cell r="AR144">
            <v>0</v>
          </cell>
          <cell r="AS144">
            <v>176</v>
          </cell>
          <cell r="AU144">
            <v>176</v>
          </cell>
          <cell r="AV144">
            <v>0</v>
          </cell>
          <cell r="AW144">
            <v>0</v>
          </cell>
          <cell r="AX144">
            <v>0</v>
          </cell>
          <cell r="AY144">
            <v>0</v>
          </cell>
          <cell r="AZ144">
            <v>0</v>
          </cell>
          <cell r="BA144">
            <v>0</v>
          </cell>
          <cell r="BB144">
            <v>0</v>
          </cell>
          <cell r="BC144">
            <v>0</v>
          </cell>
          <cell r="BD144">
            <v>0</v>
          </cell>
          <cell r="BE144">
            <v>0</v>
          </cell>
          <cell r="BG144">
            <v>0</v>
          </cell>
          <cell r="BI144">
            <v>0</v>
          </cell>
          <cell r="BJ144">
            <v>13376</v>
          </cell>
          <cell r="BK144">
            <v>13376</v>
          </cell>
          <cell r="BL144">
            <v>13376</v>
          </cell>
          <cell r="BM144">
            <v>0</v>
          </cell>
          <cell r="BN144">
            <v>0</v>
          </cell>
          <cell r="BO144">
            <v>0</v>
          </cell>
          <cell r="BP144">
            <v>13376</v>
          </cell>
          <cell r="BQ144">
            <v>0</v>
          </cell>
          <cell r="BR144">
            <v>0</v>
          </cell>
          <cell r="BT144">
            <v>2</v>
          </cell>
          <cell r="BU144">
            <v>1</v>
          </cell>
          <cell r="BV144" t="str">
            <v>N</v>
          </cell>
          <cell r="BW144">
            <v>0</v>
          </cell>
          <cell r="BX144">
            <v>0</v>
          </cell>
          <cell r="BY144">
            <v>2026</v>
          </cell>
          <cell r="BZ144" t="str">
            <v>-</v>
          </cell>
          <cell r="CA144" t="str">
            <v>-</v>
          </cell>
        </row>
        <row r="145">
          <cell r="A145" t="str">
            <v>Lucknow</v>
          </cell>
          <cell r="B145" t="str">
            <v>Mavericks</v>
          </cell>
          <cell r="C145" t="str">
            <v>Mid Level</v>
          </cell>
          <cell r="D145" t="str">
            <v>Mohammad Fakhrul</v>
          </cell>
          <cell r="E145" t="str">
            <v>-</v>
          </cell>
          <cell r="F145" t="str">
            <v>MSP</v>
          </cell>
          <cell r="H145" t="str">
            <v>Pass Through/MSP</v>
          </cell>
          <cell r="J145" t="str">
            <v>ACH</v>
          </cell>
          <cell r="L145" t="str">
            <v>New</v>
          </cell>
          <cell r="M145">
            <v>46082</v>
          </cell>
          <cell r="N145">
            <v>120</v>
          </cell>
          <cell r="P145">
            <v>46447</v>
          </cell>
          <cell r="Q145" t="str">
            <v>PLC-Passthrough</v>
          </cell>
          <cell r="R145" t="str">
            <v>Divya Thiruvarangam</v>
          </cell>
          <cell r="S145" t="str">
            <v>Individual</v>
          </cell>
          <cell r="T145" t="str">
            <v>C2C</v>
          </cell>
          <cell r="U145" t="str">
            <v>Cigniti</v>
          </cell>
          <cell r="V145">
            <v>76</v>
          </cell>
          <cell r="W145">
            <v>0</v>
          </cell>
          <cell r="X145" t="str">
            <v>USD</v>
          </cell>
          <cell r="Y145">
            <v>76</v>
          </cell>
          <cell r="Z145">
            <v>0</v>
          </cell>
          <cell r="AA145">
            <v>0</v>
          </cell>
          <cell r="AB145">
            <v>0</v>
          </cell>
          <cell r="AC145">
            <v>46157</v>
          </cell>
          <cell r="AD145">
            <v>22</v>
          </cell>
          <cell r="AE145">
            <v>46387</v>
          </cell>
          <cell r="AF145">
            <v>76</v>
          </cell>
          <cell r="AG145">
            <v>0</v>
          </cell>
          <cell r="AH145">
            <v>76</v>
          </cell>
          <cell r="AI145">
            <v>76</v>
          </cell>
          <cell r="AJ145">
            <v>0</v>
          </cell>
          <cell r="AK145">
            <v>0</v>
          </cell>
          <cell r="AL145">
            <v>0</v>
          </cell>
          <cell r="AM145">
            <v>0</v>
          </cell>
          <cell r="AN145">
            <v>0</v>
          </cell>
          <cell r="AO145">
            <v>0</v>
          </cell>
          <cell r="AP145">
            <v>0</v>
          </cell>
          <cell r="AQ145" t="str">
            <v>US_CMSP_00860</v>
          </cell>
          <cell r="AR145">
            <v>0</v>
          </cell>
          <cell r="AS145">
            <v>160</v>
          </cell>
          <cell r="AU145">
            <v>160</v>
          </cell>
          <cell r="AV145">
            <v>0</v>
          </cell>
          <cell r="AW145">
            <v>0</v>
          </cell>
          <cell r="AX145">
            <v>0</v>
          </cell>
          <cell r="AY145">
            <v>0</v>
          </cell>
          <cell r="AZ145">
            <v>0</v>
          </cell>
          <cell r="BA145">
            <v>0</v>
          </cell>
          <cell r="BB145">
            <v>0</v>
          </cell>
          <cell r="BC145">
            <v>0</v>
          </cell>
          <cell r="BD145">
            <v>0</v>
          </cell>
          <cell r="BE145">
            <v>0</v>
          </cell>
          <cell r="BG145">
            <v>0</v>
          </cell>
          <cell r="BI145">
            <v>0</v>
          </cell>
          <cell r="BJ145">
            <v>12160</v>
          </cell>
          <cell r="BK145">
            <v>12160</v>
          </cell>
          <cell r="BL145">
            <v>12160</v>
          </cell>
          <cell r="BM145">
            <v>0</v>
          </cell>
          <cell r="BN145">
            <v>0</v>
          </cell>
          <cell r="BO145">
            <v>0</v>
          </cell>
          <cell r="BP145">
            <v>12160</v>
          </cell>
          <cell r="BQ145">
            <v>0</v>
          </cell>
          <cell r="BR145">
            <v>0</v>
          </cell>
          <cell r="BT145">
            <v>2</v>
          </cell>
          <cell r="BU145">
            <v>1</v>
          </cell>
          <cell r="BV145" t="str">
            <v>N</v>
          </cell>
          <cell r="BW145">
            <v>0</v>
          </cell>
          <cell r="BX145">
            <v>0</v>
          </cell>
          <cell r="BY145">
            <v>2026</v>
          </cell>
          <cell r="BZ145" t="str">
            <v>-</v>
          </cell>
          <cell r="CA145" t="str">
            <v>-</v>
          </cell>
        </row>
        <row r="146">
          <cell r="A146" t="str">
            <v>Lucknow</v>
          </cell>
          <cell r="B146" t="str">
            <v>Mavericks</v>
          </cell>
          <cell r="C146" t="str">
            <v>Mid Level</v>
          </cell>
          <cell r="D146" t="str">
            <v>Mohammad Fakhrul</v>
          </cell>
          <cell r="F146" t="str">
            <v>MSP</v>
          </cell>
          <cell r="H146" t="str">
            <v>Pass Through</v>
          </cell>
          <cell r="J146" t="str">
            <v>ACH</v>
          </cell>
          <cell r="L146" t="str">
            <v>New</v>
          </cell>
          <cell r="M146">
            <v>46162</v>
          </cell>
          <cell r="N146">
            <v>40</v>
          </cell>
          <cell r="P146">
            <v>46527</v>
          </cell>
          <cell r="R146" t="str">
            <v xml:space="preserve">Divya Veeramachaneni </v>
          </cell>
          <cell r="S146" t="str">
            <v>Individual</v>
          </cell>
          <cell r="T146" t="str">
            <v>C2C</v>
          </cell>
          <cell r="U146" t="str">
            <v>Cigniti</v>
          </cell>
          <cell r="V146">
            <v>150</v>
          </cell>
          <cell r="W146">
            <v>0</v>
          </cell>
          <cell r="X146" t="str">
            <v>USD</v>
          </cell>
          <cell r="Y146">
            <v>152</v>
          </cell>
          <cell r="Z146">
            <v>0</v>
          </cell>
          <cell r="AA146">
            <v>0</v>
          </cell>
          <cell r="AB146">
            <v>0</v>
          </cell>
          <cell r="AC146">
            <v>46157</v>
          </cell>
          <cell r="AD146">
            <v>8</v>
          </cell>
          <cell r="AE146">
            <v>46387</v>
          </cell>
          <cell r="AF146">
            <v>150</v>
          </cell>
          <cell r="AG146">
            <v>0</v>
          </cell>
          <cell r="AH146">
            <v>150</v>
          </cell>
          <cell r="AI146">
            <v>152</v>
          </cell>
          <cell r="AJ146">
            <v>0</v>
          </cell>
          <cell r="AK146">
            <v>0</v>
          </cell>
          <cell r="AL146">
            <v>2</v>
          </cell>
          <cell r="AM146">
            <v>0</v>
          </cell>
          <cell r="AN146">
            <v>2</v>
          </cell>
          <cell r="AO146">
            <v>0</v>
          </cell>
          <cell r="AP146">
            <v>2</v>
          </cell>
          <cell r="AU146">
            <v>64</v>
          </cell>
          <cell r="BB146">
            <v>128</v>
          </cell>
          <cell r="BC146">
            <v>0</v>
          </cell>
          <cell r="BD146">
            <v>0</v>
          </cell>
          <cell r="BE146">
            <v>0</v>
          </cell>
          <cell r="BI146">
            <v>0</v>
          </cell>
          <cell r="BK146">
            <v>9728</v>
          </cell>
          <cell r="BL146">
            <v>9600</v>
          </cell>
          <cell r="BM146">
            <v>0</v>
          </cell>
          <cell r="BN146">
            <v>0</v>
          </cell>
          <cell r="BO146">
            <v>0</v>
          </cell>
          <cell r="BP146">
            <v>9600</v>
          </cell>
          <cell r="BQ146">
            <v>0</v>
          </cell>
          <cell r="BR146">
            <v>128</v>
          </cell>
          <cell r="BT146">
            <v>2</v>
          </cell>
          <cell r="BU146">
            <v>2</v>
          </cell>
          <cell r="BV146" t="str">
            <v>Y</v>
          </cell>
          <cell r="BW146">
            <v>0</v>
          </cell>
          <cell r="BX146">
            <v>0</v>
          </cell>
          <cell r="BY146">
            <v>2026</v>
          </cell>
          <cell r="BZ146" t="str">
            <v>-</v>
          </cell>
          <cell r="CA146" t="str">
            <v>-</v>
          </cell>
        </row>
        <row r="147">
          <cell r="A147" t="str">
            <v>Lucknow</v>
          </cell>
          <cell r="B147" t="str">
            <v>Mavericks</v>
          </cell>
          <cell r="C147" t="str">
            <v>Mid Level</v>
          </cell>
          <cell r="D147" t="str">
            <v>Kashif Nabi</v>
          </cell>
          <cell r="F147" t="str">
            <v>Non-MSP</v>
          </cell>
          <cell r="H147" t="str">
            <v>Kashif Nabi</v>
          </cell>
          <cell r="J147" t="str">
            <v>ACH</v>
          </cell>
          <cell r="L147" t="str">
            <v>New</v>
          </cell>
          <cell r="M147">
            <v>46170</v>
          </cell>
          <cell r="N147">
            <v>32</v>
          </cell>
          <cell r="P147">
            <v>46535</v>
          </cell>
          <cell r="Q147" t="str">
            <v>PLC-4910</v>
          </cell>
          <cell r="R147" t="str">
            <v>Edmund Riphath Kothapally</v>
          </cell>
          <cell r="S147" t="str">
            <v>Individual</v>
          </cell>
          <cell r="T147" t="str">
            <v>C2C</v>
          </cell>
          <cell r="U147" t="str">
            <v>Genpact</v>
          </cell>
          <cell r="V147">
            <v>101</v>
          </cell>
          <cell r="W147">
            <v>0</v>
          </cell>
          <cell r="X147" t="str">
            <v>USD</v>
          </cell>
          <cell r="Y147">
            <v>114</v>
          </cell>
          <cell r="Z147">
            <v>0</v>
          </cell>
          <cell r="AA147">
            <v>0</v>
          </cell>
          <cell r="AB147">
            <v>8</v>
          </cell>
          <cell r="AC147">
            <v>46157</v>
          </cell>
          <cell r="AD147">
            <v>2</v>
          </cell>
          <cell r="AE147">
            <v>46387</v>
          </cell>
          <cell r="AF147">
            <v>101</v>
          </cell>
          <cell r="AG147">
            <v>0</v>
          </cell>
          <cell r="AH147">
            <v>109</v>
          </cell>
          <cell r="AI147">
            <v>114</v>
          </cell>
          <cell r="AJ147">
            <v>0</v>
          </cell>
          <cell r="AK147">
            <v>0</v>
          </cell>
          <cell r="AL147">
            <v>5</v>
          </cell>
          <cell r="AM147">
            <v>0</v>
          </cell>
          <cell r="AN147">
            <v>5</v>
          </cell>
          <cell r="AO147">
            <v>0</v>
          </cell>
          <cell r="AP147">
            <v>5</v>
          </cell>
          <cell r="AQ147" t="str">
            <v>US_27978</v>
          </cell>
          <cell r="AR147">
            <v>0</v>
          </cell>
          <cell r="AS147">
            <v>16</v>
          </cell>
          <cell r="AU147">
            <v>16</v>
          </cell>
          <cell r="AV147">
            <v>0</v>
          </cell>
          <cell r="AW147">
            <v>80</v>
          </cell>
          <cell r="AX147">
            <v>79.2</v>
          </cell>
          <cell r="AY147">
            <v>0</v>
          </cell>
          <cell r="AZ147">
            <v>80</v>
          </cell>
          <cell r="BA147">
            <v>79.2</v>
          </cell>
          <cell r="BB147">
            <v>80</v>
          </cell>
          <cell r="BC147">
            <v>0</v>
          </cell>
          <cell r="BD147">
            <v>0</v>
          </cell>
          <cell r="BE147">
            <v>0</v>
          </cell>
          <cell r="BG147">
            <v>79.2</v>
          </cell>
          <cell r="BI147">
            <v>0</v>
          </cell>
          <cell r="BJ147">
            <v>1824</v>
          </cell>
          <cell r="BK147">
            <v>1824</v>
          </cell>
          <cell r="BL147">
            <v>1616</v>
          </cell>
          <cell r="BM147">
            <v>0</v>
          </cell>
          <cell r="BN147">
            <v>128</v>
          </cell>
          <cell r="BO147">
            <v>0</v>
          </cell>
          <cell r="BP147">
            <v>1744</v>
          </cell>
          <cell r="BQ147">
            <v>8</v>
          </cell>
          <cell r="BR147">
            <v>80</v>
          </cell>
          <cell r="BT147">
            <v>2</v>
          </cell>
          <cell r="BU147">
            <v>2</v>
          </cell>
          <cell r="BV147" t="str">
            <v>N</v>
          </cell>
          <cell r="BW147">
            <v>0</v>
          </cell>
          <cell r="BX147">
            <v>0</v>
          </cell>
          <cell r="BY147">
            <v>2026</v>
          </cell>
          <cell r="BZ147" t="str">
            <v>-</v>
          </cell>
          <cell r="CA147" t="str">
            <v>-</v>
          </cell>
        </row>
        <row r="148">
          <cell r="A148" t="str">
            <v>Chennai</v>
          </cell>
          <cell r="B148" t="str">
            <v>Chennai</v>
          </cell>
          <cell r="C148" t="str">
            <v>Mid Level</v>
          </cell>
          <cell r="D148" t="str">
            <v>Vinoth L</v>
          </cell>
          <cell r="E148" t="str">
            <v>-</v>
          </cell>
          <cell r="F148" t="str">
            <v>Non-MSP</v>
          </cell>
          <cell r="H148" t="str">
            <v>Vishnukanth R</v>
          </cell>
          <cell r="L148" t="str">
            <v>New</v>
          </cell>
          <cell r="M148">
            <v>46083</v>
          </cell>
          <cell r="N148">
            <v>119</v>
          </cell>
          <cell r="P148">
            <v>46448</v>
          </cell>
          <cell r="Q148" t="str">
            <v>PLC-4786</v>
          </cell>
          <cell r="R148" t="str">
            <v>Edwin Burton</v>
          </cell>
          <cell r="S148" t="str">
            <v>Individual</v>
          </cell>
          <cell r="T148" t="str">
            <v>FTE</v>
          </cell>
          <cell r="U148" t="str">
            <v>Relevante</v>
          </cell>
          <cell r="V148">
            <v>0</v>
          </cell>
          <cell r="W148">
            <v>0</v>
          </cell>
          <cell r="X148" t="str">
            <v>USD</v>
          </cell>
          <cell r="Y148">
            <v>2639</v>
          </cell>
          <cell r="Z148">
            <v>0</v>
          </cell>
          <cell r="AA148">
            <v>0</v>
          </cell>
          <cell r="AB148">
            <v>0</v>
          </cell>
          <cell r="AC148">
            <v>46096</v>
          </cell>
          <cell r="AD148">
            <v>1</v>
          </cell>
          <cell r="AE148">
            <v>46387</v>
          </cell>
          <cell r="AF148">
            <v>0</v>
          </cell>
          <cell r="AG148">
            <v>0</v>
          </cell>
          <cell r="AH148">
            <v>0</v>
          </cell>
          <cell r="AI148">
            <v>2639</v>
          </cell>
          <cell r="AJ148">
            <v>0</v>
          </cell>
          <cell r="AK148">
            <v>0</v>
          </cell>
          <cell r="AL148">
            <v>2639</v>
          </cell>
          <cell r="AM148">
            <v>0</v>
          </cell>
          <cell r="AN148">
            <v>2639</v>
          </cell>
          <cell r="AO148">
            <v>0</v>
          </cell>
          <cell r="AP148">
            <v>2639</v>
          </cell>
          <cell r="AQ148" t="str">
            <v>US_27208</v>
          </cell>
          <cell r="AR148">
            <v>0</v>
          </cell>
          <cell r="AS148">
            <v>1</v>
          </cell>
          <cell r="AU148">
            <v>1</v>
          </cell>
          <cell r="AV148">
            <v>0</v>
          </cell>
          <cell r="AW148">
            <v>2639</v>
          </cell>
          <cell r="AX148">
            <v>2639</v>
          </cell>
          <cell r="AY148">
            <v>0</v>
          </cell>
          <cell r="AZ148">
            <v>2639</v>
          </cell>
          <cell r="BA148">
            <v>2639</v>
          </cell>
          <cell r="BB148">
            <v>2639</v>
          </cell>
          <cell r="BC148">
            <v>0</v>
          </cell>
          <cell r="BD148">
            <v>0</v>
          </cell>
          <cell r="BE148">
            <v>0</v>
          </cell>
          <cell r="BG148">
            <v>2639</v>
          </cell>
          <cell r="BI148">
            <v>2639</v>
          </cell>
          <cell r="BJ148">
            <v>2639</v>
          </cell>
          <cell r="BK148">
            <v>2639</v>
          </cell>
          <cell r="BL148">
            <v>0</v>
          </cell>
          <cell r="BM148">
            <v>0</v>
          </cell>
          <cell r="BN148">
            <v>0</v>
          </cell>
          <cell r="BO148">
            <v>0</v>
          </cell>
          <cell r="BP148">
            <v>0</v>
          </cell>
          <cell r="BQ148">
            <v>0</v>
          </cell>
          <cell r="BR148">
            <v>2639</v>
          </cell>
          <cell r="BS148" t="str">
            <v>Y</v>
          </cell>
          <cell r="BT148">
            <v>1</v>
          </cell>
          <cell r="BU148">
            <v>1</v>
          </cell>
          <cell r="BV148" t="str">
            <v>N</v>
          </cell>
          <cell r="BW148">
            <v>0</v>
          </cell>
          <cell r="BX148">
            <v>0</v>
          </cell>
          <cell r="BY148">
            <v>2026</v>
          </cell>
          <cell r="BZ148" t="str">
            <v>-</v>
          </cell>
          <cell r="CA148" t="str">
            <v>-</v>
          </cell>
        </row>
        <row r="149">
          <cell r="A149" t="str">
            <v>Lucknow</v>
          </cell>
          <cell r="B149" t="str">
            <v>Trust</v>
          </cell>
          <cell r="C149" t="str">
            <v>Mid Level</v>
          </cell>
          <cell r="D149" t="str">
            <v>Harsh Agarwal</v>
          </cell>
          <cell r="F149" t="str">
            <v>Non-MSP</v>
          </cell>
          <cell r="H149" t="str">
            <v>Neelendra Dwivedi</v>
          </cell>
          <cell r="L149" t="str">
            <v>New</v>
          </cell>
          <cell r="M149">
            <v>46170</v>
          </cell>
          <cell r="N149">
            <v>32</v>
          </cell>
          <cell r="P149">
            <v>46535</v>
          </cell>
          <cell r="Q149" t="str">
            <v>PLC-4855</v>
          </cell>
          <cell r="R149" t="str">
            <v>Eric Dominguez</v>
          </cell>
          <cell r="S149" t="str">
            <v>Individual</v>
          </cell>
          <cell r="T149" t="str">
            <v>FTE</v>
          </cell>
          <cell r="U149" t="str">
            <v>Infosys</v>
          </cell>
          <cell r="V149">
            <v>0</v>
          </cell>
          <cell r="W149">
            <v>0</v>
          </cell>
          <cell r="X149" t="str">
            <v>USD</v>
          </cell>
          <cell r="Y149">
            <v>3500</v>
          </cell>
          <cell r="Z149">
            <v>0</v>
          </cell>
          <cell r="AA149">
            <v>0</v>
          </cell>
          <cell r="AB149">
            <v>0</v>
          </cell>
          <cell r="AC149">
            <v>46157</v>
          </cell>
          <cell r="AD149">
            <v>1</v>
          </cell>
          <cell r="AE149">
            <v>46387</v>
          </cell>
          <cell r="AF149">
            <v>0</v>
          </cell>
          <cell r="AG149">
            <v>0</v>
          </cell>
          <cell r="AH149">
            <v>0</v>
          </cell>
          <cell r="AI149">
            <v>3500</v>
          </cell>
          <cell r="AJ149">
            <v>0</v>
          </cell>
          <cell r="AK149">
            <v>0</v>
          </cell>
          <cell r="AL149">
            <v>3500</v>
          </cell>
          <cell r="AM149">
            <v>0</v>
          </cell>
          <cell r="AN149">
            <v>3500</v>
          </cell>
          <cell r="AO149">
            <v>0</v>
          </cell>
          <cell r="AP149">
            <v>3500</v>
          </cell>
          <cell r="AU149">
            <v>1</v>
          </cell>
          <cell r="BB149">
            <v>3500</v>
          </cell>
          <cell r="BC149">
            <v>0</v>
          </cell>
          <cell r="BD149">
            <v>0</v>
          </cell>
          <cell r="BE149">
            <v>0</v>
          </cell>
          <cell r="BF149">
            <v>39</v>
          </cell>
          <cell r="BI149">
            <v>0</v>
          </cell>
          <cell r="BK149">
            <v>3500</v>
          </cell>
          <cell r="BL149">
            <v>0</v>
          </cell>
          <cell r="BM149">
            <v>0</v>
          </cell>
          <cell r="BN149">
            <v>0</v>
          </cell>
          <cell r="BO149">
            <v>0</v>
          </cell>
          <cell r="BP149">
            <v>0</v>
          </cell>
          <cell r="BQ149">
            <v>0</v>
          </cell>
          <cell r="BR149">
            <v>3500</v>
          </cell>
          <cell r="BT149">
            <v>2</v>
          </cell>
          <cell r="BU149">
            <v>2</v>
          </cell>
          <cell r="BV149" t="str">
            <v>N</v>
          </cell>
          <cell r="BW149">
            <v>0</v>
          </cell>
          <cell r="BX149">
            <v>0</v>
          </cell>
          <cell r="BY149">
            <v>2026</v>
          </cell>
          <cell r="BZ149" t="str">
            <v>-</v>
          </cell>
          <cell r="CA149" t="str">
            <v>-</v>
          </cell>
        </row>
        <row r="150">
          <cell r="A150" t="str">
            <v>Lucknow</v>
          </cell>
          <cell r="B150" t="str">
            <v>Chennai</v>
          </cell>
          <cell r="C150" t="str">
            <v>Mid Level</v>
          </cell>
          <cell r="D150" t="str">
            <v>Vinoth L</v>
          </cell>
          <cell r="E150" t="str">
            <v>-</v>
          </cell>
          <cell r="F150" t="str">
            <v>Non-MSP</v>
          </cell>
          <cell r="H150" t="str">
            <v>Gayathri.J</v>
          </cell>
          <cell r="L150" t="str">
            <v>New</v>
          </cell>
          <cell r="M150">
            <v>46057</v>
          </cell>
          <cell r="N150">
            <v>145</v>
          </cell>
          <cell r="P150">
            <v>46422</v>
          </cell>
          <cell r="Q150" t="str">
            <v>PLC-4705</v>
          </cell>
          <cell r="R150" t="str">
            <v>Eric Paz</v>
          </cell>
          <cell r="S150" t="str">
            <v>Individual</v>
          </cell>
          <cell r="T150" t="str">
            <v>FTE</v>
          </cell>
          <cell r="U150" t="str">
            <v>Apexon</v>
          </cell>
          <cell r="V150">
            <v>0</v>
          </cell>
          <cell r="W150">
            <v>0</v>
          </cell>
          <cell r="X150" t="str">
            <v>USD</v>
          </cell>
          <cell r="Y150">
            <v>2000</v>
          </cell>
          <cell r="Z150">
            <v>0</v>
          </cell>
          <cell r="AA150">
            <v>0</v>
          </cell>
          <cell r="AB150">
            <v>0</v>
          </cell>
          <cell r="AC150">
            <v>46068</v>
          </cell>
          <cell r="AD150">
            <v>1</v>
          </cell>
          <cell r="AE150">
            <v>46387</v>
          </cell>
          <cell r="AF150">
            <v>0</v>
          </cell>
          <cell r="AG150">
            <v>0</v>
          </cell>
          <cell r="AH150">
            <v>0</v>
          </cell>
          <cell r="AI150">
            <v>2000</v>
          </cell>
          <cell r="AJ150">
            <v>0</v>
          </cell>
          <cell r="AK150">
            <v>0</v>
          </cell>
          <cell r="AL150">
            <v>2000</v>
          </cell>
          <cell r="AM150">
            <v>0</v>
          </cell>
          <cell r="AN150">
            <v>2000</v>
          </cell>
          <cell r="AO150">
            <v>0</v>
          </cell>
          <cell r="AP150">
            <v>2000</v>
          </cell>
          <cell r="AU150">
            <v>1</v>
          </cell>
          <cell r="BB150">
            <v>2000</v>
          </cell>
          <cell r="BC150">
            <v>0</v>
          </cell>
          <cell r="BD150">
            <v>0</v>
          </cell>
          <cell r="BE150">
            <v>0</v>
          </cell>
          <cell r="BK150">
            <v>2000</v>
          </cell>
          <cell r="BL150">
            <v>0</v>
          </cell>
          <cell r="BM150">
            <v>0</v>
          </cell>
          <cell r="BN150">
            <v>0</v>
          </cell>
          <cell r="BO150">
            <v>0</v>
          </cell>
          <cell r="BP150">
            <v>0</v>
          </cell>
          <cell r="BQ150">
            <v>0</v>
          </cell>
          <cell r="BR150">
            <v>2000</v>
          </cell>
          <cell r="BT150">
            <v>1</v>
          </cell>
          <cell r="BU150">
            <v>1</v>
          </cell>
          <cell r="BV150" t="str">
            <v>N</v>
          </cell>
          <cell r="BW150">
            <v>0</v>
          </cell>
          <cell r="BX150">
            <v>0</v>
          </cell>
          <cell r="BY150">
            <v>2026</v>
          </cell>
          <cell r="BZ150" t="str">
            <v>-</v>
          </cell>
          <cell r="CA150" t="str">
            <v>-</v>
          </cell>
        </row>
        <row r="151">
          <cell r="A151" t="str">
            <v>Lucknow</v>
          </cell>
          <cell r="B151" t="str">
            <v>Mavericks</v>
          </cell>
          <cell r="C151" t="str">
            <v>Mid Level</v>
          </cell>
          <cell r="D151" t="str">
            <v>Mohammad Fakhrul</v>
          </cell>
          <cell r="E151" t="str">
            <v>-</v>
          </cell>
          <cell r="F151" t="str">
            <v>MSP</v>
          </cell>
          <cell r="H151" t="str">
            <v>Pass Through/MSP</v>
          </cell>
          <cell r="L151" t="str">
            <v>New</v>
          </cell>
          <cell r="M151">
            <v>46104</v>
          </cell>
          <cell r="N151">
            <v>98</v>
          </cell>
          <cell r="P151">
            <v>46469</v>
          </cell>
          <cell r="Q151" t="str">
            <v>PLC-Passthrough</v>
          </cell>
          <cell r="R151" t="str">
            <v>Evie (Evelyn) Jackson</v>
          </cell>
          <cell r="S151" t="str">
            <v>Individual</v>
          </cell>
          <cell r="T151" t="str">
            <v>C2C</v>
          </cell>
          <cell r="U151" t="str">
            <v>CoForge</v>
          </cell>
          <cell r="V151">
            <v>82</v>
          </cell>
          <cell r="W151">
            <v>0</v>
          </cell>
          <cell r="X151" t="str">
            <v>USD</v>
          </cell>
          <cell r="Y151">
            <v>83</v>
          </cell>
          <cell r="Z151">
            <v>0</v>
          </cell>
          <cell r="AA151">
            <v>0</v>
          </cell>
          <cell r="AB151">
            <v>0</v>
          </cell>
          <cell r="AC151">
            <v>46096</v>
          </cell>
          <cell r="AD151">
            <v>7</v>
          </cell>
          <cell r="AE151">
            <v>46387</v>
          </cell>
          <cell r="AF151">
            <v>82</v>
          </cell>
          <cell r="AG151">
            <v>0</v>
          </cell>
          <cell r="AH151">
            <v>82</v>
          </cell>
          <cell r="AI151">
            <v>83</v>
          </cell>
          <cell r="AJ151">
            <v>0</v>
          </cell>
          <cell r="AK151">
            <v>0</v>
          </cell>
          <cell r="AL151">
            <v>1</v>
          </cell>
          <cell r="AM151">
            <v>0</v>
          </cell>
          <cell r="AN151">
            <v>1</v>
          </cell>
          <cell r="AO151">
            <v>0</v>
          </cell>
          <cell r="AP151">
            <v>1</v>
          </cell>
          <cell r="AQ151" t="str">
            <v>US_CMSP_00580</v>
          </cell>
          <cell r="AR151">
            <v>0</v>
          </cell>
          <cell r="AS151">
            <v>56</v>
          </cell>
          <cell r="AU151">
            <v>56</v>
          </cell>
          <cell r="AV151">
            <v>0</v>
          </cell>
          <cell r="AW151">
            <v>56</v>
          </cell>
          <cell r="AX151">
            <v>56</v>
          </cell>
          <cell r="AY151">
            <v>0</v>
          </cell>
          <cell r="AZ151">
            <v>56</v>
          </cell>
          <cell r="BA151">
            <v>56</v>
          </cell>
          <cell r="BB151">
            <v>56</v>
          </cell>
          <cell r="BC151">
            <v>0</v>
          </cell>
          <cell r="BD151">
            <v>0</v>
          </cell>
          <cell r="BE151">
            <v>0</v>
          </cell>
          <cell r="BG151">
            <v>56</v>
          </cell>
          <cell r="BI151">
            <v>56</v>
          </cell>
          <cell r="BJ151">
            <v>4648</v>
          </cell>
          <cell r="BK151">
            <v>4648</v>
          </cell>
          <cell r="BL151">
            <v>4592</v>
          </cell>
          <cell r="BM151">
            <v>0</v>
          </cell>
          <cell r="BN151">
            <v>0</v>
          </cell>
          <cell r="BO151">
            <v>0</v>
          </cell>
          <cell r="BP151">
            <v>4592</v>
          </cell>
          <cell r="BQ151">
            <v>0</v>
          </cell>
          <cell r="BR151">
            <v>56</v>
          </cell>
          <cell r="BS151" t="str">
            <v>Y</v>
          </cell>
          <cell r="BT151">
            <v>1</v>
          </cell>
          <cell r="BU151">
            <v>1</v>
          </cell>
          <cell r="BV151" t="str">
            <v>N</v>
          </cell>
          <cell r="BW151">
            <v>0</v>
          </cell>
          <cell r="BX151">
            <v>0</v>
          </cell>
          <cell r="BY151">
            <v>2026</v>
          </cell>
          <cell r="BZ151" t="str">
            <v>-</v>
          </cell>
          <cell r="CA151" t="str">
            <v>-</v>
          </cell>
        </row>
        <row r="152">
          <cell r="A152" t="str">
            <v>Lucknow</v>
          </cell>
          <cell r="B152" t="str">
            <v>Mavericks</v>
          </cell>
          <cell r="C152" t="str">
            <v>Mid Level</v>
          </cell>
          <cell r="D152" t="str">
            <v>Mohammad Fakhrul</v>
          </cell>
          <cell r="E152" t="str">
            <v>-</v>
          </cell>
          <cell r="F152" t="str">
            <v>MSP</v>
          </cell>
          <cell r="H152" t="str">
            <v>Pass Through/MSP</v>
          </cell>
          <cell r="J152" t="str">
            <v>ACH</v>
          </cell>
          <cell r="L152" t="str">
            <v>New</v>
          </cell>
          <cell r="M152">
            <v>46104</v>
          </cell>
          <cell r="N152">
            <v>98</v>
          </cell>
          <cell r="P152">
            <v>46469</v>
          </cell>
          <cell r="Q152" t="str">
            <v>PLC-Passthrough</v>
          </cell>
          <cell r="R152" t="str">
            <v>Evie (Evelyn) Jackson</v>
          </cell>
          <cell r="S152" t="str">
            <v>Individual</v>
          </cell>
          <cell r="T152" t="str">
            <v>C2C</v>
          </cell>
          <cell r="U152" t="str">
            <v>CoForge</v>
          </cell>
          <cell r="V152">
            <v>82</v>
          </cell>
          <cell r="W152">
            <v>0</v>
          </cell>
          <cell r="X152" t="str">
            <v>USD</v>
          </cell>
          <cell r="Y152">
            <v>83</v>
          </cell>
          <cell r="Z152">
            <v>0</v>
          </cell>
          <cell r="AA152">
            <v>0</v>
          </cell>
          <cell r="AB152">
            <v>0</v>
          </cell>
          <cell r="AC152">
            <v>46127</v>
          </cell>
          <cell r="AD152">
            <v>22</v>
          </cell>
          <cell r="AE152">
            <v>46387</v>
          </cell>
          <cell r="AF152">
            <v>82</v>
          </cell>
          <cell r="AG152">
            <v>0</v>
          </cell>
          <cell r="AH152">
            <v>82</v>
          </cell>
          <cell r="AI152">
            <v>83</v>
          </cell>
          <cell r="AJ152">
            <v>0</v>
          </cell>
          <cell r="AK152">
            <v>0</v>
          </cell>
          <cell r="AL152">
            <v>1</v>
          </cell>
          <cell r="AM152">
            <v>0</v>
          </cell>
          <cell r="AN152">
            <v>1</v>
          </cell>
          <cell r="AO152">
            <v>0</v>
          </cell>
          <cell r="AP152">
            <v>1</v>
          </cell>
          <cell r="AQ152" t="str">
            <v>US_CMSP_00721</v>
          </cell>
          <cell r="AR152">
            <v>0</v>
          </cell>
          <cell r="AS152">
            <v>168</v>
          </cell>
          <cell r="AU152">
            <v>168</v>
          </cell>
          <cell r="AV152">
            <v>0</v>
          </cell>
          <cell r="AW152">
            <v>168</v>
          </cell>
          <cell r="AX152">
            <v>166.32</v>
          </cell>
          <cell r="AY152">
            <v>0</v>
          </cell>
          <cell r="AZ152">
            <v>168</v>
          </cell>
          <cell r="BA152">
            <v>166.32</v>
          </cell>
          <cell r="BB152">
            <v>168</v>
          </cell>
          <cell r="BC152">
            <v>0</v>
          </cell>
          <cell r="BD152">
            <v>0</v>
          </cell>
          <cell r="BE152">
            <v>0</v>
          </cell>
          <cell r="BG152">
            <v>166.32</v>
          </cell>
          <cell r="BI152">
            <v>166.32</v>
          </cell>
          <cell r="BJ152">
            <v>13944</v>
          </cell>
          <cell r="BK152">
            <v>13944</v>
          </cell>
          <cell r="BL152">
            <v>13776</v>
          </cell>
          <cell r="BM152">
            <v>0</v>
          </cell>
          <cell r="BN152">
            <v>0</v>
          </cell>
          <cell r="BO152">
            <v>0</v>
          </cell>
          <cell r="BP152">
            <v>13776</v>
          </cell>
          <cell r="BQ152">
            <v>0</v>
          </cell>
          <cell r="BR152">
            <v>168</v>
          </cell>
          <cell r="BT152">
            <v>2</v>
          </cell>
          <cell r="BU152">
            <v>1</v>
          </cell>
          <cell r="BV152" t="str">
            <v>N</v>
          </cell>
          <cell r="BW152">
            <v>0</v>
          </cell>
          <cell r="BX152">
            <v>0</v>
          </cell>
          <cell r="BY152">
            <v>2026</v>
          </cell>
          <cell r="BZ152" t="str">
            <v>-</v>
          </cell>
          <cell r="CA152" t="str">
            <v>-</v>
          </cell>
        </row>
        <row r="153">
          <cell r="A153" t="str">
            <v>Lucknow</v>
          </cell>
          <cell r="B153" t="str">
            <v>Mavericks</v>
          </cell>
          <cell r="C153" t="str">
            <v>Mid Level</v>
          </cell>
          <cell r="D153" t="str">
            <v>Mohammad Fakhrul</v>
          </cell>
          <cell r="E153" t="str">
            <v>-</v>
          </cell>
          <cell r="F153" t="str">
            <v>MSP</v>
          </cell>
          <cell r="H153" t="str">
            <v>Pass Through/MSP</v>
          </cell>
          <cell r="J153" t="str">
            <v>ACH</v>
          </cell>
          <cell r="L153" t="str">
            <v>New</v>
          </cell>
          <cell r="M153">
            <v>46104</v>
          </cell>
          <cell r="N153">
            <v>98</v>
          </cell>
          <cell r="P153">
            <v>46469</v>
          </cell>
          <cell r="Q153" t="str">
            <v>PLC-Passthrough</v>
          </cell>
          <cell r="R153" t="str">
            <v>Evie (Evelyn) Jackson</v>
          </cell>
          <cell r="S153" t="str">
            <v>Individual</v>
          </cell>
          <cell r="T153" t="str">
            <v>C2C</v>
          </cell>
          <cell r="U153" t="str">
            <v>CoForge</v>
          </cell>
          <cell r="V153">
            <v>82</v>
          </cell>
          <cell r="W153">
            <v>0</v>
          </cell>
          <cell r="X153" t="str">
            <v>USD</v>
          </cell>
          <cell r="Y153">
            <v>83</v>
          </cell>
          <cell r="Z153">
            <v>0</v>
          </cell>
          <cell r="AA153">
            <v>0</v>
          </cell>
          <cell r="AB153">
            <v>0</v>
          </cell>
          <cell r="AC153">
            <v>46157</v>
          </cell>
          <cell r="AD153">
            <v>22</v>
          </cell>
          <cell r="AE153">
            <v>46387</v>
          </cell>
          <cell r="AF153">
            <v>82</v>
          </cell>
          <cell r="AG153">
            <v>0</v>
          </cell>
          <cell r="AH153">
            <v>82</v>
          </cell>
          <cell r="AI153">
            <v>83</v>
          </cell>
          <cell r="AJ153">
            <v>0</v>
          </cell>
          <cell r="AK153">
            <v>0</v>
          </cell>
          <cell r="AL153">
            <v>1</v>
          </cell>
          <cell r="AM153">
            <v>0</v>
          </cell>
          <cell r="AN153">
            <v>1</v>
          </cell>
          <cell r="AO153">
            <v>0</v>
          </cell>
          <cell r="AP153">
            <v>1</v>
          </cell>
          <cell r="AQ153" t="str">
            <v>US_CMSP_00766</v>
          </cell>
          <cell r="AR153">
            <v>0</v>
          </cell>
          <cell r="AS153">
            <v>141</v>
          </cell>
          <cell r="AU153">
            <v>141</v>
          </cell>
          <cell r="AV153">
            <v>0</v>
          </cell>
          <cell r="AW153">
            <v>141</v>
          </cell>
          <cell r="AX153">
            <v>139.59</v>
          </cell>
          <cell r="AY153">
            <v>0</v>
          </cell>
          <cell r="AZ153">
            <v>141</v>
          </cell>
          <cell r="BA153">
            <v>139.59</v>
          </cell>
          <cell r="BB153">
            <v>141</v>
          </cell>
          <cell r="BC153">
            <v>0</v>
          </cell>
          <cell r="BD153">
            <v>0</v>
          </cell>
          <cell r="BE153">
            <v>0</v>
          </cell>
          <cell r="BG153">
            <v>139.59</v>
          </cell>
          <cell r="BI153">
            <v>139.59</v>
          </cell>
          <cell r="BJ153">
            <v>11703</v>
          </cell>
          <cell r="BK153">
            <v>11703</v>
          </cell>
          <cell r="BL153">
            <v>11562</v>
          </cell>
          <cell r="BM153">
            <v>0</v>
          </cell>
          <cell r="BN153">
            <v>0</v>
          </cell>
          <cell r="BO153">
            <v>0</v>
          </cell>
          <cell r="BP153">
            <v>11562</v>
          </cell>
          <cell r="BQ153">
            <v>0</v>
          </cell>
          <cell r="BR153">
            <v>141</v>
          </cell>
          <cell r="BT153">
            <v>2</v>
          </cell>
          <cell r="BU153">
            <v>1</v>
          </cell>
          <cell r="BV153" t="str">
            <v>N</v>
          </cell>
          <cell r="BW153">
            <v>0</v>
          </cell>
          <cell r="BX153">
            <v>0</v>
          </cell>
          <cell r="BY153">
            <v>2026</v>
          </cell>
          <cell r="BZ153" t="str">
            <v>-</v>
          </cell>
          <cell r="CA153" t="str">
            <v>-</v>
          </cell>
        </row>
        <row r="154">
          <cell r="A154" t="str">
            <v>Lucknow</v>
          </cell>
          <cell r="B154" t="str">
            <v>Titans</v>
          </cell>
          <cell r="C154" t="str">
            <v>Mid Level</v>
          </cell>
          <cell r="D154" t="str">
            <v>Aditya Yadav</v>
          </cell>
          <cell r="E154" t="str">
            <v>-</v>
          </cell>
          <cell r="F154" t="str">
            <v>Non-MSP</v>
          </cell>
          <cell r="G154" t="str">
            <v>Ankit Pandey</v>
          </cell>
          <cell r="H154" t="str">
            <v>Aman Raj Ayubi</v>
          </cell>
          <cell r="L154" t="str">
            <v>New</v>
          </cell>
          <cell r="M154">
            <v>46055</v>
          </cell>
          <cell r="N154">
            <v>147</v>
          </cell>
          <cell r="P154">
            <v>46420</v>
          </cell>
          <cell r="Q154" t="str">
            <v>PLC-4708</v>
          </cell>
          <cell r="R154" t="str">
            <v>Fabiola Moreno</v>
          </cell>
          <cell r="S154" t="str">
            <v>Split</v>
          </cell>
          <cell r="T154" t="str">
            <v>FTE</v>
          </cell>
          <cell r="U154" t="str">
            <v>LTTS</v>
          </cell>
          <cell r="V154">
            <v>0</v>
          </cell>
          <cell r="W154">
            <v>0</v>
          </cell>
          <cell r="X154" t="str">
            <v>USD</v>
          </cell>
          <cell r="Y154">
            <v>6597</v>
          </cell>
          <cell r="Z154">
            <v>0</v>
          </cell>
          <cell r="AA154">
            <v>0</v>
          </cell>
          <cell r="AB154">
            <v>0</v>
          </cell>
          <cell r="AC154">
            <v>46068</v>
          </cell>
          <cell r="AD154">
            <v>1</v>
          </cell>
          <cell r="AE154">
            <v>46387</v>
          </cell>
          <cell r="AF154">
            <v>0</v>
          </cell>
          <cell r="AG154">
            <v>0</v>
          </cell>
          <cell r="AH154">
            <v>0</v>
          </cell>
          <cell r="AI154">
            <v>6597</v>
          </cell>
          <cell r="AJ154">
            <v>0</v>
          </cell>
          <cell r="AK154">
            <v>0</v>
          </cell>
          <cell r="AL154">
            <v>6597</v>
          </cell>
          <cell r="AM154">
            <v>0</v>
          </cell>
          <cell r="AN154">
            <v>3298.5</v>
          </cell>
          <cell r="AO154">
            <v>0</v>
          </cell>
          <cell r="AP154">
            <v>3298.5</v>
          </cell>
          <cell r="AQ154" t="str">
            <v>US_26719</v>
          </cell>
          <cell r="AR154">
            <v>0</v>
          </cell>
          <cell r="AS154">
            <v>1</v>
          </cell>
          <cell r="AU154">
            <v>1</v>
          </cell>
          <cell r="AV154">
            <v>0</v>
          </cell>
          <cell r="AW154">
            <v>3298.5</v>
          </cell>
          <cell r="AX154">
            <v>3298.5</v>
          </cell>
          <cell r="AY154">
            <v>0</v>
          </cell>
          <cell r="AZ154">
            <v>3298.5</v>
          </cell>
          <cell r="BA154">
            <v>3298.5</v>
          </cell>
          <cell r="BB154">
            <v>3298.5</v>
          </cell>
          <cell r="BC154">
            <v>0</v>
          </cell>
          <cell r="BD154">
            <v>0</v>
          </cell>
          <cell r="BE154">
            <v>0</v>
          </cell>
          <cell r="BG154">
            <v>3298.5</v>
          </cell>
          <cell r="BI154">
            <v>3298.5</v>
          </cell>
          <cell r="BJ154">
            <v>3298.5</v>
          </cell>
          <cell r="BK154">
            <v>3298.5</v>
          </cell>
          <cell r="BL154">
            <v>0</v>
          </cell>
          <cell r="BM154">
            <v>0</v>
          </cell>
          <cell r="BN154">
            <v>0</v>
          </cell>
          <cell r="BO154">
            <v>0</v>
          </cell>
          <cell r="BP154">
            <v>0</v>
          </cell>
          <cell r="BQ154">
            <v>0</v>
          </cell>
          <cell r="BR154">
            <v>3298.5</v>
          </cell>
          <cell r="BT154">
            <v>1</v>
          </cell>
          <cell r="BU154">
            <v>1</v>
          </cell>
          <cell r="BV154" t="str">
            <v>N</v>
          </cell>
          <cell r="BW154">
            <v>0</v>
          </cell>
          <cell r="BX154">
            <v>0</v>
          </cell>
          <cell r="BY154">
            <v>2026</v>
          </cell>
          <cell r="BZ154" t="str">
            <v>-</v>
          </cell>
          <cell r="CA154" t="str">
            <v>-</v>
          </cell>
        </row>
        <row r="155">
          <cell r="A155" t="str">
            <v>Lucknow</v>
          </cell>
          <cell r="B155" t="str">
            <v>Rpo</v>
          </cell>
          <cell r="C155" t="str">
            <v>Mid Level</v>
          </cell>
          <cell r="D155" t="str">
            <v>Ankit Pandey</v>
          </cell>
          <cell r="E155" t="str">
            <v>-</v>
          </cell>
          <cell r="F155" t="str">
            <v>Non-MSP</v>
          </cell>
          <cell r="G155" t="str">
            <v>Aditya Yadav</v>
          </cell>
          <cell r="H155" t="str">
            <v>Aman Raj Ayubi</v>
          </cell>
          <cell r="L155" t="str">
            <v>New</v>
          </cell>
          <cell r="M155">
            <v>46055</v>
          </cell>
          <cell r="N155">
            <v>147</v>
          </cell>
          <cell r="P155">
            <v>46420</v>
          </cell>
          <cell r="Q155" t="str">
            <v>PLC-4708</v>
          </cell>
          <cell r="R155" t="str">
            <v>Fabiola Moreno</v>
          </cell>
          <cell r="S155" t="str">
            <v>Split</v>
          </cell>
          <cell r="T155" t="str">
            <v>FTE</v>
          </cell>
          <cell r="U155" t="str">
            <v>LTTS</v>
          </cell>
          <cell r="V155">
            <v>0</v>
          </cell>
          <cell r="W155">
            <v>0</v>
          </cell>
          <cell r="X155" t="str">
            <v>USD</v>
          </cell>
          <cell r="Y155">
            <v>6597</v>
          </cell>
          <cell r="Z155">
            <v>0</v>
          </cell>
          <cell r="AA155">
            <v>0</v>
          </cell>
          <cell r="AB155">
            <v>0</v>
          </cell>
          <cell r="AC155">
            <v>46068</v>
          </cell>
          <cell r="AD155">
            <v>1</v>
          </cell>
          <cell r="AE155">
            <v>46387</v>
          </cell>
          <cell r="AF155">
            <v>0</v>
          </cell>
          <cell r="AG155">
            <v>0</v>
          </cell>
          <cell r="AH155">
            <v>0</v>
          </cell>
          <cell r="AI155">
            <v>6597</v>
          </cell>
          <cell r="AJ155">
            <v>0</v>
          </cell>
          <cell r="AK155">
            <v>0</v>
          </cell>
          <cell r="AL155">
            <v>6597</v>
          </cell>
          <cell r="AM155">
            <v>0</v>
          </cell>
          <cell r="AN155">
            <v>3298.5</v>
          </cell>
          <cell r="AO155">
            <v>0</v>
          </cell>
          <cell r="AP155">
            <v>3298.5</v>
          </cell>
          <cell r="AQ155" t="str">
            <v>US_26719</v>
          </cell>
          <cell r="AR155">
            <v>0</v>
          </cell>
          <cell r="AS155">
            <v>1</v>
          </cell>
          <cell r="AU155">
            <v>1</v>
          </cell>
          <cell r="AV155">
            <v>0</v>
          </cell>
          <cell r="AW155">
            <v>3298.5</v>
          </cell>
          <cell r="AX155">
            <v>3298.5</v>
          </cell>
          <cell r="AY155">
            <v>0</v>
          </cell>
          <cell r="AZ155">
            <v>3298.5</v>
          </cell>
          <cell r="BA155">
            <v>3298.5</v>
          </cell>
          <cell r="BB155">
            <v>3298.5</v>
          </cell>
          <cell r="BC155">
            <v>0</v>
          </cell>
          <cell r="BD155">
            <v>0</v>
          </cell>
          <cell r="BE155">
            <v>0</v>
          </cell>
          <cell r="BG155">
            <v>3298.5</v>
          </cell>
          <cell r="BI155">
            <v>3298.5</v>
          </cell>
          <cell r="BJ155">
            <v>3298.5</v>
          </cell>
          <cell r="BK155">
            <v>3298.5</v>
          </cell>
          <cell r="BL155">
            <v>0</v>
          </cell>
          <cell r="BM155">
            <v>0</v>
          </cell>
          <cell r="BN155">
            <v>0</v>
          </cell>
          <cell r="BO155">
            <v>0</v>
          </cell>
          <cell r="BP155">
            <v>0</v>
          </cell>
          <cell r="BQ155">
            <v>0</v>
          </cell>
          <cell r="BR155">
            <v>3298.5</v>
          </cell>
          <cell r="BT155">
            <v>1</v>
          </cell>
          <cell r="BU155">
            <v>1</v>
          </cell>
          <cell r="BV155" t="str">
            <v>N</v>
          </cell>
          <cell r="BW155">
            <v>0</v>
          </cell>
          <cell r="BX155">
            <v>0</v>
          </cell>
          <cell r="BY155">
            <v>2026</v>
          </cell>
          <cell r="BZ155" t="str">
            <v>-</v>
          </cell>
          <cell r="CA155" t="str">
            <v>-</v>
          </cell>
        </row>
        <row r="156">
          <cell r="A156" t="str">
            <v>Lucknow</v>
          </cell>
          <cell r="B156" t="str">
            <v>Mavericks</v>
          </cell>
          <cell r="C156" t="str">
            <v>Mid Level</v>
          </cell>
          <cell r="D156" t="str">
            <v>Akbar Ibrahim</v>
          </cell>
          <cell r="E156" t="str">
            <v>-</v>
          </cell>
          <cell r="F156" t="str">
            <v>MSP</v>
          </cell>
          <cell r="H156" t="str">
            <v>Pass Through</v>
          </cell>
          <cell r="L156" t="str">
            <v>New</v>
          </cell>
          <cell r="M156">
            <v>46041</v>
          </cell>
          <cell r="N156">
            <v>161</v>
          </cell>
          <cell r="P156">
            <v>46406</v>
          </cell>
          <cell r="Q156" t="str">
            <v>PLC-Passthrough</v>
          </cell>
          <cell r="R156" t="str">
            <v>Fahad Khan</v>
          </cell>
          <cell r="S156" t="str">
            <v>Individual</v>
          </cell>
          <cell r="T156" t="str">
            <v>C2C Canada</v>
          </cell>
          <cell r="U156" t="str">
            <v>CoForge</v>
          </cell>
          <cell r="V156">
            <v>83</v>
          </cell>
          <cell r="W156">
            <v>0</v>
          </cell>
          <cell r="X156" t="str">
            <v>CAD</v>
          </cell>
          <cell r="Y156">
            <v>85</v>
          </cell>
          <cell r="Z156">
            <v>0</v>
          </cell>
          <cell r="AA156">
            <v>0</v>
          </cell>
          <cell r="AB156">
            <v>0</v>
          </cell>
          <cell r="AC156">
            <v>46037</v>
          </cell>
          <cell r="AD156">
            <v>10</v>
          </cell>
          <cell r="AE156">
            <v>46387</v>
          </cell>
          <cell r="AF156">
            <v>58.93</v>
          </cell>
          <cell r="AG156">
            <v>0</v>
          </cell>
          <cell r="AH156">
            <v>58.93</v>
          </cell>
          <cell r="AI156">
            <v>60.349999999999994</v>
          </cell>
          <cell r="AJ156">
            <v>0</v>
          </cell>
          <cell r="AK156">
            <v>0</v>
          </cell>
          <cell r="AL156">
            <v>1.4199999999999946</v>
          </cell>
          <cell r="AM156">
            <v>0</v>
          </cell>
          <cell r="AN156">
            <v>1.4199999999999946</v>
          </cell>
          <cell r="AO156">
            <v>0</v>
          </cell>
          <cell r="AP156">
            <v>1.4199999999999946</v>
          </cell>
          <cell r="AQ156" t="str">
            <v>CAD_1919</v>
          </cell>
          <cell r="AR156">
            <v>0</v>
          </cell>
          <cell r="AS156">
            <v>93</v>
          </cell>
          <cell r="AU156">
            <v>93</v>
          </cell>
          <cell r="AV156">
            <v>0</v>
          </cell>
          <cell r="AW156">
            <v>132.05999999999949</v>
          </cell>
          <cell r="AX156">
            <v>132.05999999999949</v>
          </cell>
          <cell r="AY156">
            <v>0</v>
          </cell>
          <cell r="AZ156">
            <v>132.05999999999949</v>
          </cell>
          <cell r="BA156">
            <v>132.05999999999949</v>
          </cell>
          <cell r="BB156">
            <v>132.05999999999949</v>
          </cell>
          <cell r="BC156">
            <v>0</v>
          </cell>
          <cell r="BD156">
            <v>0</v>
          </cell>
          <cell r="BE156">
            <v>0</v>
          </cell>
          <cell r="BG156">
            <v>132.05999999999949</v>
          </cell>
          <cell r="BI156">
            <v>132.05999999999949</v>
          </cell>
          <cell r="BJ156">
            <v>7905</v>
          </cell>
          <cell r="BK156">
            <v>5612.5499999999993</v>
          </cell>
          <cell r="BL156">
            <v>5719.0070999999998</v>
          </cell>
          <cell r="BM156">
            <v>0</v>
          </cell>
          <cell r="BN156">
            <v>0</v>
          </cell>
          <cell r="BO156">
            <v>0</v>
          </cell>
          <cell r="BP156">
            <v>5719.0070999999998</v>
          </cell>
          <cell r="BQ156">
            <v>0</v>
          </cell>
          <cell r="BR156">
            <v>-106.45710000000054</v>
          </cell>
          <cell r="BS156" t="str">
            <v>Y</v>
          </cell>
          <cell r="BT156">
            <v>1</v>
          </cell>
          <cell r="BU156">
            <v>1</v>
          </cell>
          <cell r="BV156" t="str">
            <v>Y</v>
          </cell>
          <cell r="BW156">
            <v>0</v>
          </cell>
          <cell r="BX156">
            <v>0</v>
          </cell>
          <cell r="BY156">
            <v>2026</v>
          </cell>
          <cell r="BZ156" t="str">
            <v>-</v>
          </cell>
          <cell r="CA156" t="str">
            <v>-</v>
          </cell>
        </row>
        <row r="157">
          <cell r="A157" t="str">
            <v>Lucknow</v>
          </cell>
          <cell r="B157" t="str">
            <v>Mavericks</v>
          </cell>
          <cell r="C157" t="str">
            <v>Mid Level</v>
          </cell>
          <cell r="D157" t="str">
            <v>Akbar Ibrahim</v>
          </cell>
          <cell r="E157" t="str">
            <v>-</v>
          </cell>
          <cell r="F157" t="str">
            <v>MSP</v>
          </cell>
          <cell r="H157" t="str">
            <v>Pass Through</v>
          </cell>
          <cell r="L157" t="str">
            <v>New</v>
          </cell>
          <cell r="M157">
            <v>46041</v>
          </cell>
          <cell r="N157">
            <v>161</v>
          </cell>
          <cell r="P157">
            <v>46406</v>
          </cell>
          <cell r="Q157" t="str">
            <v>PLC-Passthrough</v>
          </cell>
          <cell r="R157" t="str">
            <v>Fahad Khan</v>
          </cell>
          <cell r="S157" t="str">
            <v>Individual</v>
          </cell>
          <cell r="T157" t="str">
            <v>C2C Canada</v>
          </cell>
          <cell r="U157" t="str">
            <v>CoForge</v>
          </cell>
          <cell r="V157">
            <v>83</v>
          </cell>
          <cell r="W157">
            <v>0</v>
          </cell>
          <cell r="X157" t="str">
            <v>CAD</v>
          </cell>
          <cell r="Y157">
            <v>85</v>
          </cell>
          <cell r="Z157">
            <v>0</v>
          </cell>
          <cell r="AA157">
            <v>0</v>
          </cell>
          <cell r="AB157">
            <v>0</v>
          </cell>
          <cell r="AC157">
            <v>46068</v>
          </cell>
          <cell r="AD157">
            <v>20</v>
          </cell>
          <cell r="AE157">
            <v>46387</v>
          </cell>
          <cell r="AF157">
            <v>58.93</v>
          </cell>
          <cell r="AG157">
            <v>0</v>
          </cell>
          <cell r="AH157">
            <v>58.93</v>
          </cell>
          <cell r="AI157">
            <v>60.349999999999994</v>
          </cell>
          <cell r="AJ157">
            <v>0</v>
          </cell>
          <cell r="AK157">
            <v>0</v>
          </cell>
          <cell r="AL157">
            <v>1.4199999999999946</v>
          </cell>
          <cell r="AM157">
            <v>0</v>
          </cell>
          <cell r="AN157">
            <v>1.4199999999999946</v>
          </cell>
          <cell r="AO157">
            <v>0</v>
          </cell>
          <cell r="AP157">
            <v>1.4199999999999946</v>
          </cell>
          <cell r="AQ157" t="str">
            <v>CAD_1995</v>
          </cell>
          <cell r="AR157">
            <v>0</v>
          </cell>
          <cell r="AS157">
            <v>158</v>
          </cell>
          <cell r="AU157">
            <v>158</v>
          </cell>
          <cell r="AV157">
            <v>0</v>
          </cell>
          <cell r="AW157">
            <v>224.35999999999916</v>
          </cell>
          <cell r="AX157">
            <v>224.35999999999916</v>
          </cell>
          <cell r="AY157">
            <v>0</v>
          </cell>
          <cell r="AZ157">
            <v>224.35999999999916</v>
          </cell>
          <cell r="BA157">
            <v>224.35999999999916</v>
          </cell>
          <cell r="BB157">
            <v>224.35999999999916</v>
          </cell>
          <cell r="BC157">
            <v>0</v>
          </cell>
          <cell r="BD157">
            <v>0</v>
          </cell>
          <cell r="BE157">
            <v>0</v>
          </cell>
          <cell r="BG157">
            <v>224.35999999999916</v>
          </cell>
          <cell r="BI157">
            <v>224.35999999999916</v>
          </cell>
          <cell r="BJ157">
            <v>13430</v>
          </cell>
          <cell r="BK157">
            <v>9535.2999999999993</v>
          </cell>
          <cell r="BL157">
            <v>9716.1625999999997</v>
          </cell>
          <cell r="BM157">
            <v>0</v>
          </cell>
          <cell r="BN157">
            <v>0</v>
          </cell>
          <cell r="BO157">
            <v>0</v>
          </cell>
          <cell r="BP157">
            <v>9716.1625999999997</v>
          </cell>
          <cell r="BQ157">
            <v>0</v>
          </cell>
          <cell r="BR157">
            <v>-180.86260000000038</v>
          </cell>
          <cell r="BS157" t="str">
            <v>Y</v>
          </cell>
          <cell r="BT157">
            <v>1</v>
          </cell>
          <cell r="BU157">
            <v>1</v>
          </cell>
          <cell r="BV157" t="str">
            <v>Y</v>
          </cell>
          <cell r="BW157">
            <v>0</v>
          </cell>
          <cell r="BX157">
            <v>0</v>
          </cell>
          <cell r="BY157">
            <v>2026</v>
          </cell>
          <cell r="BZ157" t="str">
            <v>-</v>
          </cell>
          <cell r="CA157" t="str">
            <v>-</v>
          </cell>
        </row>
        <row r="158">
          <cell r="A158" t="str">
            <v>Lucknow</v>
          </cell>
          <cell r="B158" t="str">
            <v>Mavericks</v>
          </cell>
          <cell r="C158" t="str">
            <v>Mid Level</v>
          </cell>
          <cell r="D158" t="str">
            <v>Akbar Ibrahim</v>
          </cell>
          <cell r="E158" t="str">
            <v>-</v>
          </cell>
          <cell r="F158" t="str">
            <v>MSP</v>
          </cell>
          <cell r="H158" t="str">
            <v>Pass Through</v>
          </cell>
          <cell r="L158" t="str">
            <v>New</v>
          </cell>
          <cell r="M158">
            <v>46041</v>
          </cell>
          <cell r="N158">
            <v>161</v>
          </cell>
          <cell r="P158">
            <v>46406</v>
          </cell>
          <cell r="Q158" t="str">
            <v>PLC-Passthrough</v>
          </cell>
          <cell r="R158" t="str">
            <v>Fahad Khan</v>
          </cell>
          <cell r="S158" t="str">
            <v>Individual</v>
          </cell>
          <cell r="T158" t="str">
            <v>C2C Canada</v>
          </cell>
          <cell r="U158" t="str">
            <v>CoForge</v>
          </cell>
          <cell r="V158">
            <v>83</v>
          </cell>
          <cell r="W158">
            <v>0</v>
          </cell>
          <cell r="X158" t="str">
            <v>CAD</v>
          </cell>
          <cell r="Y158">
            <v>85</v>
          </cell>
          <cell r="Z158">
            <v>0</v>
          </cell>
          <cell r="AA158">
            <v>0</v>
          </cell>
          <cell r="AB158">
            <v>0</v>
          </cell>
          <cell r="AC158">
            <v>46096</v>
          </cell>
          <cell r="AD158">
            <v>22</v>
          </cell>
          <cell r="AE158">
            <v>46387</v>
          </cell>
          <cell r="AF158">
            <v>58.93</v>
          </cell>
          <cell r="AG158">
            <v>0</v>
          </cell>
          <cell r="AH158">
            <v>58.93</v>
          </cell>
          <cell r="AI158">
            <v>60.349999999999994</v>
          </cell>
          <cell r="AJ158">
            <v>0</v>
          </cell>
          <cell r="AK158">
            <v>0</v>
          </cell>
          <cell r="AL158">
            <v>1.4199999999999946</v>
          </cell>
          <cell r="AM158">
            <v>0</v>
          </cell>
          <cell r="AN158">
            <v>1.4199999999999946</v>
          </cell>
          <cell r="AO158">
            <v>0</v>
          </cell>
          <cell r="AP158">
            <v>1.4199999999999946</v>
          </cell>
          <cell r="AQ158" t="str">
            <v>CAD_2063</v>
          </cell>
          <cell r="AR158">
            <v>0</v>
          </cell>
          <cell r="AS158">
            <v>176</v>
          </cell>
          <cell r="AU158">
            <v>176</v>
          </cell>
          <cell r="AV158">
            <v>0</v>
          </cell>
          <cell r="AW158">
            <v>249.91999999999905</v>
          </cell>
          <cell r="AX158">
            <v>249.91999999999905</v>
          </cell>
          <cell r="AY158">
            <v>0</v>
          </cell>
          <cell r="AZ158">
            <v>249.91999999999905</v>
          </cell>
          <cell r="BA158">
            <v>249.91999999999905</v>
          </cell>
          <cell r="BB158">
            <v>249.91999999999905</v>
          </cell>
          <cell r="BC158">
            <v>0</v>
          </cell>
          <cell r="BD158">
            <v>0</v>
          </cell>
          <cell r="BE158">
            <v>0</v>
          </cell>
          <cell r="BG158">
            <v>249.91999999999905</v>
          </cell>
          <cell r="BI158">
            <v>249.91999999999905</v>
          </cell>
          <cell r="BJ158">
            <v>14960</v>
          </cell>
          <cell r="BK158">
            <v>10621.599999999999</v>
          </cell>
          <cell r="BL158">
            <v>10823.0672</v>
          </cell>
          <cell r="BM158">
            <v>0</v>
          </cell>
          <cell r="BN158">
            <v>0</v>
          </cell>
          <cell r="BO158">
            <v>0</v>
          </cell>
          <cell r="BP158">
            <v>10823.0672</v>
          </cell>
          <cell r="BQ158">
            <v>0</v>
          </cell>
          <cell r="BR158">
            <v>-201.46720000000096</v>
          </cell>
          <cell r="BS158" t="str">
            <v>Y</v>
          </cell>
          <cell r="BT158">
            <v>1</v>
          </cell>
          <cell r="BU158">
            <v>1</v>
          </cell>
          <cell r="BV158" t="str">
            <v>Y</v>
          </cell>
          <cell r="BW158">
            <v>0</v>
          </cell>
          <cell r="BX158">
            <v>0</v>
          </cell>
          <cell r="BY158">
            <v>2026</v>
          </cell>
          <cell r="BZ158" t="str">
            <v>-</v>
          </cell>
          <cell r="CA158" t="str">
            <v>-</v>
          </cell>
        </row>
        <row r="159">
          <cell r="A159" t="str">
            <v>Lucknow</v>
          </cell>
          <cell r="B159" t="str">
            <v>Mavericks</v>
          </cell>
          <cell r="C159" t="str">
            <v>Mid Level</v>
          </cell>
          <cell r="D159" t="str">
            <v>Akbar Ibrahim</v>
          </cell>
          <cell r="E159" t="str">
            <v>-</v>
          </cell>
          <cell r="F159" t="str">
            <v>MSP</v>
          </cell>
          <cell r="H159" t="str">
            <v>Pass Through</v>
          </cell>
          <cell r="J159" t="str">
            <v>ACH</v>
          </cell>
          <cell r="L159" t="str">
            <v>New</v>
          </cell>
          <cell r="M159">
            <v>46041</v>
          </cell>
          <cell r="N159">
            <v>161</v>
          </cell>
          <cell r="P159">
            <v>46406</v>
          </cell>
          <cell r="Q159" t="str">
            <v>PLC-Passthrough</v>
          </cell>
          <cell r="R159" t="str">
            <v>Fahad Khan</v>
          </cell>
          <cell r="S159" t="str">
            <v>Individual</v>
          </cell>
          <cell r="T159" t="str">
            <v>C2C Canada</v>
          </cell>
          <cell r="U159" t="str">
            <v>CoForge</v>
          </cell>
          <cell r="V159">
            <v>83</v>
          </cell>
          <cell r="W159">
            <v>0</v>
          </cell>
          <cell r="X159" t="str">
            <v>CAD</v>
          </cell>
          <cell r="Y159">
            <v>85</v>
          </cell>
          <cell r="Z159">
            <v>0</v>
          </cell>
          <cell r="AA159">
            <v>0</v>
          </cell>
          <cell r="AB159">
            <v>0</v>
          </cell>
          <cell r="AC159">
            <v>46127</v>
          </cell>
          <cell r="AD159">
            <v>22</v>
          </cell>
          <cell r="AE159">
            <v>46387</v>
          </cell>
          <cell r="AF159">
            <v>58.93</v>
          </cell>
          <cell r="AG159">
            <v>0</v>
          </cell>
          <cell r="AH159">
            <v>58.93</v>
          </cell>
          <cell r="AI159">
            <v>60.349999999999994</v>
          </cell>
          <cell r="AJ159">
            <v>0</v>
          </cell>
          <cell r="AK159">
            <v>0</v>
          </cell>
          <cell r="AL159">
            <v>1.4199999999999946</v>
          </cell>
          <cell r="AM159">
            <v>0</v>
          </cell>
          <cell r="AN159">
            <v>1.4199999999999946</v>
          </cell>
          <cell r="AO159">
            <v>0</v>
          </cell>
          <cell r="AP159">
            <v>1.4199999999999946</v>
          </cell>
          <cell r="AQ159" t="str">
            <v>CAD_2126</v>
          </cell>
          <cell r="AR159">
            <v>0</v>
          </cell>
          <cell r="AS159">
            <v>168</v>
          </cell>
          <cell r="AU159">
            <v>168</v>
          </cell>
          <cell r="AV159">
            <v>0</v>
          </cell>
          <cell r="AW159">
            <v>238.55999999999909</v>
          </cell>
          <cell r="AX159">
            <v>236.17439999999911</v>
          </cell>
          <cell r="AY159">
            <v>0</v>
          </cell>
          <cell r="AZ159">
            <v>238.55999999999909</v>
          </cell>
          <cell r="BA159">
            <v>236.17439999999911</v>
          </cell>
          <cell r="BB159">
            <v>238.55999999999909</v>
          </cell>
          <cell r="BC159">
            <v>0</v>
          </cell>
          <cell r="BD159">
            <v>0</v>
          </cell>
          <cell r="BE159">
            <v>0</v>
          </cell>
          <cell r="BG159">
            <v>236.17439999999911</v>
          </cell>
          <cell r="BI159">
            <v>236.17439999999911</v>
          </cell>
          <cell r="BJ159">
            <v>14280</v>
          </cell>
          <cell r="BK159">
            <v>10138.799999999999</v>
          </cell>
          <cell r="BL159">
            <v>10331.1096</v>
          </cell>
          <cell r="BM159">
            <v>0</v>
          </cell>
          <cell r="BN159">
            <v>0</v>
          </cell>
          <cell r="BO159">
            <v>0</v>
          </cell>
          <cell r="BP159">
            <v>10331.1096</v>
          </cell>
          <cell r="BQ159">
            <v>0</v>
          </cell>
          <cell r="BR159">
            <v>-192.3096000000005</v>
          </cell>
          <cell r="BT159">
            <v>2</v>
          </cell>
          <cell r="BU159">
            <v>1</v>
          </cell>
          <cell r="BV159" t="str">
            <v>Y</v>
          </cell>
          <cell r="BW159">
            <v>0</v>
          </cell>
          <cell r="BX159">
            <v>0</v>
          </cell>
          <cell r="BY159">
            <v>2026</v>
          </cell>
          <cell r="BZ159" t="str">
            <v>-</v>
          </cell>
          <cell r="CA159" t="str">
            <v>-</v>
          </cell>
        </row>
        <row r="160">
          <cell r="A160" t="str">
            <v>Lucknow</v>
          </cell>
          <cell r="B160" t="str">
            <v>Mavericks</v>
          </cell>
          <cell r="C160" t="str">
            <v>Mid Level</v>
          </cell>
          <cell r="D160" t="str">
            <v>Akbar Ibrahim</v>
          </cell>
          <cell r="E160" t="str">
            <v>-</v>
          </cell>
          <cell r="F160" t="str">
            <v>MSP</v>
          </cell>
          <cell r="H160" t="str">
            <v>Pass Through</v>
          </cell>
          <cell r="J160" t="str">
            <v>ACH</v>
          </cell>
          <cell r="L160" t="str">
            <v>New</v>
          </cell>
          <cell r="M160">
            <v>46041</v>
          </cell>
          <cell r="N160">
            <v>161</v>
          </cell>
          <cell r="P160">
            <v>46406</v>
          </cell>
          <cell r="Q160" t="str">
            <v>PLC-Passthrough</v>
          </cell>
          <cell r="R160" t="str">
            <v>Fahad Khan</v>
          </cell>
          <cell r="S160" t="str">
            <v>Individual</v>
          </cell>
          <cell r="T160" t="str">
            <v>C2C Canada</v>
          </cell>
          <cell r="U160" t="str">
            <v>CoForge</v>
          </cell>
          <cell r="V160">
            <v>83</v>
          </cell>
          <cell r="W160">
            <v>0</v>
          </cell>
          <cell r="X160" t="str">
            <v>CAD</v>
          </cell>
          <cell r="Y160">
            <v>85</v>
          </cell>
          <cell r="Z160">
            <v>0</v>
          </cell>
          <cell r="AA160">
            <v>0</v>
          </cell>
          <cell r="AB160">
            <v>0</v>
          </cell>
          <cell r="AC160">
            <v>46157</v>
          </cell>
          <cell r="AD160">
            <v>22</v>
          </cell>
          <cell r="AE160">
            <v>46387</v>
          </cell>
          <cell r="AF160">
            <v>58.93</v>
          </cell>
          <cell r="AG160">
            <v>0</v>
          </cell>
          <cell r="AH160">
            <v>58.93</v>
          </cell>
          <cell r="AI160">
            <v>60.349999999999994</v>
          </cell>
          <cell r="AJ160">
            <v>0</v>
          </cell>
          <cell r="AK160">
            <v>0</v>
          </cell>
          <cell r="AL160">
            <v>1.4199999999999946</v>
          </cell>
          <cell r="AM160">
            <v>0</v>
          </cell>
          <cell r="AN160">
            <v>1.4199999999999946</v>
          </cell>
          <cell r="AO160">
            <v>0</v>
          </cell>
          <cell r="AP160">
            <v>1.4199999999999946</v>
          </cell>
          <cell r="AQ160" t="str">
            <v>CAD_2199</v>
          </cell>
          <cell r="AR160">
            <v>0</v>
          </cell>
          <cell r="AS160">
            <v>80</v>
          </cell>
          <cell r="AU160">
            <v>80</v>
          </cell>
          <cell r="AV160">
            <v>0</v>
          </cell>
          <cell r="AW160">
            <v>113.59999999999957</v>
          </cell>
          <cell r="AX160">
            <v>112.46399999999957</v>
          </cell>
          <cell r="AY160">
            <v>0</v>
          </cell>
          <cell r="AZ160">
            <v>113.59999999999957</v>
          </cell>
          <cell r="BA160">
            <v>112.46399999999957</v>
          </cell>
          <cell r="BB160">
            <v>113.59999999999957</v>
          </cell>
          <cell r="BC160">
            <v>0</v>
          </cell>
          <cell r="BD160">
            <v>0</v>
          </cell>
          <cell r="BE160">
            <v>0</v>
          </cell>
          <cell r="BG160">
            <v>112.46399999999957</v>
          </cell>
          <cell r="BI160">
            <v>112.46399999999957</v>
          </cell>
          <cell r="BJ160">
            <v>6800</v>
          </cell>
          <cell r="BK160">
            <v>4828</v>
          </cell>
          <cell r="BL160">
            <v>4919.576</v>
          </cell>
          <cell r="BM160">
            <v>0</v>
          </cell>
          <cell r="BN160">
            <v>0</v>
          </cell>
          <cell r="BO160">
            <v>0</v>
          </cell>
          <cell r="BP160">
            <v>4919.576</v>
          </cell>
          <cell r="BQ160">
            <v>0</v>
          </cell>
          <cell r="BR160">
            <v>-91.576000000000022</v>
          </cell>
          <cell r="BT160">
            <v>2</v>
          </cell>
          <cell r="BU160">
            <v>1</v>
          </cell>
          <cell r="BV160" t="str">
            <v>Y</v>
          </cell>
          <cell r="BW160">
            <v>0</v>
          </cell>
          <cell r="BX160">
            <v>0</v>
          </cell>
          <cell r="BY160">
            <v>2026</v>
          </cell>
          <cell r="BZ160" t="str">
            <v>-</v>
          </cell>
          <cell r="CA160" t="str">
            <v>-</v>
          </cell>
        </row>
        <row r="161">
          <cell r="A161" t="str">
            <v>Lucknow</v>
          </cell>
          <cell r="B161" t="str">
            <v>Titans</v>
          </cell>
          <cell r="C161" t="str">
            <v>Mid Level</v>
          </cell>
          <cell r="D161" t="str">
            <v>Noor Beg</v>
          </cell>
          <cell r="E161" t="str">
            <v>-</v>
          </cell>
          <cell r="F161" t="str">
            <v>Non-MSP</v>
          </cell>
          <cell r="H161" t="str">
            <v>Pass Through</v>
          </cell>
          <cell r="L161" t="str">
            <v>New</v>
          </cell>
          <cell r="M161">
            <v>46042</v>
          </cell>
          <cell r="N161">
            <v>160</v>
          </cell>
          <cell r="O161">
            <v>46100</v>
          </cell>
          <cell r="P161">
            <v>46407</v>
          </cell>
          <cell r="Q161" t="str">
            <v>PLC-Passthrough</v>
          </cell>
          <cell r="R161" t="str">
            <v>Faham Rashid  (Lead)</v>
          </cell>
          <cell r="S161" t="str">
            <v>Individual</v>
          </cell>
          <cell r="T161" t="str">
            <v>C2C</v>
          </cell>
          <cell r="U161" t="str">
            <v>Genpact</v>
          </cell>
          <cell r="V161">
            <v>230</v>
          </cell>
          <cell r="W161">
            <v>0</v>
          </cell>
          <cell r="X161" t="str">
            <v>USD</v>
          </cell>
          <cell r="Y161">
            <v>235</v>
          </cell>
          <cell r="Z161">
            <v>0</v>
          </cell>
          <cell r="AA161">
            <v>0</v>
          </cell>
          <cell r="AB161">
            <v>0</v>
          </cell>
          <cell r="AC161">
            <v>46037</v>
          </cell>
          <cell r="AD161">
            <v>8</v>
          </cell>
          <cell r="AE161">
            <v>46387</v>
          </cell>
          <cell r="AF161">
            <v>230</v>
          </cell>
          <cell r="AG161">
            <v>0</v>
          </cell>
          <cell r="AH161">
            <v>230</v>
          </cell>
          <cell r="AI161">
            <v>235</v>
          </cell>
          <cell r="AJ161">
            <v>0</v>
          </cell>
          <cell r="AK161">
            <v>0</v>
          </cell>
          <cell r="AL161">
            <v>5</v>
          </cell>
          <cell r="AM161">
            <v>0</v>
          </cell>
          <cell r="AN161">
            <v>5</v>
          </cell>
          <cell r="AO161">
            <v>0</v>
          </cell>
          <cell r="AP161">
            <v>5</v>
          </cell>
          <cell r="AQ161" t="str">
            <v>US_GB_00006</v>
          </cell>
          <cell r="AR161">
            <v>0</v>
          </cell>
          <cell r="AS161">
            <v>72</v>
          </cell>
          <cell r="AU161">
            <v>72</v>
          </cell>
          <cell r="AV161">
            <v>0</v>
          </cell>
          <cell r="AW161">
            <v>360</v>
          </cell>
          <cell r="AX161">
            <v>360</v>
          </cell>
          <cell r="AY161">
            <v>0</v>
          </cell>
          <cell r="AZ161">
            <v>360</v>
          </cell>
          <cell r="BA161">
            <v>360</v>
          </cell>
          <cell r="BB161">
            <v>360</v>
          </cell>
          <cell r="BC161">
            <v>0</v>
          </cell>
          <cell r="BD161">
            <v>0</v>
          </cell>
          <cell r="BE161">
            <v>0</v>
          </cell>
          <cell r="BG161">
            <v>360</v>
          </cell>
          <cell r="BI161">
            <v>360</v>
          </cell>
          <cell r="BJ161">
            <v>16920</v>
          </cell>
          <cell r="BK161">
            <v>16920</v>
          </cell>
          <cell r="BL161">
            <v>16560</v>
          </cell>
          <cell r="BM161">
            <v>0</v>
          </cell>
          <cell r="BN161">
            <v>0</v>
          </cell>
          <cell r="BO161">
            <v>0</v>
          </cell>
          <cell r="BP161">
            <v>16560</v>
          </cell>
          <cell r="BQ161">
            <v>0</v>
          </cell>
          <cell r="BR161">
            <v>360</v>
          </cell>
          <cell r="BS161" t="str">
            <v>Y</v>
          </cell>
          <cell r="BT161">
            <v>1</v>
          </cell>
          <cell r="BU161">
            <v>1</v>
          </cell>
          <cell r="BV161" t="str">
            <v>Y</v>
          </cell>
          <cell r="BW161">
            <v>0</v>
          </cell>
          <cell r="BX161">
            <v>0</v>
          </cell>
          <cell r="BY161">
            <v>2026</v>
          </cell>
          <cell r="BZ161" t="str">
            <v>-</v>
          </cell>
          <cell r="CA161" t="str">
            <v>-</v>
          </cell>
        </row>
        <row r="162">
          <cell r="A162" t="str">
            <v>Lucknow</v>
          </cell>
          <cell r="B162" t="str">
            <v>Titans</v>
          </cell>
          <cell r="C162" t="str">
            <v>Mid Level</v>
          </cell>
          <cell r="D162" t="str">
            <v>Noor Beg</v>
          </cell>
          <cell r="E162" t="str">
            <v>-</v>
          </cell>
          <cell r="F162" t="str">
            <v>Non-MSP</v>
          </cell>
          <cell r="H162" t="str">
            <v>Pass Through</v>
          </cell>
          <cell r="L162" t="str">
            <v>New</v>
          </cell>
          <cell r="M162">
            <v>46042</v>
          </cell>
          <cell r="N162">
            <v>160</v>
          </cell>
          <cell r="O162">
            <v>46100</v>
          </cell>
          <cell r="P162">
            <v>46407</v>
          </cell>
          <cell r="Q162" t="str">
            <v>PLC-Passthrough</v>
          </cell>
          <cell r="R162" t="str">
            <v>Faham Rashid  (Lead)</v>
          </cell>
          <cell r="S162" t="str">
            <v>Individual</v>
          </cell>
          <cell r="T162" t="str">
            <v>C2C</v>
          </cell>
          <cell r="U162" t="str">
            <v>Genpact</v>
          </cell>
          <cell r="V162">
            <v>230</v>
          </cell>
          <cell r="W162">
            <v>0</v>
          </cell>
          <cell r="X162" t="str">
            <v>USD</v>
          </cell>
          <cell r="Y162">
            <v>235</v>
          </cell>
          <cell r="Z162">
            <v>0</v>
          </cell>
          <cell r="AA162">
            <v>0</v>
          </cell>
          <cell r="AB162">
            <v>0</v>
          </cell>
          <cell r="AC162">
            <v>46068</v>
          </cell>
          <cell r="AD162">
            <v>20</v>
          </cell>
          <cell r="AE162">
            <v>46387</v>
          </cell>
          <cell r="AF162">
            <v>230</v>
          </cell>
          <cell r="AG162">
            <v>0</v>
          </cell>
          <cell r="AH162">
            <v>230</v>
          </cell>
          <cell r="AI162">
            <v>235</v>
          </cell>
          <cell r="AJ162">
            <v>0</v>
          </cell>
          <cell r="AK162">
            <v>0</v>
          </cell>
          <cell r="AL162">
            <v>5</v>
          </cell>
          <cell r="AM162">
            <v>0</v>
          </cell>
          <cell r="AN162">
            <v>5</v>
          </cell>
          <cell r="AO162">
            <v>0</v>
          </cell>
          <cell r="AP162">
            <v>5</v>
          </cell>
          <cell r="AQ162" t="str">
            <v>US_GB_00019</v>
          </cell>
          <cell r="AR162">
            <v>0</v>
          </cell>
          <cell r="AS162">
            <v>172</v>
          </cell>
          <cell r="AU162">
            <v>172</v>
          </cell>
          <cell r="AV162">
            <v>0</v>
          </cell>
          <cell r="AW162">
            <v>860</v>
          </cell>
          <cell r="AX162">
            <v>860</v>
          </cell>
          <cell r="AY162">
            <v>0</v>
          </cell>
          <cell r="AZ162">
            <v>860</v>
          </cell>
          <cell r="BA162">
            <v>860</v>
          </cell>
          <cell r="BB162">
            <v>860</v>
          </cell>
          <cell r="BC162">
            <v>0</v>
          </cell>
          <cell r="BD162">
            <v>0</v>
          </cell>
          <cell r="BE162">
            <v>0</v>
          </cell>
          <cell r="BG162">
            <v>860</v>
          </cell>
          <cell r="BI162">
            <v>860</v>
          </cell>
          <cell r="BJ162">
            <v>40420</v>
          </cell>
          <cell r="BK162">
            <v>40420</v>
          </cell>
          <cell r="BL162">
            <v>39560</v>
          </cell>
          <cell r="BM162">
            <v>0</v>
          </cell>
          <cell r="BN162">
            <v>0</v>
          </cell>
          <cell r="BO162">
            <v>0</v>
          </cell>
          <cell r="BP162">
            <v>39560</v>
          </cell>
          <cell r="BQ162">
            <v>0</v>
          </cell>
          <cell r="BR162">
            <v>860</v>
          </cell>
          <cell r="BS162" t="str">
            <v>Y</v>
          </cell>
          <cell r="BT162">
            <v>1</v>
          </cell>
          <cell r="BU162">
            <v>1</v>
          </cell>
          <cell r="BV162" t="str">
            <v>Y</v>
          </cell>
          <cell r="BW162">
            <v>0</v>
          </cell>
          <cell r="BX162">
            <v>0</v>
          </cell>
          <cell r="BY162">
            <v>2026</v>
          </cell>
          <cell r="BZ162" t="str">
            <v>-</v>
          </cell>
          <cell r="CA162" t="str">
            <v>-</v>
          </cell>
        </row>
        <row r="163">
          <cell r="A163" t="str">
            <v>Lucknow</v>
          </cell>
          <cell r="B163" t="str">
            <v>Titans</v>
          </cell>
          <cell r="C163" t="str">
            <v>Mid Level</v>
          </cell>
          <cell r="D163" t="str">
            <v>Noor Beg</v>
          </cell>
          <cell r="E163" t="str">
            <v>-</v>
          </cell>
          <cell r="F163" t="str">
            <v>Non-MSP</v>
          </cell>
          <cell r="H163" t="str">
            <v>Pass Through</v>
          </cell>
          <cell r="L163" t="str">
            <v>New</v>
          </cell>
          <cell r="M163">
            <v>46042</v>
          </cell>
          <cell r="N163">
            <v>160</v>
          </cell>
          <cell r="O163">
            <v>46100</v>
          </cell>
          <cell r="P163">
            <v>46407</v>
          </cell>
          <cell r="Q163" t="str">
            <v>PLC-Passthrough</v>
          </cell>
          <cell r="R163" t="str">
            <v>Faham Rashid  (Lead)</v>
          </cell>
          <cell r="S163" t="str">
            <v>Individual</v>
          </cell>
          <cell r="T163" t="str">
            <v>C2C</v>
          </cell>
          <cell r="U163" t="str">
            <v>Genpact</v>
          </cell>
          <cell r="V163">
            <v>230</v>
          </cell>
          <cell r="W163">
            <v>0</v>
          </cell>
          <cell r="X163" t="str">
            <v>USD</v>
          </cell>
          <cell r="Y163">
            <v>235</v>
          </cell>
          <cell r="Z163">
            <v>0</v>
          </cell>
          <cell r="AA163">
            <v>0</v>
          </cell>
          <cell r="AB163">
            <v>0</v>
          </cell>
          <cell r="AC163">
            <v>46096</v>
          </cell>
          <cell r="AD163">
            <v>22</v>
          </cell>
          <cell r="AE163">
            <v>46387</v>
          </cell>
          <cell r="AF163">
            <v>230</v>
          </cell>
          <cell r="AG163">
            <v>0</v>
          </cell>
          <cell r="AH163">
            <v>230</v>
          </cell>
          <cell r="AI163">
            <v>235</v>
          </cell>
          <cell r="AJ163">
            <v>0</v>
          </cell>
          <cell r="AK163">
            <v>0</v>
          </cell>
          <cell r="AL163">
            <v>5</v>
          </cell>
          <cell r="AM163">
            <v>0</v>
          </cell>
          <cell r="AN163">
            <v>5</v>
          </cell>
          <cell r="AO163">
            <v>0</v>
          </cell>
          <cell r="AP163">
            <v>5</v>
          </cell>
          <cell r="AQ163" t="str">
            <v>US_GB_00034</v>
          </cell>
          <cell r="AR163">
            <v>0</v>
          </cell>
          <cell r="AS163">
            <v>112</v>
          </cell>
          <cell r="AU163">
            <v>112</v>
          </cell>
          <cell r="AV163">
            <v>0</v>
          </cell>
          <cell r="AW163">
            <v>560</v>
          </cell>
          <cell r="AX163">
            <v>560</v>
          </cell>
          <cell r="AY163">
            <v>0</v>
          </cell>
          <cell r="AZ163">
            <v>560</v>
          </cell>
          <cell r="BA163">
            <v>560</v>
          </cell>
          <cell r="BB163">
            <v>560</v>
          </cell>
          <cell r="BC163">
            <v>0</v>
          </cell>
          <cell r="BD163">
            <v>0</v>
          </cell>
          <cell r="BE163">
            <v>0</v>
          </cell>
          <cell r="BG163">
            <v>560</v>
          </cell>
          <cell r="BI163">
            <v>560</v>
          </cell>
          <cell r="BJ163">
            <v>26320</v>
          </cell>
          <cell r="BK163">
            <v>26320</v>
          </cell>
          <cell r="BL163">
            <v>25760</v>
          </cell>
          <cell r="BM163">
            <v>0</v>
          </cell>
          <cell r="BN163">
            <v>0</v>
          </cell>
          <cell r="BO163">
            <v>0</v>
          </cell>
          <cell r="BP163">
            <v>25760</v>
          </cell>
          <cell r="BQ163">
            <v>0</v>
          </cell>
          <cell r="BR163">
            <v>560</v>
          </cell>
          <cell r="BS163" t="str">
            <v>Y</v>
          </cell>
          <cell r="BT163">
            <v>1</v>
          </cell>
          <cell r="BU163">
            <v>1</v>
          </cell>
          <cell r="BV163" t="str">
            <v>Y</v>
          </cell>
          <cell r="BW163">
            <v>0</v>
          </cell>
          <cell r="BX163">
            <v>0</v>
          </cell>
          <cell r="BY163">
            <v>2026</v>
          </cell>
          <cell r="BZ163" t="str">
            <v>-</v>
          </cell>
          <cell r="CA163" t="str">
            <v>-</v>
          </cell>
        </row>
        <row r="164">
          <cell r="A164" t="str">
            <v>Lucknow</v>
          </cell>
          <cell r="B164" t="str">
            <v>Rpo</v>
          </cell>
          <cell r="C164" t="str">
            <v>Mid Level</v>
          </cell>
          <cell r="D164" t="str">
            <v>Ankit Pandey</v>
          </cell>
          <cell r="E164" t="str">
            <v>-</v>
          </cell>
          <cell r="F164" t="str">
            <v>Non-MSP</v>
          </cell>
          <cell r="H164" t="str">
            <v>Rishabh Singh RPO</v>
          </cell>
          <cell r="K164" t="str">
            <v>Sagar Chandani</v>
          </cell>
          <cell r="L164" t="str">
            <v>New</v>
          </cell>
          <cell r="M164">
            <v>46090</v>
          </cell>
          <cell r="N164">
            <v>112</v>
          </cell>
          <cell r="P164">
            <v>46455</v>
          </cell>
          <cell r="Q164" t="str">
            <v>PLC-4767</v>
          </cell>
          <cell r="R164" t="str">
            <v>Faith Dimaranan</v>
          </cell>
          <cell r="S164" t="str">
            <v>Individual</v>
          </cell>
          <cell r="T164" t="str">
            <v>FTE</v>
          </cell>
          <cell r="U164" t="str">
            <v>Myridius</v>
          </cell>
          <cell r="V164">
            <v>0</v>
          </cell>
          <cell r="W164">
            <v>0</v>
          </cell>
          <cell r="X164" t="str">
            <v>USD</v>
          </cell>
          <cell r="Y164">
            <v>5000</v>
          </cell>
          <cell r="Z164">
            <v>0</v>
          </cell>
          <cell r="AA164">
            <v>0</v>
          </cell>
          <cell r="AB164">
            <v>0</v>
          </cell>
          <cell r="AC164">
            <v>46096</v>
          </cell>
          <cell r="AD164">
            <v>1</v>
          </cell>
          <cell r="AE164">
            <v>46387</v>
          </cell>
          <cell r="AF164">
            <v>0</v>
          </cell>
          <cell r="AG164">
            <v>0</v>
          </cell>
          <cell r="AH164">
            <v>0</v>
          </cell>
          <cell r="AI164">
            <v>5000</v>
          </cell>
          <cell r="AJ164">
            <v>0</v>
          </cell>
          <cell r="AK164">
            <v>0</v>
          </cell>
          <cell r="AL164">
            <v>5000</v>
          </cell>
          <cell r="AM164">
            <v>0</v>
          </cell>
          <cell r="AN164">
            <v>5000</v>
          </cell>
          <cell r="AO164">
            <v>0</v>
          </cell>
          <cell r="AP164">
            <v>5000</v>
          </cell>
          <cell r="AQ164" t="str">
            <v>US_272012</v>
          </cell>
          <cell r="AR164">
            <v>0</v>
          </cell>
          <cell r="AS164">
            <v>1</v>
          </cell>
          <cell r="AU164">
            <v>1</v>
          </cell>
          <cell r="AV164">
            <v>0</v>
          </cell>
          <cell r="AW164">
            <v>5000</v>
          </cell>
          <cell r="AX164">
            <v>5000</v>
          </cell>
          <cell r="AY164">
            <v>0</v>
          </cell>
          <cell r="AZ164">
            <v>5000</v>
          </cell>
          <cell r="BA164">
            <v>5000</v>
          </cell>
          <cell r="BB164">
            <v>5000</v>
          </cell>
          <cell r="BC164">
            <v>0</v>
          </cell>
          <cell r="BD164">
            <v>0</v>
          </cell>
          <cell r="BE164">
            <v>0</v>
          </cell>
          <cell r="BG164">
            <v>5000</v>
          </cell>
          <cell r="BI164">
            <v>5000</v>
          </cell>
          <cell r="BJ164">
            <v>5000</v>
          </cell>
          <cell r="BK164">
            <v>5000</v>
          </cell>
          <cell r="BL164">
            <v>0</v>
          </cell>
          <cell r="BM164">
            <v>0</v>
          </cell>
          <cell r="BN164">
            <v>0</v>
          </cell>
          <cell r="BO164">
            <v>0</v>
          </cell>
          <cell r="BP164">
            <v>0</v>
          </cell>
          <cell r="BQ164">
            <v>0</v>
          </cell>
          <cell r="BR164">
            <v>5000</v>
          </cell>
          <cell r="BS164" t="str">
            <v>Y</v>
          </cell>
          <cell r="BT164">
            <v>1</v>
          </cell>
          <cell r="BU164">
            <v>1</v>
          </cell>
          <cell r="BV164" t="str">
            <v>N</v>
          </cell>
          <cell r="BW164">
            <v>0</v>
          </cell>
          <cell r="BX164">
            <v>0</v>
          </cell>
          <cell r="BY164">
            <v>2026</v>
          </cell>
          <cell r="BZ164" t="str">
            <v>-</v>
          </cell>
          <cell r="CA164" t="str">
            <v>-</v>
          </cell>
        </row>
        <row r="165">
          <cell r="A165" t="str">
            <v>Lucknow</v>
          </cell>
          <cell r="B165" t="str">
            <v>Titans</v>
          </cell>
          <cell r="C165" t="str">
            <v>Mid Level</v>
          </cell>
          <cell r="D165" t="str">
            <v>Abhishek Yadav</v>
          </cell>
          <cell r="F165" t="str">
            <v>Non-MSP</v>
          </cell>
          <cell r="H165" t="str">
            <v>Raj Chaudhary</v>
          </cell>
          <cell r="J165" t="str">
            <v>ACH</v>
          </cell>
          <cell r="L165" t="str">
            <v>New</v>
          </cell>
          <cell r="M165">
            <v>46168</v>
          </cell>
          <cell r="N165">
            <v>34</v>
          </cell>
          <cell r="P165">
            <v>46533</v>
          </cell>
          <cell r="Q165" t="str">
            <v>PLC-4840</v>
          </cell>
          <cell r="R165" t="str">
            <v>Ferozuddin Mohammad</v>
          </cell>
          <cell r="S165" t="str">
            <v>Individual</v>
          </cell>
          <cell r="T165" t="str">
            <v>C2C Canada</v>
          </cell>
          <cell r="U165" t="str">
            <v>Genpact</v>
          </cell>
          <cell r="V165">
            <v>45</v>
          </cell>
          <cell r="W165">
            <v>0</v>
          </cell>
          <cell r="X165" t="str">
            <v>CAD</v>
          </cell>
          <cell r="Y165">
            <v>60</v>
          </cell>
          <cell r="Z165">
            <v>0</v>
          </cell>
          <cell r="AA165">
            <v>0</v>
          </cell>
          <cell r="AB165">
            <v>0</v>
          </cell>
          <cell r="AC165">
            <v>46157</v>
          </cell>
          <cell r="AD165">
            <v>4</v>
          </cell>
          <cell r="AE165">
            <v>46387</v>
          </cell>
          <cell r="AF165">
            <v>31.95</v>
          </cell>
          <cell r="AG165">
            <v>0</v>
          </cell>
          <cell r="AH165">
            <v>31.95</v>
          </cell>
          <cell r="AI165">
            <v>42.599999999999994</v>
          </cell>
          <cell r="AJ165">
            <v>0</v>
          </cell>
          <cell r="AK165">
            <v>0</v>
          </cell>
          <cell r="AL165">
            <v>10.649999999999995</v>
          </cell>
          <cell r="AM165">
            <v>0</v>
          </cell>
          <cell r="AN165">
            <v>10.649999999999995</v>
          </cell>
          <cell r="AO165">
            <v>0</v>
          </cell>
          <cell r="AP165">
            <v>10.649999999999995</v>
          </cell>
          <cell r="AQ165" t="str">
            <v>CAD_2218</v>
          </cell>
          <cell r="AR165">
            <v>0</v>
          </cell>
          <cell r="AS165">
            <v>40</v>
          </cell>
          <cell r="AU165">
            <v>40</v>
          </cell>
          <cell r="AV165">
            <v>0</v>
          </cell>
          <cell r="AW165">
            <v>425.99999999999977</v>
          </cell>
          <cell r="AX165">
            <v>421.73999999999978</v>
          </cell>
          <cell r="AY165">
            <v>0</v>
          </cell>
          <cell r="AZ165">
            <v>425.99999999999977</v>
          </cell>
          <cell r="BA165">
            <v>421.73999999999978</v>
          </cell>
          <cell r="BB165">
            <v>425.99999999999977</v>
          </cell>
          <cell r="BC165">
            <v>0</v>
          </cell>
          <cell r="BD165">
            <v>0</v>
          </cell>
          <cell r="BE165">
            <v>0</v>
          </cell>
          <cell r="BG165">
            <v>421.73999999999978</v>
          </cell>
          <cell r="BI165">
            <v>0</v>
          </cell>
          <cell r="BJ165">
            <v>2400</v>
          </cell>
          <cell r="BK165">
            <v>1703.9999999999998</v>
          </cell>
          <cell r="BL165">
            <v>1333.6200000000001</v>
          </cell>
          <cell r="BM165">
            <v>0</v>
          </cell>
          <cell r="BN165">
            <v>0</v>
          </cell>
          <cell r="BO165">
            <v>0</v>
          </cell>
          <cell r="BP165">
            <v>1333.6200000000001</v>
          </cell>
          <cell r="BQ165">
            <v>0</v>
          </cell>
          <cell r="BR165">
            <v>370.37999999999965</v>
          </cell>
          <cell r="BT165">
            <v>2</v>
          </cell>
          <cell r="BU165">
            <v>2</v>
          </cell>
          <cell r="BV165" t="str">
            <v>N</v>
          </cell>
          <cell r="BW165">
            <v>0</v>
          </cell>
          <cell r="BX165">
            <v>0</v>
          </cell>
          <cell r="BY165">
            <v>2026</v>
          </cell>
          <cell r="BZ165" t="str">
            <v>-</v>
          </cell>
          <cell r="CA165" t="str">
            <v>-</v>
          </cell>
        </row>
        <row r="166">
          <cell r="A166" t="str">
            <v>Noida</v>
          </cell>
          <cell r="B166" t="str">
            <v>Noida IT</v>
          </cell>
          <cell r="C166" t="str">
            <v>Mid Level</v>
          </cell>
          <cell r="D166" t="str">
            <v>Akash Saxena</v>
          </cell>
          <cell r="E166" t="str">
            <v>-</v>
          </cell>
          <cell r="F166" t="str">
            <v>Non-MSP</v>
          </cell>
          <cell r="H166" t="str">
            <v>Prashant Pal</v>
          </cell>
          <cell r="L166" t="str">
            <v>New</v>
          </cell>
          <cell r="M166">
            <v>46076</v>
          </cell>
          <cell r="N166">
            <v>126</v>
          </cell>
          <cell r="P166">
            <v>46441</v>
          </cell>
          <cell r="Q166" t="str">
            <v>PLC-4740</v>
          </cell>
          <cell r="R166" t="str">
            <v>Fnu Feroz Khan</v>
          </cell>
          <cell r="S166" t="str">
            <v>Individual</v>
          </cell>
          <cell r="T166" t="str">
            <v>C2C</v>
          </cell>
          <cell r="U166" t="str">
            <v>Citius Tech</v>
          </cell>
          <cell r="V166">
            <v>63</v>
          </cell>
          <cell r="W166">
            <v>0</v>
          </cell>
          <cell r="X166" t="str">
            <v>USD</v>
          </cell>
          <cell r="Y166">
            <v>70</v>
          </cell>
          <cell r="Z166">
            <v>0</v>
          </cell>
          <cell r="AA166">
            <v>0</v>
          </cell>
          <cell r="AB166">
            <v>2</v>
          </cell>
          <cell r="AC166">
            <v>46068</v>
          </cell>
          <cell r="AD166">
            <v>5</v>
          </cell>
          <cell r="AE166">
            <v>46387</v>
          </cell>
          <cell r="AF166">
            <v>63</v>
          </cell>
          <cell r="AG166">
            <v>0</v>
          </cell>
          <cell r="AH166">
            <v>65</v>
          </cell>
          <cell r="AI166">
            <v>70</v>
          </cell>
          <cell r="AJ166">
            <v>0</v>
          </cell>
          <cell r="AK166">
            <v>0</v>
          </cell>
          <cell r="AL166">
            <v>5</v>
          </cell>
          <cell r="AM166">
            <v>0</v>
          </cell>
          <cell r="AN166">
            <v>5</v>
          </cell>
          <cell r="AO166">
            <v>0</v>
          </cell>
          <cell r="AP166">
            <v>5</v>
          </cell>
          <cell r="AQ166" t="str">
            <v>US_27194</v>
          </cell>
          <cell r="AR166">
            <v>0</v>
          </cell>
          <cell r="AS166">
            <v>40</v>
          </cell>
          <cell r="AU166">
            <v>40</v>
          </cell>
          <cell r="AV166">
            <v>0</v>
          </cell>
          <cell r="AW166">
            <v>200</v>
          </cell>
          <cell r="AX166">
            <v>200</v>
          </cell>
          <cell r="AY166">
            <v>0</v>
          </cell>
          <cell r="AZ166">
            <v>200</v>
          </cell>
          <cell r="BA166">
            <v>200</v>
          </cell>
          <cell r="BB166">
            <v>200</v>
          </cell>
          <cell r="BC166">
            <v>0</v>
          </cell>
          <cell r="BD166">
            <v>0</v>
          </cell>
          <cell r="BE166">
            <v>0</v>
          </cell>
          <cell r="BG166">
            <v>200</v>
          </cell>
          <cell r="BI166">
            <v>200</v>
          </cell>
          <cell r="BJ166">
            <v>2800</v>
          </cell>
          <cell r="BK166">
            <v>2800</v>
          </cell>
          <cell r="BL166">
            <v>2520</v>
          </cell>
          <cell r="BM166">
            <v>0</v>
          </cell>
          <cell r="BN166">
            <v>80</v>
          </cell>
          <cell r="BO166">
            <v>0</v>
          </cell>
          <cell r="BP166">
            <v>2600</v>
          </cell>
          <cell r="BQ166">
            <v>2</v>
          </cell>
          <cell r="BR166">
            <v>200</v>
          </cell>
          <cell r="BS166" t="str">
            <v>Y</v>
          </cell>
          <cell r="BT166">
            <v>1</v>
          </cell>
          <cell r="BU166">
            <v>1</v>
          </cell>
          <cell r="BV166" t="str">
            <v>N</v>
          </cell>
          <cell r="BW166">
            <v>0</v>
          </cell>
          <cell r="BX166">
            <v>0</v>
          </cell>
          <cell r="BY166">
            <v>2026</v>
          </cell>
          <cell r="BZ166" t="str">
            <v>-</v>
          </cell>
          <cell r="CA166" t="str">
            <v>-</v>
          </cell>
        </row>
        <row r="167">
          <cell r="A167" t="str">
            <v>Noida</v>
          </cell>
          <cell r="B167" t="str">
            <v>Noida IT</v>
          </cell>
          <cell r="C167" t="str">
            <v>Mid Level</v>
          </cell>
          <cell r="D167" t="str">
            <v>Akash Saxena</v>
          </cell>
          <cell r="E167" t="str">
            <v>-</v>
          </cell>
          <cell r="F167" t="str">
            <v>Non-MSP</v>
          </cell>
          <cell r="H167" t="str">
            <v>Prashant Pal</v>
          </cell>
          <cell r="L167" t="str">
            <v>New</v>
          </cell>
          <cell r="M167">
            <v>46076</v>
          </cell>
          <cell r="N167">
            <v>126</v>
          </cell>
          <cell r="P167">
            <v>46441</v>
          </cell>
          <cell r="Q167" t="str">
            <v>PLC-4740</v>
          </cell>
          <cell r="R167" t="str">
            <v>Fnu Feroz Khan</v>
          </cell>
          <cell r="S167" t="str">
            <v>Individual</v>
          </cell>
          <cell r="T167" t="str">
            <v>C2C</v>
          </cell>
          <cell r="U167" t="str">
            <v>Citius Tech</v>
          </cell>
          <cell r="V167">
            <v>63</v>
          </cell>
          <cell r="W167">
            <v>0</v>
          </cell>
          <cell r="X167" t="str">
            <v>USD</v>
          </cell>
          <cell r="Y167">
            <v>70</v>
          </cell>
          <cell r="Z167">
            <v>0</v>
          </cell>
          <cell r="AA167">
            <v>0</v>
          </cell>
          <cell r="AB167">
            <v>2</v>
          </cell>
          <cell r="AC167">
            <v>46096</v>
          </cell>
          <cell r="AD167">
            <v>22</v>
          </cell>
          <cell r="AE167">
            <v>46387</v>
          </cell>
          <cell r="AF167">
            <v>63</v>
          </cell>
          <cell r="AG167">
            <v>0</v>
          </cell>
          <cell r="AH167">
            <v>65</v>
          </cell>
          <cell r="AI167">
            <v>70</v>
          </cell>
          <cell r="AJ167">
            <v>0</v>
          </cell>
          <cell r="AK167">
            <v>0</v>
          </cell>
          <cell r="AL167">
            <v>5</v>
          </cell>
          <cell r="AM167">
            <v>0</v>
          </cell>
          <cell r="AN167">
            <v>5</v>
          </cell>
          <cell r="AO167">
            <v>0</v>
          </cell>
          <cell r="AP167">
            <v>5</v>
          </cell>
          <cell r="AQ167" t="str">
            <v>US_27407</v>
          </cell>
          <cell r="AR167">
            <v>0</v>
          </cell>
          <cell r="AS167">
            <v>176</v>
          </cell>
          <cell r="AU167">
            <v>176</v>
          </cell>
          <cell r="AV167">
            <v>0</v>
          </cell>
          <cell r="AW167">
            <v>880</v>
          </cell>
          <cell r="AX167">
            <v>880</v>
          </cell>
          <cell r="AY167">
            <v>0</v>
          </cell>
          <cell r="AZ167">
            <v>880</v>
          </cell>
          <cell r="BA167">
            <v>880</v>
          </cell>
          <cell r="BB167">
            <v>880</v>
          </cell>
          <cell r="BC167">
            <v>0</v>
          </cell>
          <cell r="BD167">
            <v>0</v>
          </cell>
          <cell r="BE167">
            <v>0</v>
          </cell>
          <cell r="BG167">
            <v>880</v>
          </cell>
          <cell r="BI167">
            <v>880</v>
          </cell>
          <cell r="BJ167">
            <v>12320</v>
          </cell>
          <cell r="BK167">
            <v>12320</v>
          </cell>
          <cell r="BL167">
            <v>11088</v>
          </cell>
          <cell r="BM167">
            <v>0</v>
          </cell>
          <cell r="BN167">
            <v>352</v>
          </cell>
          <cell r="BO167">
            <v>0</v>
          </cell>
          <cell r="BP167">
            <v>11440</v>
          </cell>
          <cell r="BQ167">
            <v>2</v>
          </cell>
          <cell r="BR167">
            <v>880</v>
          </cell>
          <cell r="BS167" t="str">
            <v>Y</v>
          </cell>
          <cell r="BT167">
            <v>1</v>
          </cell>
          <cell r="BU167">
            <v>1</v>
          </cell>
          <cell r="BV167" t="str">
            <v>N</v>
          </cell>
          <cell r="BW167">
            <v>0</v>
          </cell>
          <cell r="BX167">
            <v>0</v>
          </cell>
          <cell r="BY167">
            <v>2026</v>
          </cell>
          <cell r="BZ167" t="str">
            <v>-</v>
          </cell>
          <cell r="CA167" t="str">
            <v>-</v>
          </cell>
        </row>
        <row r="168">
          <cell r="A168" t="str">
            <v>Noida</v>
          </cell>
          <cell r="B168" t="str">
            <v>Noida IT</v>
          </cell>
          <cell r="C168" t="str">
            <v>Mid Level</v>
          </cell>
          <cell r="D168" t="str">
            <v>Akash Saxena</v>
          </cell>
          <cell r="E168" t="str">
            <v>-</v>
          </cell>
          <cell r="F168" t="str">
            <v>Non-MSP</v>
          </cell>
          <cell r="H168" t="str">
            <v>Prashant Pal</v>
          </cell>
          <cell r="J168" t="str">
            <v>ACH</v>
          </cell>
          <cell r="L168" t="str">
            <v>New</v>
          </cell>
          <cell r="M168">
            <v>46076</v>
          </cell>
          <cell r="N168">
            <v>126</v>
          </cell>
          <cell r="P168">
            <v>46441</v>
          </cell>
          <cell r="Q168" t="str">
            <v>PLC-4740</v>
          </cell>
          <cell r="R168" t="str">
            <v>Fnu Feroz Khan</v>
          </cell>
          <cell r="S168" t="str">
            <v>Individual</v>
          </cell>
          <cell r="T168" t="str">
            <v>C2C</v>
          </cell>
          <cell r="U168" t="str">
            <v>Citius Tech</v>
          </cell>
          <cell r="V168">
            <v>63</v>
          </cell>
          <cell r="W168">
            <v>0</v>
          </cell>
          <cell r="X168" t="str">
            <v>USD</v>
          </cell>
          <cell r="Y168">
            <v>70</v>
          </cell>
          <cell r="Z168">
            <v>0</v>
          </cell>
          <cell r="AA168">
            <v>0</v>
          </cell>
          <cell r="AB168">
            <v>2</v>
          </cell>
          <cell r="AC168">
            <v>46127</v>
          </cell>
          <cell r="AD168">
            <v>22</v>
          </cell>
          <cell r="AE168">
            <v>46387</v>
          </cell>
          <cell r="AF168">
            <v>63</v>
          </cell>
          <cell r="AG168">
            <v>0</v>
          </cell>
          <cell r="AH168">
            <v>65</v>
          </cell>
          <cell r="AI168">
            <v>70</v>
          </cell>
          <cell r="AJ168">
            <v>0</v>
          </cell>
          <cell r="AK168">
            <v>0</v>
          </cell>
          <cell r="AL168">
            <v>5</v>
          </cell>
          <cell r="AM168">
            <v>0</v>
          </cell>
          <cell r="AN168">
            <v>5</v>
          </cell>
          <cell r="AO168">
            <v>0</v>
          </cell>
          <cell r="AP168">
            <v>5</v>
          </cell>
          <cell r="AQ168" t="str">
            <v>US_27640</v>
          </cell>
          <cell r="AR168">
            <v>0</v>
          </cell>
          <cell r="AS168">
            <v>176</v>
          </cell>
          <cell r="AU168">
            <v>176</v>
          </cell>
          <cell r="AV168">
            <v>0</v>
          </cell>
          <cell r="AW168">
            <v>880</v>
          </cell>
          <cell r="AX168">
            <v>871.2</v>
          </cell>
          <cell r="AY168">
            <v>0</v>
          </cell>
          <cell r="AZ168">
            <v>880</v>
          </cell>
          <cell r="BA168">
            <v>871.2</v>
          </cell>
          <cell r="BB168">
            <v>880</v>
          </cell>
          <cell r="BC168">
            <v>0</v>
          </cell>
          <cell r="BD168">
            <v>0</v>
          </cell>
          <cell r="BE168">
            <v>0</v>
          </cell>
          <cell r="BG168">
            <v>871.2</v>
          </cell>
          <cell r="BI168">
            <v>871.2</v>
          </cell>
          <cell r="BJ168">
            <v>12320</v>
          </cell>
          <cell r="BK168">
            <v>12320</v>
          </cell>
          <cell r="BL168">
            <v>11088</v>
          </cell>
          <cell r="BM168">
            <v>0</v>
          </cell>
          <cell r="BN168">
            <v>352</v>
          </cell>
          <cell r="BO168">
            <v>0</v>
          </cell>
          <cell r="BP168">
            <v>11440</v>
          </cell>
          <cell r="BQ168">
            <v>2</v>
          </cell>
          <cell r="BR168">
            <v>880</v>
          </cell>
          <cell r="BS168" t="str">
            <v>Y</v>
          </cell>
          <cell r="BT168">
            <v>2</v>
          </cell>
          <cell r="BU168">
            <v>1</v>
          </cell>
          <cell r="BV168" t="str">
            <v>N</v>
          </cell>
          <cell r="BW168">
            <v>0</v>
          </cell>
          <cell r="BX168">
            <v>0</v>
          </cell>
          <cell r="BY168">
            <v>2026</v>
          </cell>
          <cell r="BZ168" t="str">
            <v>-</v>
          </cell>
          <cell r="CA168" t="str">
            <v>-</v>
          </cell>
        </row>
        <row r="169">
          <cell r="A169" t="str">
            <v>Noida</v>
          </cell>
          <cell r="B169" t="str">
            <v>Noida IT</v>
          </cell>
          <cell r="C169" t="str">
            <v>Mid Level</v>
          </cell>
          <cell r="D169" t="str">
            <v>Akash Saxena</v>
          </cell>
          <cell r="E169" t="str">
            <v>-</v>
          </cell>
          <cell r="F169" t="str">
            <v>Non-MSP</v>
          </cell>
          <cell r="H169" t="str">
            <v>Prashant Pal</v>
          </cell>
          <cell r="J169" t="str">
            <v>ACH</v>
          </cell>
          <cell r="L169" t="str">
            <v>New</v>
          </cell>
          <cell r="M169">
            <v>46076</v>
          </cell>
          <cell r="N169">
            <v>126</v>
          </cell>
          <cell r="P169">
            <v>46441</v>
          </cell>
          <cell r="Q169" t="str">
            <v>PLC-4740</v>
          </cell>
          <cell r="R169" t="str">
            <v>Fnu Feroz Khan</v>
          </cell>
          <cell r="S169" t="str">
            <v>Individual</v>
          </cell>
          <cell r="T169" t="str">
            <v>C2C</v>
          </cell>
          <cell r="U169" t="str">
            <v>Citius Tech</v>
          </cell>
          <cell r="V169">
            <v>63</v>
          </cell>
          <cell r="W169">
            <v>0</v>
          </cell>
          <cell r="X169" t="str">
            <v>USD</v>
          </cell>
          <cell r="Y169">
            <v>70</v>
          </cell>
          <cell r="Z169">
            <v>0</v>
          </cell>
          <cell r="AA169">
            <v>0</v>
          </cell>
          <cell r="AB169">
            <v>2</v>
          </cell>
          <cell r="AC169">
            <v>46157</v>
          </cell>
          <cell r="AD169">
            <v>22</v>
          </cell>
          <cell r="AE169">
            <v>46387</v>
          </cell>
          <cell r="AF169">
            <v>63</v>
          </cell>
          <cell r="AG169">
            <v>0</v>
          </cell>
          <cell r="AH169">
            <v>65</v>
          </cell>
          <cell r="AI169">
            <v>70</v>
          </cell>
          <cell r="AJ169">
            <v>0</v>
          </cell>
          <cell r="AK169">
            <v>0</v>
          </cell>
          <cell r="AL169">
            <v>5</v>
          </cell>
          <cell r="AM169">
            <v>0</v>
          </cell>
          <cell r="AN169">
            <v>5</v>
          </cell>
          <cell r="AO169">
            <v>0</v>
          </cell>
          <cell r="AP169">
            <v>5</v>
          </cell>
          <cell r="AQ169" t="str">
            <v>US_27778</v>
          </cell>
          <cell r="AR169">
            <v>0</v>
          </cell>
          <cell r="AS169">
            <v>168</v>
          </cell>
          <cell r="AU169">
            <v>168</v>
          </cell>
          <cell r="AV169">
            <v>0</v>
          </cell>
          <cell r="AW169">
            <v>840</v>
          </cell>
          <cell r="AX169">
            <v>831.6</v>
          </cell>
          <cell r="AY169">
            <v>0</v>
          </cell>
          <cell r="AZ169">
            <v>840</v>
          </cell>
          <cell r="BA169">
            <v>831.6</v>
          </cell>
          <cell r="BB169">
            <v>840</v>
          </cell>
          <cell r="BC169">
            <v>0</v>
          </cell>
          <cell r="BD169">
            <v>0</v>
          </cell>
          <cell r="BE169">
            <v>0</v>
          </cell>
          <cell r="BG169">
            <v>831.6</v>
          </cell>
          <cell r="BI169">
            <v>831.6</v>
          </cell>
          <cell r="BJ169">
            <v>11760</v>
          </cell>
          <cell r="BK169">
            <v>11760</v>
          </cell>
          <cell r="BL169">
            <v>10584</v>
          </cell>
          <cell r="BM169">
            <v>0</v>
          </cell>
          <cell r="BN169">
            <v>336</v>
          </cell>
          <cell r="BO169">
            <v>0</v>
          </cell>
          <cell r="BP169">
            <v>10920</v>
          </cell>
          <cell r="BQ169">
            <v>2</v>
          </cell>
          <cell r="BR169">
            <v>840</v>
          </cell>
          <cell r="BT169">
            <v>2</v>
          </cell>
          <cell r="BU169">
            <v>1</v>
          </cell>
          <cell r="BV169" t="str">
            <v>N</v>
          </cell>
          <cell r="BW169">
            <v>0</v>
          </cell>
          <cell r="BX169">
            <v>0</v>
          </cell>
          <cell r="BY169">
            <v>2026</v>
          </cell>
          <cell r="BZ169" t="str">
            <v>-</v>
          </cell>
          <cell r="CA169" t="str">
            <v>-</v>
          </cell>
        </row>
        <row r="170">
          <cell r="A170" t="str">
            <v>Lucknow</v>
          </cell>
          <cell r="B170" t="str">
            <v>Trust</v>
          </cell>
          <cell r="C170" t="str">
            <v>Mid Level</v>
          </cell>
          <cell r="D170" t="str">
            <v>Shashank Yadav</v>
          </cell>
          <cell r="F170" t="str">
            <v>Non-MSP</v>
          </cell>
          <cell r="H170" t="str">
            <v>Shivanshu Rastogi</v>
          </cell>
          <cell r="L170" t="str">
            <v>New</v>
          </cell>
          <cell r="M170">
            <v>46170</v>
          </cell>
          <cell r="N170">
            <v>32</v>
          </cell>
          <cell r="P170">
            <v>46535</v>
          </cell>
          <cell r="R170" t="str">
            <v xml:space="preserve">Francisco Brasil </v>
          </cell>
          <cell r="S170" t="str">
            <v>Individual</v>
          </cell>
          <cell r="T170" t="str">
            <v>FTE</v>
          </cell>
          <cell r="U170" t="str">
            <v>Reflik</v>
          </cell>
          <cell r="V170">
            <v>0</v>
          </cell>
          <cell r="W170">
            <v>0</v>
          </cell>
          <cell r="X170" t="str">
            <v>USD</v>
          </cell>
          <cell r="Y170">
            <v>3500</v>
          </cell>
          <cell r="Z170">
            <v>0</v>
          </cell>
          <cell r="AA170">
            <v>0</v>
          </cell>
          <cell r="AB170">
            <v>0</v>
          </cell>
          <cell r="AC170">
            <v>46157</v>
          </cell>
          <cell r="AD170">
            <v>1</v>
          </cell>
          <cell r="AE170">
            <v>46387</v>
          </cell>
          <cell r="AF170">
            <v>0</v>
          </cell>
          <cell r="AG170">
            <v>0</v>
          </cell>
          <cell r="AH170">
            <v>0</v>
          </cell>
          <cell r="AI170">
            <v>3500</v>
          </cell>
          <cell r="AJ170">
            <v>0</v>
          </cell>
          <cell r="AK170">
            <v>0</v>
          </cell>
          <cell r="AL170">
            <v>3500</v>
          </cell>
          <cell r="AM170">
            <v>0</v>
          </cell>
          <cell r="AN170">
            <v>3500</v>
          </cell>
          <cell r="AO170">
            <v>0</v>
          </cell>
          <cell r="AP170">
            <v>3500</v>
          </cell>
          <cell r="AU170">
            <v>1</v>
          </cell>
          <cell r="BB170">
            <v>3500</v>
          </cell>
          <cell r="BC170">
            <v>0</v>
          </cell>
          <cell r="BD170">
            <v>0</v>
          </cell>
          <cell r="BE170">
            <v>0</v>
          </cell>
          <cell r="BI170">
            <v>0</v>
          </cell>
          <cell r="BK170">
            <v>3500</v>
          </cell>
          <cell r="BL170">
            <v>0</v>
          </cell>
          <cell r="BM170">
            <v>0</v>
          </cell>
          <cell r="BN170">
            <v>0</v>
          </cell>
          <cell r="BO170">
            <v>0</v>
          </cell>
          <cell r="BP170">
            <v>0</v>
          </cell>
          <cell r="BQ170">
            <v>0</v>
          </cell>
          <cell r="BR170">
            <v>3500</v>
          </cell>
          <cell r="BT170">
            <v>2</v>
          </cell>
          <cell r="BU170">
            <v>2</v>
          </cell>
          <cell r="BV170" t="str">
            <v>N</v>
          </cell>
          <cell r="BW170">
            <v>0</v>
          </cell>
          <cell r="BX170">
            <v>0</v>
          </cell>
          <cell r="BY170">
            <v>2026</v>
          </cell>
          <cell r="BZ170" t="str">
            <v>-</v>
          </cell>
          <cell r="CA170" t="str">
            <v>-</v>
          </cell>
        </row>
        <row r="171">
          <cell r="A171" t="str">
            <v>Lucknow</v>
          </cell>
          <cell r="B171" t="str">
            <v>Mavericks</v>
          </cell>
          <cell r="C171" t="str">
            <v>Mid Level</v>
          </cell>
          <cell r="D171" t="str">
            <v>Muskan Mishra</v>
          </cell>
          <cell r="F171" t="str">
            <v>Non-MSP</v>
          </cell>
          <cell r="H171" t="str">
            <v>Mohd. Anas</v>
          </cell>
          <cell r="L171" t="str">
            <v>New</v>
          </cell>
          <cell r="M171">
            <v>46164</v>
          </cell>
          <cell r="N171">
            <v>38</v>
          </cell>
          <cell r="P171">
            <v>46529</v>
          </cell>
          <cell r="Q171" t="str">
            <v>PLC-4905</v>
          </cell>
          <cell r="R171" t="str">
            <v>Ganeshbabu Kaliaperumal</v>
          </cell>
          <cell r="S171" t="str">
            <v>Individual</v>
          </cell>
          <cell r="T171" t="str">
            <v>FTE</v>
          </cell>
          <cell r="U171" t="str">
            <v>TCS</v>
          </cell>
          <cell r="V171">
            <v>0</v>
          </cell>
          <cell r="W171">
            <v>0</v>
          </cell>
          <cell r="X171" t="str">
            <v>USD</v>
          </cell>
          <cell r="Y171">
            <v>13000</v>
          </cell>
          <cell r="Z171">
            <v>0</v>
          </cell>
          <cell r="AA171">
            <v>0</v>
          </cell>
          <cell r="AB171">
            <v>0</v>
          </cell>
          <cell r="AC171">
            <v>46157</v>
          </cell>
          <cell r="AD171">
            <v>1</v>
          </cell>
          <cell r="AE171">
            <v>46387</v>
          </cell>
          <cell r="AF171">
            <v>0</v>
          </cell>
          <cell r="AG171">
            <v>0</v>
          </cell>
          <cell r="AH171">
            <v>0</v>
          </cell>
          <cell r="AI171">
            <v>12480</v>
          </cell>
          <cell r="AJ171">
            <v>0</v>
          </cell>
          <cell r="AK171">
            <v>0</v>
          </cell>
          <cell r="AL171">
            <v>12480</v>
          </cell>
          <cell r="AM171">
            <v>0</v>
          </cell>
          <cell r="AN171">
            <v>12480</v>
          </cell>
          <cell r="AO171">
            <v>0</v>
          </cell>
          <cell r="AP171">
            <v>12480</v>
          </cell>
          <cell r="AQ171" t="str">
            <v>US_27733</v>
          </cell>
          <cell r="AR171">
            <v>0</v>
          </cell>
          <cell r="AS171">
            <v>1</v>
          </cell>
          <cell r="AU171">
            <v>1</v>
          </cell>
          <cell r="AV171">
            <v>0</v>
          </cell>
          <cell r="AW171">
            <v>12480</v>
          </cell>
          <cell r="AX171">
            <v>12480</v>
          </cell>
          <cell r="AY171">
            <v>0</v>
          </cell>
          <cell r="AZ171">
            <v>12480</v>
          </cell>
          <cell r="BA171">
            <v>12480</v>
          </cell>
          <cell r="BB171">
            <v>12480</v>
          </cell>
          <cell r="BC171">
            <v>0</v>
          </cell>
          <cell r="BD171">
            <v>0</v>
          </cell>
          <cell r="BE171">
            <v>0</v>
          </cell>
          <cell r="BG171">
            <v>12480</v>
          </cell>
          <cell r="BI171">
            <v>0</v>
          </cell>
          <cell r="BJ171">
            <v>13000</v>
          </cell>
          <cell r="BK171">
            <v>12480</v>
          </cell>
          <cell r="BL171">
            <v>0</v>
          </cell>
          <cell r="BM171">
            <v>0</v>
          </cell>
          <cell r="BN171">
            <v>0</v>
          </cell>
          <cell r="BO171">
            <v>0</v>
          </cell>
          <cell r="BP171">
            <v>0</v>
          </cell>
          <cell r="BQ171">
            <v>0</v>
          </cell>
          <cell r="BR171">
            <v>12480</v>
          </cell>
          <cell r="BT171">
            <v>2</v>
          </cell>
          <cell r="BU171">
            <v>2</v>
          </cell>
          <cell r="BV171" t="str">
            <v>N</v>
          </cell>
          <cell r="BW171">
            <v>0</v>
          </cell>
          <cell r="BX171">
            <v>0</v>
          </cell>
          <cell r="BY171">
            <v>2026</v>
          </cell>
          <cell r="BZ171" t="str">
            <v>-</v>
          </cell>
          <cell r="CA171" t="str">
            <v>-</v>
          </cell>
        </row>
        <row r="172">
          <cell r="A172" t="str">
            <v>Lucknow</v>
          </cell>
          <cell r="B172" t="str">
            <v>Titans</v>
          </cell>
          <cell r="C172" t="str">
            <v>Mid Level</v>
          </cell>
          <cell r="D172" t="str">
            <v>Abhishek Yadav</v>
          </cell>
          <cell r="E172" t="str">
            <v>-</v>
          </cell>
          <cell r="F172" t="str">
            <v>Non-MSP</v>
          </cell>
          <cell r="H172" t="str">
            <v>Satyam Pandey</v>
          </cell>
          <cell r="L172" t="str">
            <v>New</v>
          </cell>
          <cell r="M172">
            <v>46042</v>
          </cell>
          <cell r="N172">
            <v>160</v>
          </cell>
          <cell r="P172">
            <v>46407</v>
          </cell>
          <cell r="Q172" t="str">
            <v>PLC-4655</v>
          </cell>
          <cell r="R172" t="str">
            <v>Garry Francois</v>
          </cell>
          <cell r="S172" t="str">
            <v>Individual</v>
          </cell>
          <cell r="T172" t="str">
            <v>C2C Canada</v>
          </cell>
          <cell r="U172" t="str">
            <v>Genpact</v>
          </cell>
          <cell r="V172">
            <v>25</v>
          </cell>
          <cell r="W172">
            <v>0</v>
          </cell>
          <cell r="X172" t="str">
            <v>CAD</v>
          </cell>
          <cell r="Y172">
            <v>37</v>
          </cell>
          <cell r="Z172">
            <v>0</v>
          </cell>
          <cell r="AA172">
            <v>0</v>
          </cell>
          <cell r="AB172">
            <v>0</v>
          </cell>
          <cell r="AC172">
            <v>46037</v>
          </cell>
          <cell r="AD172">
            <v>9</v>
          </cell>
          <cell r="AE172">
            <v>46387</v>
          </cell>
          <cell r="AF172">
            <v>17.75</v>
          </cell>
          <cell r="AG172">
            <v>0</v>
          </cell>
          <cell r="AH172">
            <v>17.75</v>
          </cell>
          <cell r="AI172">
            <v>26.27</v>
          </cell>
          <cell r="AJ172">
            <v>0</v>
          </cell>
          <cell r="AK172">
            <v>0</v>
          </cell>
          <cell r="AL172">
            <v>8.52</v>
          </cell>
          <cell r="AM172">
            <v>0</v>
          </cell>
          <cell r="AN172">
            <v>8.52</v>
          </cell>
          <cell r="AO172">
            <v>0</v>
          </cell>
          <cell r="AP172">
            <v>8.52</v>
          </cell>
          <cell r="AQ172" t="str">
            <v>CAD_1935</v>
          </cell>
          <cell r="AR172">
            <v>0</v>
          </cell>
          <cell r="AS172">
            <v>72</v>
          </cell>
          <cell r="AU172">
            <v>72</v>
          </cell>
          <cell r="AV172">
            <v>0</v>
          </cell>
          <cell r="AW172">
            <v>613.43999999999994</v>
          </cell>
          <cell r="AX172">
            <v>613.43999999999994</v>
          </cell>
          <cell r="AY172">
            <v>0</v>
          </cell>
          <cell r="AZ172">
            <v>613.43999999999994</v>
          </cell>
          <cell r="BA172">
            <v>613.43999999999994</v>
          </cell>
          <cell r="BB172">
            <v>613.43999999999994</v>
          </cell>
          <cell r="BC172">
            <v>0</v>
          </cell>
          <cell r="BD172">
            <v>0</v>
          </cell>
          <cell r="BE172">
            <v>0</v>
          </cell>
          <cell r="BG172">
            <v>613.43999999999994</v>
          </cell>
          <cell r="BI172">
            <v>613.43999999999994</v>
          </cell>
          <cell r="BJ172">
            <v>2664</v>
          </cell>
          <cell r="BK172">
            <v>1891.44</v>
          </cell>
          <cell r="BL172">
            <v>1333.6200000000001</v>
          </cell>
          <cell r="BM172">
            <v>0</v>
          </cell>
          <cell r="BN172">
            <v>0</v>
          </cell>
          <cell r="BO172">
            <v>0</v>
          </cell>
          <cell r="BP172">
            <v>1333.6200000000001</v>
          </cell>
          <cell r="BQ172">
            <v>0</v>
          </cell>
          <cell r="BR172">
            <v>557.81999999999994</v>
          </cell>
          <cell r="BS172" t="str">
            <v>Y</v>
          </cell>
          <cell r="BT172">
            <v>1</v>
          </cell>
          <cell r="BU172">
            <v>1</v>
          </cell>
          <cell r="BV172" t="str">
            <v>N</v>
          </cell>
          <cell r="BW172">
            <v>0</v>
          </cell>
          <cell r="BX172">
            <v>0</v>
          </cell>
          <cell r="BY172">
            <v>2026</v>
          </cell>
          <cell r="BZ172" t="str">
            <v>-</v>
          </cell>
          <cell r="CA172" t="str">
            <v>-</v>
          </cell>
        </row>
        <row r="173">
          <cell r="A173" t="str">
            <v>Lucknow</v>
          </cell>
          <cell r="B173" t="str">
            <v>Titans</v>
          </cell>
          <cell r="C173" t="str">
            <v>Mid Level</v>
          </cell>
          <cell r="D173" t="str">
            <v>Abhishek Yadav</v>
          </cell>
          <cell r="E173" t="str">
            <v>-</v>
          </cell>
          <cell r="F173" t="str">
            <v>Non-MSP</v>
          </cell>
          <cell r="H173" t="str">
            <v>Satyam Pandey</v>
          </cell>
          <cell r="L173" t="str">
            <v>New</v>
          </cell>
          <cell r="M173">
            <v>46042</v>
          </cell>
          <cell r="N173">
            <v>160</v>
          </cell>
          <cell r="P173">
            <v>46407</v>
          </cell>
          <cell r="Q173" t="str">
            <v>PLC-4655</v>
          </cell>
          <cell r="R173" t="str">
            <v>Garry Francois</v>
          </cell>
          <cell r="S173" t="str">
            <v>Individual</v>
          </cell>
          <cell r="T173" t="str">
            <v>C2C Canada</v>
          </cell>
          <cell r="U173" t="str">
            <v>Genpact</v>
          </cell>
          <cell r="V173">
            <v>25</v>
          </cell>
          <cell r="W173">
            <v>0</v>
          </cell>
          <cell r="X173" t="str">
            <v>CAD</v>
          </cell>
          <cell r="Y173">
            <v>37</v>
          </cell>
          <cell r="Z173">
            <v>0</v>
          </cell>
          <cell r="AA173">
            <v>0</v>
          </cell>
          <cell r="AB173">
            <v>0</v>
          </cell>
          <cell r="AC173">
            <v>46068</v>
          </cell>
          <cell r="AD173">
            <v>20</v>
          </cell>
          <cell r="AE173">
            <v>46387</v>
          </cell>
          <cell r="AF173">
            <v>17.75</v>
          </cell>
          <cell r="AG173">
            <v>0</v>
          </cell>
          <cell r="AH173">
            <v>17.75</v>
          </cell>
          <cell r="AI173">
            <v>26.27</v>
          </cell>
          <cell r="AJ173">
            <v>0</v>
          </cell>
          <cell r="AK173">
            <v>0</v>
          </cell>
          <cell r="AL173">
            <v>8.52</v>
          </cell>
          <cell r="AM173">
            <v>0</v>
          </cell>
          <cell r="AN173">
            <v>8.52</v>
          </cell>
          <cell r="AO173">
            <v>0</v>
          </cell>
          <cell r="AP173">
            <v>8.52</v>
          </cell>
          <cell r="AQ173" t="str">
            <v>CAD_1970</v>
          </cell>
          <cell r="AR173">
            <v>0</v>
          </cell>
          <cell r="AS173">
            <v>152</v>
          </cell>
          <cell r="AU173">
            <v>152</v>
          </cell>
          <cell r="AV173">
            <v>0</v>
          </cell>
          <cell r="AW173">
            <v>1295.04</v>
          </cell>
          <cell r="AX173">
            <v>1295.04</v>
          </cell>
          <cell r="AY173">
            <v>0</v>
          </cell>
          <cell r="AZ173">
            <v>1295.04</v>
          </cell>
          <cell r="BA173">
            <v>1295.04</v>
          </cell>
          <cell r="BB173">
            <v>1295.04</v>
          </cell>
          <cell r="BC173">
            <v>0</v>
          </cell>
          <cell r="BD173">
            <v>0</v>
          </cell>
          <cell r="BE173">
            <v>0</v>
          </cell>
          <cell r="BG173">
            <v>1295.04</v>
          </cell>
          <cell r="BI173">
            <v>1295.04</v>
          </cell>
          <cell r="BJ173">
            <v>5624</v>
          </cell>
          <cell r="BK173">
            <v>3993.04</v>
          </cell>
          <cell r="BL173">
            <v>2815.42</v>
          </cell>
          <cell r="BM173">
            <v>0</v>
          </cell>
          <cell r="BN173">
            <v>0</v>
          </cell>
          <cell r="BO173">
            <v>0</v>
          </cell>
          <cell r="BP173">
            <v>2815.42</v>
          </cell>
          <cell r="BQ173">
            <v>0</v>
          </cell>
          <cell r="BR173">
            <v>1177.6199999999999</v>
          </cell>
          <cell r="BS173" t="str">
            <v>Y</v>
          </cell>
          <cell r="BT173">
            <v>1</v>
          </cell>
          <cell r="BU173">
            <v>1</v>
          </cell>
          <cell r="BV173" t="str">
            <v>N</v>
          </cell>
          <cell r="BW173">
            <v>0</v>
          </cell>
          <cell r="BX173">
            <v>0</v>
          </cell>
          <cell r="BY173">
            <v>2026</v>
          </cell>
          <cell r="BZ173" t="str">
            <v>-</v>
          </cell>
          <cell r="CA173" t="str">
            <v>-</v>
          </cell>
        </row>
        <row r="174">
          <cell r="A174" t="str">
            <v>Lucknow</v>
          </cell>
          <cell r="B174" t="str">
            <v>Titans</v>
          </cell>
          <cell r="C174" t="str">
            <v>Mid Level</v>
          </cell>
          <cell r="D174" t="str">
            <v>Abhishek Yadav</v>
          </cell>
          <cell r="E174" t="str">
            <v>-</v>
          </cell>
          <cell r="F174" t="str">
            <v>Non-MSP</v>
          </cell>
          <cell r="H174" t="str">
            <v>Satyam Pandey</v>
          </cell>
          <cell r="L174" t="str">
            <v>New</v>
          </cell>
          <cell r="M174">
            <v>46042</v>
          </cell>
          <cell r="N174">
            <v>160</v>
          </cell>
          <cell r="P174">
            <v>46407</v>
          </cell>
          <cell r="Q174" t="str">
            <v>PLC-4655</v>
          </cell>
          <cell r="R174" t="str">
            <v>Garry Francois</v>
          </cell>
          <cell r="S174" t="str">
            <v>Individual</v>
          </cell>
          <cell r="T174" t="str">
            <v>C2C Canada</v>
          </cell>
          <cell r="U174" t="str">
            <v>Genpact</v>
          </cell>
          <cell r="V174">
            <v>25</v>
          </cell>
          <cell r="W174">
            <v>0</v>
          </cell>
          <cell r="X174" t="str">
            <v>CAD</v>
          </cell>
          <cell r="Y174">
            <v>37</v>
          </cell>
          <cell r="Z174">
            <v>0</v>
          </cell>
          <cell r="AA174">
            <v>0</v>
          </cell>
          <cell r="AB174">
            <v>0</v>
          </cell>
          <cell r="AC174">
            <v>46096</v>
          </cell>
          <cell r="AD174">
            <v>22</v>
          </cell>
          <cell r="AE174">
            <v>46387</v>
          </cell>
          <cell r="AF174">
            <v>17.75</v>
          </cell>
          <cell r="AG174">
            <v>0</v>
          </cell>
          <cell r="AH174">
            <v>17.75</v>
          </cell>
          <cell r="AI174">
            <v>26.27</v>
          </cell>
          <cell r="AJ174">
            <v>0</v>
          </cell>
          <cell r="AK174">
            <v>0</v>
          </cell>
          <cell r="AL174">
            <v>8.52</v>
          </cell>
          <cell r="AM174">
            <v>0</v>
          </cell>
          <cell r="AN174">
            <v>8.52</v>
          </cell>
          <cell r="AO174">
            <v>0</v>
          </cell>
          <cell r="AP174">
            <v>8.52</v>
          </cell>
          <cell r="AQ174" t="str">
            <v>CAD_2028</v>
          </cell>
          <cell r="AR174">
            <v>0</v>
          </cell>
          <cell r="AS174">
            <v>176</v>
          </cell>
          <cell r="AU174">
            <v>176</v>
          </cell>
          <cell r="AV174">
            <v>0</v>
          </cell>
          <cell r="AW174">
            <v>1499.52</v>
          </cell>
          <cell r="AX174">
            <v>1499.52</v>
          </cell>
          <cell r="AY174">
            <v>0</v>
          </cell>
          <cell r="AZ174">
            <v>1499.52</v>
          </cell>
          <cell r="BA174">
            <v>1499.52</v>
          </cell>
          <cell r="BB174">
            <v>1499.52</v>
          </cell>
          <cell r="BC174">
            <v>0</v>
          </cell>
          <cell r="BD174">
            <v>0</v>
          </cell>
          <cell r="BE174">
            <v>0</v>
          </cell>
          <cell r="BG174">
            <v>1499.52</v>
          </cell>
          <cell r="BI174">
            <v>1499.52</v>
          </cell>
          <cell r="BJ174">
            <v>6512</v>
          </cell>
          <cell r="BK174">
            <v>4623.5199999999995</v>
          </cell>
          <cell r="BL174">
            <v>3259.96</v>
          </cell>
          <cell r="BM174">
            <v>0</v>
          </cell>
          <cell r="BN174">
            <v>0</v>
          </cell>
          <cell r="BO174">
            <v>0</v>
          </cell>
          <cell r="BP174">
            <v>3259.96</v>
          </cell>
          <cell r="BQ174">
            <v>0</v>
          </cell>
          <cell r="BR174">
            <v>1363.5599999999995</v>
          </cell>
          <cell r="BS174" t="str">
            <v>Y</v>
          </cell>
          <cell r="BT174">
            <v>1</v>
          </cell>
          <cell r="BU174">
            <v>1</v>
          </cell>
          <cell r="BV174" t="str">
            <v>N</v>
          </cell>
          <cell r="BW174">
            <v>0</v>
          </cell>
          <cell r="BX174">
            <v>0</v>
          </cell>
          <cell r="BY174">
            <v>2026</v>
          </cell>
          <cell r="BZ174" t="str">
            <v>-</v>
          </cell>
          <cell r="CA174" t="str">
            <v>-</v>
          </cell>
        </row>
        <row r="175">
          <cell r="A175" t="str">
            <v>Lucknow</v>
          </cell>
          <cell r="B175" t="str">
            <v>Titans</v>
          </cell>
          <cell r="C175" t="str">
            <v>Mid Level</v>
          </cell>
          <cell r="D175" t="str">
            <v>Abhishek Yadav</v>
          </cell>
          <cell r="E175" t="str">
            <v>-</v>
          </cell>
          <cell r="F175" t="str">
            <v>Non-MSP</v>
          </cell>
          <cell r="H175" t="str">
            <v>Satyam Pandey</v>
          </cell>
          <cell r="J175" t="str">
            <v>ACH</v>
          </cell>
          <cell r="L175" t="str">
            <v>New</v>
          </cell>
          <cell r="M175">
            <v>46042</v>
          </cell>
          <cell r="N175">
            <v>160</v>
          </cell>
          <cell r="P175">
            <v>46407</v>
          </cell>
          <cell r="Q175" t="str">
            <v>PLC-4655</v>
          </cell>
          <cell r="R175" t="str">
            <v>Garry Francois</v>
          </cell>
          <cell r="S175" t="str">
            <v>Individual</v>
          </cell>
          <cell r="T175" t="str">
            <v>C2C Canada</v>
          </cell>
          <cell r="U175" t="str">
            <v>Genpact</v>
          </cell>
          <cell r="V175">
            <v>25</v>
          </cell>
          <cell r="W175">
            <v>0</v>
          </cell>
          <cell r="X175" t="str">
            <v>CAD</v>
          </cell>
          <cell r="Y175">
            <v>37</v>
          </cell>
          <cell r="Z175">
            <v>0</v>
          </cell>
          <cell r="AA175">
            <v>0</v>
          </cell>
          <cell r="AB175">
            <v>0</v>
          </cell>
          <cell r="AC175">
            <v>46127</v>
          </cell>
          <cell r="AD175">
            <v>22</v>
          </cell>
          <cell r="AE175">
            <v>46387</v>
          </cell>
          <cell r="AF175">
            <v>17.75</v>
          </cell>
          <cell r="AG175">
            <v>0</v>
          </cell>
          <cell r="AH175">
            <v>17.75</v>
          </cell>
          <cell r="AI175">
            <v>26.27</v>
          </cell>
          <cell r="AJ175">
            <v>0</v>
          </cell>
          <cell r="AK175">
            <v>0</v>
          </cell>
          <cell r="AL175">
            <v>8.52</v>
          </cell>
          <cell r="AM175">
            <v>0</v>
          </cell>
          <cell r="AN175">
            <v>8.52</v>
          </cell>
          <cell r="AO175">
            <v>0</v>
          </cell>
          <cell r="AP175">
            <v>8.52</v>
          </cell>
          <cell r="AQ175" t="str">
            <v>CAD_2133</v>
          </cell>
          <cell r="AR175">
            <v>0</v>
          </cell>
          <cell r="AS175">
            <v>176</v>
          </cell>
          <cell r="AU175">
            <v>176</v>
          </cell>
          <cell r="AV175">
            <v>0</v>
          </cell>
          <cell r="AW175">
            <v>1499.52</v>
          </cell>
          <cell r="AX175">
            <v>1484.5247999999999</v>
          </cell>
          <cell r="AY175">
            <v>0</v>
          </cell>
          <cell r="AZ175">
            <v>1499.52</v>
          </cell>
          <cell r="BA175">
            <v>1484.5247999999999</v>
          </cell>
          <cell r="BB175">
            <v>1499.52</v>
          </cell>
          <cell r="BC175">
            <v>0</v>
          </cell>
          <cell r="BD175">
            <v>0</v>
          </cell>
          <cell r="BE175">
            <v>0</v>
          </cell>
          <cell r="BG175">
            <v>1484.5247999999999</v>
          </cell>
          <cell r="BI175">
            <v>1484.5247999999999</v>
          </cell>
          <cell r="BJ175">
            <v>6512</v>
          </cell>
          <cell r="BK175">
            <v>4623.5199999999995</v>
          </cell>
          <cell r="BL175">
            <v>3259.96</v>
          </cell>
          <cell r="BM175">
            <v>0</v>
          </cell>
          <cell r="BN175">
            <v>0</v>
          </cell>
          <cell r="BO175">
            <v>0</v>
          </cell>
          <cell r="BP175">
            <v>3259.96</v>
          </cell>
          <cell r="BQ175">
            <v>0</v>
          </cell>
          <cell r="BR175">
            <v>1363.5599999999995</v>
          </cell>
          <cell r="BT175">
            <v>2</v>
          </cell>
          <cell r="BU175">
            <v>1</v>
          </cell>
          <cell r="BV175" t="str">
            <v>N</v>
          </cell>
          <cell r="BW175">
            <v>0</v>
          </cell>
          <cell r="BX175">
            <v>0</v>
          </cell>
          <cell r="BY175">
            <v>2026</v>
          </cell>
          <cell r="BZ175" t="str">
            <v>-</v>
          </cell>
          <cell r="CA175" t="str">
            <v>-</v>
          </cell>
        </row>
        <row r="176">
          <cell r="A176" t="str">
            <v>Lucknow</v>
          </cell>
          <cell r="B176" t="str">
            <v>Titans</v>
          </cell>
          <cell r="C176" t="str">
            <v>Mid Level</v>
          </cell>
          <cell r="D176" t="str">
            <v>Abhishek Yadav</v>
          </cell>
          <cell r="E176" t="str">
            <v>-</v>
          </cell>
          <cell r="F176" t="str">
            <v>Non-MSP</v>
          </cell>
          <cell r="H176" t="str">
            <v>Satyam Pandey</v>
          </cell>
          <cell r="J176" t="str">
            <v>ACH</v>
          </cell>
          <cell r="L176" t="str">
            <v>New</v>
          </cell>
          <cell r="M176">
            <v>46042</v>
          </cell>
          <cell r="N176">
            <v>160</v>
          </cell>
          <cell r="P176">
            <v>46407</v>
          </cell>
          <cell r="Q176" t="str">
            <v>PLC-4655</v>
          </cell>
          <cell r="R176" t="str">
            <v>Garry Francois</v>
          </cell>
          <cell r="S176" t="str">
            <v>Individual</v>
          </cell>
          <cell r="T176" t="str">
            <v>C2C Canada</v>
          </cell>
          <cell r="U176" t="str">
            <v>Genpact</v>
          </cell>
          <cell r="V176">
            <v>25</v>
          </cell>
          <cell r="W176">
            <v>0</v>
          </cell>
          <cell r="X176" t="str">
            <v>CAD</v>
          </cell>
          <cell r="Y176">
            <v>37</v>
          </cell>
          <cell r="Z176">
            <v>0</v>
          </cell>
          <cell r="AA176">
            <v>0</v>
          </cell>
          <cell r="AB176">
            <v>0</v>
          </cell>
          <cell r="AC176">
            <v>46157</v>
          </cell>
          <cell r="AD176">
            <v>22</v>
          </cell>
          <cell r="AE176">
            <v>46387</v>
          </cell>
          <cell r="AF176">
            <v>17.75</v>
          </cell>
          <cell r="AG176">
            <v>0</v>
          </cell>
          <cell r="AH176">
            <v>17.75</v>
          </cell>
          <cell r="AI176">
            <v>26.27</v>
          </cell>
          <cell r="AJ176">
            <v>0</v>
          </cell>
          <cell r="AK176">
            <v>0</v>
          </cell>
          <cell r="AL176">
            <v>8.52</v>
          </cell>
          <cell r="AM176">
            <v>0</v>
          </cell>
          <cell r="AN176">
            <v>8.52</v>
          </cell>
          <cell r="AO176">
            <v>0</v>
          </cell>
          <cell r="AP176">
            <v>8.52</v>
          </cell>
          <cell r="AQ176" t="str">
            <v>CAD_2179</v>
          </cell>
          <cell r="AR176">
            <v>0</v>
          </cell>
          <cell r="AS176">
            <v>160</v>
          </cell>
          <cell r="AU176">
            <v>160</v>
          </cell>
          <cell r="AV176">
            <v>0</v>
          </cell>
          <cell r="AW176">
            <v>1363.1999999999998</v>
          </cell>
          <cell r="AX176">
            <v>1349.5679999999998</v>
          </cell>
          <cell r="AY176">
            <v>0</v>
          </cell>
          <cell r="AZ176">
            <v>1363.1999999999998</v>
          </cell>
          <cell r="BA176">
            <v>1349.5679999999998</v>
          </cell>
          <cell r="BB176">
            <v>1363.1999999999998</v>
          </cell>
          <cell r="BC176">
            <v>0</v>
          </cell>
          <cell r="BD176">
            <v>0</v>
          </cell>
          <cell r="BE176">
            <v>0</v>
          </cell>
          <cell r="BG176">
            <v>1349.5679999999998</v>
          </cell>
          <cell r="BI176">
            <v>1349.5679999999998</v>
          </cell>
          <cell r="BJ176">
            <v>5920</v>
          </cell>
          <cell r="BK176">
            <v>4203.2</v>
          </cell>
          <cell r="BL176">
            <v>2963.6</v>
          </cell>
          <cell r="BM176">
            <v>0</v>
          </cell>
          <cell r="BN176">
            <v>0</v>
          </cell>
          <cell r="BO176">
            <v>0</v>
          </cell>
          <cell r="BP176">
            <v>2963.6</v>
          </cell>
          <cell r="BQ176">
            <v>0</v>
          </cell>
          <cell r="BR176">
            <v>1239.5999999999999</v>
          </cell>
          <cell r="BT176">
            <v>2</v>
          </cell>
          <cell r="BU176">
            <v>1</v>
          </cell>
          <cell r="BV176" t="str">
            <v>N</v>
          </cell>
          <cell r="BW176">
            <v>0</v>
          </cell>
          <cell r="BX176">
            <v>0</v>
          </cell>
          <cell r="BY176">
            <v>2026</v>
          </cell>
          <cell r="BZ176" t="str">
            <v>-</v>
          </cell>
          <cell r="CA176" t="str">
            <v>-</v>
          </cell>
        </row>
        <row r="177">
          <cell r="A177" t="str">
            <v>Lucknow</v>
          </cell>
          <cell r="B177" t="str">
            <v>Vantedge</v>
          </cell>
          <cell r="C177" t="str">
            <v>Mid Level</v>
          </cell>
          <cell r="D177" t="str">
            <v>Mayank Saxena</v>
          </cell>
          <cell r="E177" t="str">
            <v>-</v>
          </cell>
          <cell r="F177" t="str">
            <v>Non-MSP</v>
          </cell>
          <cell r="G177" t="str">
            <v>Vinoth L</v>
          </cell>
          <cell r="H177" t="str">
            <v>Dinesh Kumar Veluchamy</v>
          </cell>
          <cell r="L177" t="str">
            <v>New</v>
          </cell>
          <cell r="M177">
            <v>46076</v>
          </cell>
          <cell r="N177">
            <v>126</v>
          </cell>
          <cell r="P177">
            <v>46441</v>
          </cell>
          <cell r="Q177" t="str">
            <v>PLC-4745</v>
          </cell>
          <cell r="R177" t="str">
            <v>Gaurav Singla</v>
          </cell>
          <cell r="S177" t="str">
            <v>Split</v>
          </cell>
          <cell r="T177" t="str">
            <v>FTE</v>
          </cell>
          <cell r="U177" t="str">
            <v>Tredence</v>
          </cell>
          <cell r="V177">
            <v>0</v>
          </cell>
          <cell r="W177">
            <v>0</v>
          </cell>
          <cell r="X177" t="str">
            <v>USD</v>
          </cell>
          <cell r="Y177">
            <v>14400</v>
          </cell>
          <cell r="Z177">
            <v>0</v>
          </cell>
          <cell r="AA177">
            <v>0</v>
          </cell>
          <cell r="AB177">
            <v>0</v>
          </cell>
          <cell r="AC177">
            <v>46068</v>
          </cell>
          <cell r="AD177">
            <v>1</v>
          </cell>
          <cell r="AE177">
            <v>46387</v>
          </cell>
          <cell r="AF177">
            <v>0</v>
          </cell>
          <cell r="AG177">
            <v>0</v>
          </cell>
          <cell r="AH177">
            <v>0</v>
          </cell>
          <cell r="AI177">
            <v>14400</v>
          </cell>
          <cell r="AJ177">
            <v>0</v>
          </cell>
          <cell r="AK177">
            <v>0</v>
          </cell>
          <cell r="AL177">
            <v>14400</v>
          </cell>
          <cell r="AM177">
            <v>0</v>
          </cell>
          <cell r="AN177">
            <v>7200</v>
          </cell>
          <cell r="AO177">
            <v>0</v>
          </cell>
          <cell r="AP177">
            <v>7200</v>
          </cell>
          <cell r="AQ177" t="str">
            <v>US_27204</v>
          </cell>
          <cell r="AR177">
            <v>0</v>
          </cell>
          <cell r="AS177">
            <v>1</v>
          </cell>
          <cell r="AU177">
            <v>1</v>
          </cell>
          <cell r="AV177">
            <v>0</v>
          </cell>
          <cell r="AW177">
            <v>7200</v>
          </cell>
          <cell r="AX177">
            <v>7200</v>
          </cell>
          <cell r="AY177">
            <v>0</v>
          </cell>
          <cell r="AZ177">
            <v>7200</v>
          </cell>
          <cell r="BA177">
            <v>7200</v>
          </cell>
          <cell r="BB177">
            <v>7200</v>
          </cell>
          <cell r="BC177">
            <v>116.66666666666667</v>
          </cell>
          <cell r="BD177">
            <v>12672</v>
          </cell>
          <cell r="BE177">
            <v>12672</v>
          </cell>
          <cell r="BG177">
            <v>7200</v>
          </cell>
          <cell r="BI177">
            <v>7200</v>
          </cell>
          <cell r="BJ177">
            <v>7200</v>
          </cell>
          <cell r="BK177">
            <v>7200</v>
          </cell>
          <cell r="BL177">
            <v>0</v>
          </cell>
          <cell r="BM177">
            <v>0</v>
          </cell>
          <cell r="BN177">
            <v>0</v>
          </cell>
          <cell r="BO177">
            <v>0</v>
          </cell>
          <cell r="BP177">
            <v>0</v>
          </cell>
          <cell r="BQ177">
            <v>0</v>
          </cell>
          <cell r="BR177">
            <v>7200</v>
          </cell>
          <cell r="BS177" t="str">
            <v>Y</v>
          </cell>
          <cell r="BT177">
            <v>1</v>
          </cell>
          <cell r="BU177">
            <v>1</v>
          </cell>
          <cell r="BV177" t="str">
            <v>Y</v>
          </cell>
          <cell r="BW177">
            <v>25344</v>
          </cell>
          <cell r="BX177">
            <v>25344</v>
          </cell>
          <cell r="BY177">
            <v>2026</v>
          </cell>
          <cell r="BZ177" t="str">
            <v>-</v>
          </cell>
          <cell r="CA177" t="str">
            <v>-</v>
          </cell>
        </row>
        <row r="178">
          <cell r="A178" t="str">
            <v>Lucknow</v>
          </cell>
          <cell r="B178" t="str">
            <v>Chennai</v>
          </cell>
          <cell r="C178" t="str">
            <v>Mid Level</v>
          </cell>
          <cell r="D178" t="str">
            <v>Vinoth L</v>
          </cell>
          <cell r="E178" t="str">
            <v>-</v>
          </cell>
          <cell r="F178" t="str">
            <v>Non-MSP</v>
          </cell>
          <cell r="G178" t="str">
            <v>Mayank Saxena</v>
          </cell>
          <cell r="H178" t="str">
            <v>Dinesh Kumar Veluchamy</v>
          </cell>
          <cell r="L178" t="str">
            <v>New</v>
          </cell>
          <cell r="M178">
            <v>46076</v>
          </cell>
          <cell r="N178">
            <v>126</v>
          </cell>
          <cell r="P178">
            <v>46441</v>
          </cell>
          <cell r="Q178" t="str">
            <v>PLC-4745</v>
          </cell>
          <cell r="R178" t="str">
            <v>Gaurav Singla</v>
          </cell>
          <cell r="S178" t="str">
            <v>Split</v>
          </cell>
          <cell r="T178" t="str">
            <v>FTE</v>
          </cell>
          <cell r="U178" t="str">
            <v>Tredence</v>
          </cell>
          <cell r="V178">
            <v>0</v>
          </cell>
          <cell r="W178">
            <v>0</v>
          </cell>
          <cell r="X178" t="str">
            <v>USD</v>
          </cell>
          <cell r="Y178">
            <v>14400</v>
          </cell>
          <cell r="Z178">
            <v>0</v>
          </cell>
          <cell r="AA178">
            <v>0</v>
          </cell>
          <cell r="AB178">
            <v>0</v>
          </cell>
          <cell r="AC178">
            <v>46068</v>
          </cell>
          <cell r="AD178">
            <v>1</v>
          </cell>
          <cell r="AE178">
            <v>46387</v>
          </cell>
          <cell r="AF178">
            <v>0</v>
          </cell>
          <cell r="AG178">
            <v>0</v>
          </cell>
          <cell r="AH178">
            <v>0</v>
          </cell>
          <cell r="AI178">
            <v>14400</v>
          </cell>
          <cell r="AJ178">
            <v>0</v>
          </cell>
          <cell r="AK178">
            <v>0</v>
          </cell>
          <cell r="AL178">
            <v>14400</v>
          </cell>
          <cell r="AM178">
            <v>0</v>
          </cell>
          <cell r="AN178">
            <v>7200</v>
          </cell>
          <cell r="AO178">
            <v>0</v>
          </cell>
          <cell r="AP178">
            <v>7200</v>
          </cell>
          <cell r="AQ178" t="str">
            <v>US_27204</v>
          </cell>
          <cell r="AR178">
            <v>0</v>
          </cell>
          <cell r="AS178">
            <v>1</v>
          </cell>
          <cell r="AU178">
            <v>1</v>
          </cell>
          <cell r="AV178">
            <v>0</v>
          </cell>
          <cell r="AW178">
            <v>7200</v>
          </cell>
          <cell r="AX178">
            <v>7200</v>
          </cell>
          <cell r="AY178">
            <v>0</v>
          </cell>
          <cell r="AZ178">
            <v>7200</v>
          </cell>
          <cell r="BA178">
            <v>7200</v>
          </cell>
          <cell r="BB178">
            <v>7200</v>
          </cell>
          <cell r="BC178">
            <v>116.66666666666667</v>
          </cell>
          <cell r="BD178">
            <v>12672</v>
          </cell>
          <cell r="BE178">
            <v>12672</v>
          </cell>
          <cell r="BG178">
            <v>7200</v>
          </cell>
          <cell r="BI178">
            <v>7200</v>
          </cell>
          <cell r="BJ178">
            <v>7200</v>
          </cell>
          <cell r="BK178">
            <v>7200</v>
          </cell>
          <cell r="BL178">
            <v>0</v>
          </cell>
          <cell r="BM178">
            <v>0</v>
          </cell>
          <cell r="BN178">
            <v>0</v>
          </cell>
          <cell r="BO178">
            <v>0</v>
          </cell>
          <cell r="BP178">
            <v>0</v>
          </cell>
          <cell r="BQ178">
            <v>0</v>
          </cell>
          <cell r="BR178">
            <v>7200</v>
          </cell>
          <cell r="BS178" t="str">
            <v>Y</v>
          </cell>
          <cell r="BT178">
            <v>1</v>
          </cell>
          <cell r="BU178">
            <v>1</v>
          </cell>
          <cell r="BV178" t="str">
            <v>Y</v>
          </cell>
          <cell r="BW178">
            <v>25344</v>
          </cell>
          <cell r="BX178">
            <v>25344</v>
          </cell>
          <cell r="BY178">
            <v>2026</v>
          </cell>
          <cell r="BZ178" t="str">
            <v>-</v>
          </cell>
          <cell r="CA178" t="str">
            <v>-</v>
          </cell>
        </row>
        <row r="179">
          <cell r="A179" t="str">
            <v>Lucknow</v>
          </cell>
          <cell r="B179" t="str">
            <v>Mavericks</v>
          </cell>
          <cell r="C179" t="str">
            <v>Mid Level</v>
          </cell>
          <cell r="D179" t="str">
            <v>Akash Saxena</v>
          </cell>
          <cell r="F179" t="str">
            <v>Non-MSP</v>
          </cell>
          <cell r="H179" t="str">
            <v>Prashant Pal</v>
          </cell>
          <cell r="J179" t="str">
            <v>ACH</v>
          </cell>
          <cell r="L179" t="str">
            <v>New</v>
          </cell>
          <cell r="M179">
            <v>46132</v>
          </cell>
          <cell r="N179">
            <v>70</v>
          </cell>
          <cell r="P179">
            <v>46497</v>
          </cell>
          <cell r="Q179" t="str">
            <v>PLC-4854</v>
          </cell>
          <cell r="R179" t="str">
            <v>Gauri Pandey</v>
          </cell>
          <cell r="S179" t="str">
            <v>Individual</v>
          </cell>
          <cell r="T179" t="str">
            <v>C2C</v>
          </cell>
          <cell r="U179" t="str">
            <v>Citius Tech</v>
          </cell>
          <cell r="V179">
            <v>55</v>
          </cell>
          <cell r="W179">
            <v>0</v>
          </cell>
          <cell r="X179" t="str">
            <v>USD</v>
          </cell>
          <cell r="Y179">
            <v>72</v>
          </cell>
          <cell r="Z179">
            <v>0</v>
          </cell>
          <cell r="AA179">
            <v>0</v>
          </cell>
          <cell r="AB179">
            <v>3</v>
          </cell>
          <cell r="AC179">
            <v>46127</v>
          </cell>
          <cell r="AD179">
            <v>9</v>
          </cell>
          <cell r="AE179">
            <v>46387</v>
          </cell>
          <cell r="AF179">
            <v>55</v>
          </cell>
          <cell r="AG179">
            <v>0</v>
          </cell>
          <cell r="AH179">
            <v>58</v>
          </cell>
          <cell r="AI179">
            <v>72</v>
          </cell>
          <cell r="AJ179">
            <v>0</v>
          </cell>
          <cell r="AK179">
            <v>0</v>
          </cell>
          <cell r="AL179">
            <v>14</v>
          </cell>
          <cell r="AM179">
            <v>0</v>
          </cell>
          <cell r="AN179">
            <v>14</v>
          </cell>
          <cell r="AO179">
            <v>0</v>
          </cell>
          <cell r="AP179">
            <v>14</v>
          </cell>
          <cell r="AQ179" t="str">
            <v>US_27713</v>
          </cell>
          <cell r="AR179">
            <v>0</v>
          </cell>
          <cell r="AS179">
            <v>72</v>
          </cell>
          <cell r="AU179">
            <v>72</v>
          </cell>
          <cell r="AV179">
            <v>0</v>
          </cell>
          <cell r="AW179">
            <v>1008</v>
          </cell>
          <cell r="AX179">
            <v>997.92</v>
          </cell>
          <cell r="AY179">
            <v>0</v>
          </cell>
          <cell r="AZ179">
            <v>1008</v>
          </cell>
          <cell r="BA179">
            <v>997.92</v>
          </cell>
          <cell r="BB179">
            <v>1008</v>
          </cell>
          <cell r="BC179">
            <v>0</v>
          </cell>
          <cell r="BD179">
            <v>0</v>
          </cell>
          <cell r="BE179">
            <v>0</v>
          </cell>
          <cell r="BG179">
            <v>997.92</v>
          </cell>
          <cell r="BI179">
            <v>0</v>
          </cell>
          <cell r="BJ179">
            <v>5184</v>
          </cell>
          <cell r="BK179">
            <v>5184</v>
          </cell>
          <cell r="BL179">
            <v>3960</v>
          </cell>
          <cell r="BM179">
            <v>0</v>
          </cell>
          <cell r="BN179">
            <v>216</v>
          </cell>
          <cell r="BO179">
            <v>0</v>
          </cell>
          <cell r="BP179">
            <v>4176</v>
          </cell>
          <cell r="BQ179">
            <v>3</v>
          </cell>
          <cell r="BR179">
            <v>1008</v>
          </cell>
          <cell r="BT179">
            <v>2</v>
          </cell>
          <cell r="BU179">
            <v>2</v>
          </cell>
          <cell r="BV179" t="str">
            <v>N</v>
          </cell>
          <cell r="BW179">
            <v>0</v>
          </cell>
          <cell r="BX179">
            <v>0</v>
          </cell>
          <cell r="BY179">
            <v>2026</v>
          </cell>
          <cell r="BZ179" t="str">
            <v>-</v>
          </cell>
          <cell r="CA179" t="str">
            <v>-</v>
          </cell>
        </row>
        <row r="180">
          <cell r="A180" t="str">
            <v>Lucknow</v>
          </cell>
          <cell r="B180" t="str">
            <v>Mavericks</v>
          </cell>
          <cell r="C180" t="str">
            <v>Mid Level</v>
          </cell>
          <cell r="D180" t="str">
            <v>Akash Saxena</v>
          </cell>
          <cell r="F180" t="str">
            <v>Non-MSP</v>
          </cell>
          <cell r="H180" t="str">
            <v>Prashant Pal</v>
          </cell>
          <cell r="J180" t="str">
            <v>ACH</v>
          </cell>
          <cell r="L180" t="str">
            <v>New</v>
          </cell>
          <cell r="M180">
            <v>46132</v>
          </cell>
          <cell r="N180">
            <v>70</v>
          </cell>
          <cell r="P180">
            <v>46497</v>
          </cell>
          <cell r="Q180" t="str">
            <v>PLC-4854</v>
          </cell>
          <cell r="R180" t="str">
            <v>Gauri Pandey</v>
          </cell>
          <cell r="S180" t="str">
            <v>Individual</v>
          </cell>
          <cell r="T180" t="str">
            <v>C2C</v>
          </cell>
          <cell r="U180" t="str">
            <v>Citius Tech</v>
          </cell>
          <cell r="V180">
            <v>55</v>
          </cell>
          <cell r="W180">
            <v>0</v>
          </cell>
          <cell r="X180" t="str">
            <v>USD</v>
          </cell>
          <cell r="Y180">
            <v>72</v>
          </cell>
          <cell r="Z180">
            <v>0</v>
          </cell>
          <cell r="AA180">
            <v>0</v>
          </cell>
          <cell r="AB180">
            <v>3</v>
          </cell>
          <cell r="AC180">
            <v>46157</v>
          </cell>
          <cell r="AD180">
            <v>9</v>
          </cell>
          <cell r="AE180">
            <v>46387</v>
          </cell>
          <cell r="AF180">
            <v>55</v>
          </cell>
          <cell r="AG180">
            <v>0</v>
          </cell>
          <cell r="AH180">
            <v>58</v>
          </cell>
          <cell r="AI180">
            <v>72</v>
          </cell>
          <cell r="AJ180">
            <v>0</v>
          </cell>
          <cell r="AK180">
            <v>0</v>
          </cell>
          <cell r="AL180">
            <v>14</v>
          </cell>
          <cell r="AM180">
            <v>0</v>
          </cell>
          <cell r="AN180">
            <v>14</v>
          </cell>
          <cell r="AO180">
            <v>0</v>
          </cell>
          <cell r="AP180">
            <v>14</v>
          </cell>
          <cell r="AQ180" t="str">
            <v>US_27737</v>
          </cell>
          <cell r="AR180">
            <v>0</v>
          </cell>
          <cell r="AS180">
            <v>160</v>
          </cell>
          <cell r="AU180">
            <v>160</v>
          </cell>
          <cell r="AV180">
            <v>0</v>
          </cell>
          <cell r="AW180">
            <v>2240</v>
          </cell>
          <cell r="AX180">
            <v>2217.6</v>
          </cell>
          <cell r="AY180">
            <v>0</v>
          </cell>
          <cell r="AZ180">
            <v>2240</v>
          </cell>
          <cell r="BA180">
            <v>2217.6</v>
          </cell>
          <cell r="BB180">
            <v>2240</v>
          </cell>
          <cell r="BC180">
            <v>0</v>
          </cell>
          <cell r="BD180">
            <v>0</v>
          </cell>
          <cell r="BE180">
            <v>0</v>
          </cell>
          <cell r="BG180">
            <v>2217.6</v>
          </cell>
          <cell r="BI180">
            <v>0</v>
          </cell>
          <cell r="BJ180">
            <v>11520</v>
          </cell>
          <cell r="BK180">
            <v>11520</v>
          </cell>
          <cell r="BL180">
            <v>8800</v>
          </cell>
          <cell r="BM180">
            <v>0</v>
          </cell>
          <cell r="BN180">
            <v>480</v>
          </cell>
          <cell r="BO180">
            <v>0</v>
          </cell>
          <cell r="BP180">
            <v>9280</v>
          </cell>
          <cell r="BQ180">
            <v>3</v>
          </cell>
          <cell r="BR180">
            <v>2240</v>
          </cell>
          <cell r="BS180" t="str">
            <v>Y</v>
          </cell>
          <cell r="BT180">
            <v>2</v>
          </cell>
          <cell r="BU180">
            <v>2</v>
          </cell>
          <cell r="BV180" t="str">
            <v>N</v>
          </cell>
          <cell r="BW180">
            <v>0</v>
          </cell>
          <cell r="BX180">
            <v>0</v>
          </cell>
          <cell r="BY180">
            <v>2026</v>
          </cell>
          <cell r="BZ180" t="str">
            <v>-</v>
          </cell>
          <cell r="CA180" t="str">
            <v>-</v>
          </cell>
        </row>
        <row r="181">
          <cell r="A181" t="str">
            <v>Lucknow</v>
          </cell>
          <cell r="B181" t="str">
            <v>Trust</v>
          </cell>
          <cell r="C181" t="str">
            <v>Mid Level</v>
          </cell>
          <cell r="D181" t="str">
            <v>Shashank Yadav</v>
          </cell>
          <cell r="E181" t="str">
            <v>-</v>
          </cell>
          <cell r="F181" t="str">
            <v>Non-MSP</v>
          </cell>
          <cell r="H181" t="str">
            <v>Shivanshu Rastogi</v>
          </cell>
          <cell r="L181" t="str">
            <v>New</v>
          </cell>
          <cell r="M181">
            <v>46083</v>
          </cell>
          <cell r="N181">
            <v>119</v>
          </cell>
          <cell r="P181">
            <v>46448</v>
          </cell>
          <cell r="Q181" t="str">
            <v>PLC-4719</v>
          </cell>
          <cell r="R181" t="str">
            <v>Gina Vivona</v>
          </cell>
          <cell r="S181" t="str">
            <v>Individual</v>
          </cell>
          <cell r="T181" t="str">
            <v>Referral</v>
          </cell>
          <cell r="U181" t="str">
            <v>Reflik</v>
          </cell>
          <cell r="V181">
            <v>0</v>
          </cell>
          <cell r="W181">
            <v>0</v>
          </cell>
          <cell r="X181" t="str">
            <v>USD</v>
          </cell>
          <cell r="Y181">
            <v>3.7</v>
          </cell>
          <cell r="Z181">
            <v>0</v>
          </cell>
          <cell r="AA181">
            <v>0</v>
          </cell>
          <cell r="AB181">
            <v>0</v>
          </cell>
          <cell r="AC181">
            <v>46096</v>
          </cell>
          <cell r="AD181">
            <v>20</v>
          </cell>
          <cell r="AE181">
            <v>46387</v>
          </cell>
          <cell r="AF181">
            <v>0</v>
          </cell>
          <cell r="AG181">
            <v>0</v>
          </cell>
          <cell r="AH181">
            <v>0</v>
          </cell>
          <cell r="AI181">
            <v>3.7</v>
          </cell>
          <cell r="AJ181">
            <v>0</v>
          </cell>
          <cell r="AK181">
            <v>0</v>
          </cell>
          <cell r="AL181">
            <v>3.7</v>
          </cell>
          <cell r="AM181">
            <v>0</v>
          </cell>
          <cell r="AN181">
            <v>3.7</v>
          </cell>
          <cell r="AO181">
            <v>0</v>
          </cell>
          <cell r="AP181">
            <v>3.7</v>
          </cell>
          <cell r="AQ181" t="str">
            <v>US_27414</v>
          </cell>
          <cell r="AR181">
            <v>0</v>
          </cell>
          <cell r="AS181">
            <v>136</v>
          </cell>
          <cell r="AU181">
            <v>136</v>
          </cell>
          <cell r="AV181">
            <v>0</v>
          </cell>
          <cell r="AW181">
            <v>503.20000000000005</v>
          </cell>
          <cell r="AX181">
            <v>503.20000000000005</v>
          </cell>
          <cell r="AY181">
            <v>0</v>
          </cell>
          <cell r="AZ181">
            <v>503.20000000000005</v>
          </cell>
          <cell r="BA181">
            <v>503.20000000000005</v>
          </cell>
          <cell r="BB181">
            <v>503.20000000000005</v>
          </cell>
          <cell r="BC181">
            <v>0</v>
          </cell>
          <cell r="BD181">
            <v>0</v>
          </cell>
          <cell r="BE181">
            <v>0</v>
          </cell>
          <cell r="BG181">
            <v>503.20000000000005</v>
          </cell>
          <cell r="BI181">
            <v>503.20000000000005</v>
          </cell>
          <cell r="BJ181">
            <v>503.20000000000005</v>
          </cell>
          <cell r="BK181">
            <v>503.20000000000005</v>
          </cell>
          <cell r="BL181">
            <v>0</v>
          </cell>
          <cell r="BM181">
            <v>0</v>
          </cell>
          <cell r="BN181">
            <v>0</v>
          </cell>
          <cell r="BO181">
            <v>0</v>
          </cell>
          <cell r="BP181">
            <v>0</v>
          </cell>
          <cell r="BQ181">
            <v>0</v>
          </cell>
          <cell r="BR181">
            <v>503.20000000000005</v>
          </cell>
          <cell r="BS181" t="str">
            <v>Y</v>
          </cell>
          <cell r="BT181">
            <v>1</v>
          </cell>
          <cell r="BU181">
            <v>1</v>
          </cell>
          <cell r="BV181" t="str">
            <v>Y</v>
          </cell>
          <cell r="BW181">
            <v>0</v>
          </cell>
          <cell r="BX181">
            <v>0</v>
          </cell>
          <cell r="BY181">
            <v>2026</v>
          </cell>
          <cell r="BZ181" t="str">
            <v>-</v>
          </cell>
          <cell r="CA181" t="str">
            <v>-</v>
          </cell>
        </row>
        <row r="182">
          <cell r="A182" t="str">
            <v>Lucknow</v>
          </cell>
          <cell r="B182" t="str">
            <v>Trust</v>
          </cell>
          <cell r="C182" t="str">
            <v>Mid Level</v>
          </cell>
          <cell r="D182" t="str">
            <v>Shashank Yadav</v>
          </cell>
          <cell r="E182" t="str">
            <v>-</v>
          </cell>
          <cell r="F182" t="str">
            <v>Non-MSP</v>
          </cell>
          <cell r="H182" t="str">
            <v>Shivanshu Rastogi</v>
          </cell>
          <cell r="J182" t="str">
            <v>ACH</v>
          </cell>
          <cell r="L182" t="str">
            <v>New</v>
          </cell>
          <cell r="M182">
            <v>46083</v>
          </cell>
          <cell r="N182">
            <v>119</v>
          </cell>
          <cell r="P182">
            <v>46448</v>
          </cell>
          <cell r="Q182" t="str">
            <v>PLC-4719</v>
          </cell>
          <cell r="R182" t="str">
            <v>Gina Vivona</v>
          </cell>
          <cell r="S182" t="str">
            <v>Individual</v>
          </cell>
          <cell r="T182" t="str">
            <v>Referral</v>
          </cell>
          <cell r="U182" t="str">
            <v>Reflik</v>
          </cell>
          <cell r="V182">
            <v>0</v>
          </cell>
          <cell r="W182">
            <v>0</v>
          </cell>
          <cell r="X182" t="str">
            <v>USD</v>
          </cell>
          <cell r="Y182">
            <v>3.7</v>
          </cell>
          <cell r="Z182">
            <v>0</v>
          </cell>
          <cell r="AA182">
            <v>0</v>
          </cell>
          <cell r="AB182">
            <v>0</v>
          </cell>
          <cell r="AC182">
            <v>46127</v>
          </cell>
          <cell r="AD182">
            <v>22</v>
          </cell>
          <cell r="AE182">
            <v>46387</v>
          </cell>
          <cell r="AF182">
            <v>0</v>
          </cell>
          <cell r="AG182">
            <v>0</v>
          </cell>
          <cell r="AH182">
            <v>0</v>
          </cell>
          <cell r="AI182">
            <v>3.7</v>
          </cell>
          <cell r="AJ182">
            <v>0</v>
          </cell>
          <cell r="AK182">
            <v>0</v>
          </cell>
          <cell r="AL182">
            <v>3.7</v>
          </cell>
          <cell r="AM182">
            <v>0</v>
          </cell>
          <cell r="AN182">
            <v>3.7</v>
          </cell>
          <cell r="AO182">
            <v>0</v>
          </cell>
          <cell r="AP182">
            <v>3.7</v>
          </cell>
          <cell r="AQ182" t="str">
            <v>US_27645</v>
          </cell>
          <cell r="AR182">
            <v>0</v>
          </cell>
          <cell r="AS182">
            <v>120</v>
          </cell>
          <cell r="AU182">
            <v>120</v>
          </cell>
          <cell r="AV182">
            <v>0</v>
          </cell>
          <cell r="AW182">
            <v>444</v>
          </cell>
          <cell r="AX182">
            <v>439.56</v>
          </cell>
          <cell r="AY182">
            <v>0</v>
          </cell>
          <cell r="AZ182">
            <v>444</v>
          </cell>
          <cell r="BA182">
            <v>439.56</v>
          </cell>
          <cell r="BB182">
            <v>444</v>
          </cell>
          <cell r="BC182">
            <v>0</v>
          </cell>
          <cell r="BD182">
            <v>0</v>
          </cell>
          <cell r="BE182">
            <v>0</v>
          </cell>
          <cell r="BG182">
            <v>439.56</v>
          </cell>
          <cell r="BI182">
            <v>439.56</v>
          </cell>
          <cell r="BJ182">
            <v>444</v>
          </cell>
          <cell r="BK182">
            <v>444</v>
          </cell>
          <cell r="BL182">
            <v>0</v>
          </cell>
          <cell r="BM182">
            <v>0</v>
          </cell>
          <cell r="BN182">
            <v>0</v>
          </cell>
          <cell r="BO182">
            <v>0</v>
          </cell>
          <cell r="BP182">
            <v>0</v>
          </cell>
          <cell r="BQ182">
            <v>0</v>
          </cell>
          <cell r="BR182">
            <v>444</v>
          </cell>
          <cell r="BT182">
            <v>2</v>
          </cell>
          <cell r="BU182">
            <v>1</v>
          </cell>
          <cell r="BV182" t="str">
            <v>N</v>
          </cell>
          <cell r="BW182">
            <v>0</v>
          </cell>
          <cell r="BX182">
            <v>0</v>
          </cell>
          <cell r="BY182">
            <v>2026</v>
          </cell>
          <cell r="BZ182" t="str">
            <v>-</v>
          </cell>
          <cell r="CA182" t="str">
            <v>-</v>
          </cell>
        </row>
        <row r="183">
          <cell r="A183" t="str">
            <v>Lucknow</v>
          </cell>
          <cell r="B183" t="str">
            <v>Trust</v>
          </cell>
          <cell r="C183" t="str">
            <v>Mid Level</v>
          </cell>
          <cell r="D183" t="str">
            <v>Shashank Yadav</v>
          </cell>
          <cell r="E183" t="str">
            <v>-</v>
          </cell>
          <cell r="F183" t="str">
            <v>Non-MSP</v>
          </cell>
          <cell r="H183" t="str">
            <v>Shivanshu Rastogi</v>
          </cell>
          <cell r="J183" t="str">
            <v>ACH</v>
          </cell>
          <cell r="L183" t="str">
            <v>New</v>
          </cell>
          <cell r="M183">
            <v>46083</v>
          </cell>
          <cell r="N183">
            <v>119</v>
          </cell>
          <cell r="P183">
            <v>46448</v>
          </cell>
          <cell r="Q183" t="str">
            <v>PLC-4719</v>
          </cell>
          <cell r="R183" t="str">
            <v>Gina Vivona</v>
          </cell>
          <cell r="S183" t="str">
            <v>Individual</v>
          </cell>
          <cell r="T183" t="str">
            <v>Referral</v>
          </cell>
          <cell r="U183" t="str">
            <v>Reflik</v>
          </cell>
          <cell r="V183">
            <v>0</v>
          </cell>
          <cell r="W183">
            <v>0</v>
          </cell>
          <cell r="X183" t="str">
            <v>USD</v>
          </cell>
          <cell r="Y183">
            <v>3.7</v>
          </cell>
          <cell r="Z183">
            <v>0</v>
          </cell>
          <cell r="AA183">
            <v>0</v>
          </cell>
          <cell r="AB183">
            <v>0</v>
          </cell>
          <cell r="AC183">
            <v>46157</v>
          </cell>
          <cell r="AD183">
            <v>22</v>
          </cell>
          <cell r="AE183">
            <v>46387</v>
          </cell>
          <cell r="AF183">
            <v>0</v>
          </cell>
          <cell r="AG183">
            <v>0</v>
          </cell>
          <cell r="AH183">
            <v>0</v>
          </cell>
          <cell r="AI183">
            <v>3.7</v>
          </cell>
          <cell r="AJ183">
            <v>0</v>
          </cell>
          <cell r="AK183">
            <v>0</v>
          </cell>
          <cell r="AL183">
            <v>3.7</v>
          </cell>
          <cell r="AM183">
            <v>0</v>
          </cell>
          <cell r="AN183">
            <v>3.7</v>
          </cell>
          <cell r="AO183">
            <v>0</v>
          </cell>
          <cell r="AP183">
            <v>3.7</v>
          </cell>
          <cell r="AU183">
            <v>176</v>
          </cell>
          <cell r="BB183">
            <v>651.20000000000005</v>
          </cell>
          <cell r="BC183">
            <v>0</v>
          </cell>
          <cell r="BD183">
            <v>0</v>
          </cell>
          <cell r="BE183">
            <v>0</v>
          </cell>
          <cell r="BK183">
            <v>651.20000000000005</v>
          </cell>
          <cell r="BL183">
            <v>0</v>
          </cell>
          <cell r="BM183">
            <v>0</v>
          </cell>
          <cell r="BN183">
            <v>0</v>
          </cell>
          <cell r="BO183">
            <v>0</v>
          </cell>
          <cell r="BP183">
            <v>0</v>
          </cell>
          <cell r="BQ183">
            <v>0</v>
          </cell>
          <cell r="BR183">
            <v>651.20000000000005</v>
          </cell>
          <cell r="BT183">
            <v>2</v>
          </cell>
          <cell r="BU183">
            <v>1</v>
          </cell>
          <cell r="BV183" t="str">
            <v>N</v>
          </cell>
          <cell r="BW183">
            <v>0</v>
          </cell>
          <cell r="BX183">
            <v>0</v>
          </cell>
          <cell r="BY183">
            <v>2026</v>
          </cell>
          <cell r="BZ183" t="str">
            <v>-</v>
          </cell>
          <cell r="CA183" t="str">
            <v>-</v>
          </cell>
        </row>
        <row r="184">
          <cell r="A184" t="str">
            <v>Lucknow</v>
          </cell>
          <cell r="B184" t="str">
            <v>Titans</v>
          </cell>
          <cell r="C184" t="str">
            <v>Mid Level</v>
          </cell>
          <cell r="D184" t="str">
            <v>Abhishek Yadav</v>
          </cell>
          <cell r="E184" t="str">
            <v>-</v>
          </cell>
          <cell r="F184" t="str">
            <v>Non-MSP</v>
          </cell>
          <cell r="H184" t="str">
            <v>Shubham Tripathi</v>
          </cell>
          <cell r="L184" t="str">
            <v>New</v>
          </cell>
          <cell r="M184">
            <v>46027</v>
          </cell>
          <cell r="N184">
            <v>175</v>
          </cell>
          <cell r="P184">
            <v>46392</v>
          </cell>
          <cell r="Q184" t="str">
            <v>PLC-4618</v>
          </cell>
          <cell r="R184" t="str">
            <v>Girish Sai Thiruvidhula</v>
          </cell>
          <cell r="S184" t="str">
            <v>Individual</v>
          </cell>
          <cell r="T184" t="str">
            <v>C2C Canada</v>
          </cell>
          <cell r="U184" t="str">
            <v>Genpact</v>
          </cell>
          <cell r="V184">
            <v>50</v>
          </cell>
          <cell r="W184">
            <v>0</v>
          </cell>
          <cell r="X184" t="str">
            <v>CAD</v>
          </cell>
          <cell r="Y184">
            <v>65</v>
          </cell>
          <cell r="Z184">
            <v>0</v>
          </cell>
          <cell r="AA184">
            <v>0</v>
          </cell>
          <cell r="AB184">
            <v>0</v>
          </cell>
          <cell r="AC184">
            <v>46037</v>
          </cell>
          <cell r="AD184">
            <v>20</v>
          </cell>
          <cell r="AE184">
            <v>46387</v>
          </cell>
          <cell r="AF184">
            <v>35.5</v>
          </cell>
          <cell r="AG184">
            <v>0</v>
          </cell>
          <cell r="AH184">
            <v>35.5</v>
          </cell>
          <cell r="AI184">
            <v>46.15</v>
          </cell>
          <cell r="AJ184">
            <v>0</v>
          </cell>
          <cell r="AK184">
            <v>0</v>
          </cell>
          <cell r="AL184">
            <v>10.649999999999999</v>
          </cell>
          <cell r="AM184">
            <v>0</v>
          </cell>
          <cell r="AN184">
            <v>10.649999999999999</v>
          </cell>
          <cell r="AO184">
            <v>0</v>
          </cell>
          <cell r="AP184">
            <v>10.649999999999999</v>
          </cell>
          <cell r="AQ184" t="str">
            <v>CAD_1940</v>
          </cell>
          <cell r="AR184">
            <v>0</v>
          </cell>
          <cell r="AS184">
            <v>160</v>
          </cell>
          <cell r="AU184">
            <v>160</v>
          </cell>
          <cell r="AV184">
            <v>0</v>
          </cell>
          <cell r="AW184">
            <v>1703.9999999999998</v>
          </cell>
          <cell r="AX184">
            <v>1703.9999999999998</v>
          </cell>
          <cell r="AY184">
            <v>0</v>
          </cell>
          <cell r="AZ184">
            <v>1703.9999999999998</v>
          </cell>
          <cell r="BA184">
            <v>1703.9999999999998</v>
          </cell>
          <cell r="BB184">
            <v>1703.9999999999998</v>
          </cell>
          <cell r="BC184">
            <v>42.857142857142854</v>
          </cell>
          <cell r="BD184">
            <v>2249.2799999999997</v>
          </cell>
          <cell r="BE184">
            <v>2249.2799999999997</v>
          </cell>
          <cell r="BG184">
            <v>1703.9999999999998</v>
          </cell>
          <cell r="BI184">
            <v>1703.9999999999998</v>
          </cell>
          <cell r="BJ184">
            <v>10400</v>
          </cell>
          <cell r="BK184">
            <v>7384</v>
          </cell>
          <cell r="BL184">
            <v>5927.2</v>
          </cell>
          <cell r="BM184">
            <v>0</v>
          </cell>
          <cell r="BN184">
            <v>0</v>
          </cell>
          <cell r="BO184">
            <v>0</v>
          </cell>
          <cell r="BP184">
            <v>5927.2</v>
          </cell>
          <cell r="BQ184">
            <v>0</v>
          </cell>
          <cell r="BR184">
            <v>1456.8000000000002</v>
          </cell>
          <cell r="BS184" t="str">
            <v>Y</v>
          </cell>
          <cell r="BT184">
            <v>1</v>
          </cell>
          <cell r="BU184">
            <v>1</v>
          </cell>
          <cell r="BV184" t="str">
            <v>N</v>
          </cell>
          <cell r="BW184">
            <v>4498.5599999999995</v>
          </cell>
          <cell r="BX184">
            <v>4498.5599999999995</v>
          </cell>
          <cell r="BY184">
            <v>2026</v>
          </cell>
          <cell r="BZ184" t="str">
            <v>-</v>
          </cell>
          <cell r="CA184" t="str">
            <v>-</v>
          </cell>
        </row>
        <row r="185">
          <cell r="A185" t="str">
            <v>Lucknow</v>
          </cell>
          <cell r="B185" t="str">
            <v>Titans</v>
          </cell>
          <cell r="C185" t="str">
            <v>Mid Level</v>
          </cell>
          <cell r="D185" t="str">
            <v>Abhishek Yadav</v>
          </cell>
          <cell r="E185" t="str">
            <v>-</v>
          </cell>
          <cell r="F185" t="str">
            <v>Non-MSP</v>
          </cell>
          <cell r="H185" t="str">
            <v>Shubham Tripathi</v>
          </cell>
          <cell r="L185" t="str">
            <v>New</v>
          </cell>
          <cell r="M185">
            <v>46027</v>
          </cell>
          <cell r="N185">
            <v>175</v>
          </cell>
          <cell r="P185">
            <v>46392</v>
          </cell>
          <cell r="Q185" t="str">
            <v>PLC-4618</v>
          </cell>
          <cell r="R185" t="str">
            <v>Girish Sai Thiruvidhula</v>
          </cell>
          <cell r="S185" t="str">
            <v>Individual</v>
          </cell>
          <cell r="T185" t="str">
            <v>C2C Canada</v>
          </cell>
          <cell r="U185" t="str">
            <v>Genpact</v>
          </cell>
          <cell r="V185">
            <v>50</v>
          </cell>
          <cell r="W185">
            <v>0</v>
          </cell>
          <cell r="X185" t="str">
            <v>CAD</v>
          </cell>
          <cell r="Y185">
            <v>65</v>
          </cell>
          <cell r="Z185">
            <v>0</v>
          </cell>
          <cell r="AA185">
            <v>0</v>
          </cell>
          <cell r="AB185">
            <v>0</v>
          </cell>
          <cell r="AC185">
            <v>46068</v>
          </cell>
          <cell r="AD185">
            <v>20</v>
          </cell>
          <cell r="AE185">
            <v>46387</v>
          </cell>
          <cell r="AF185">
            <v>35.5</v>
          </cell>
          <cell r="AG185">
            <v>0</v>
          </cell>
          <cell r="AH185">
            <v>35.5</v>
          </cell>
          <cell r="AI185">
            <v>46.15</v>
          </cell>
          <cell r="AJ185">
            <v>0</v>
          </cell>
          <cell r="AK185">
            <v>0</v>
          </cell>
          <cell r="AL185">
            <v>10.649999999999999</v>
          </cell>
          <cell r="AM185">
            <v>0</v>
          </cell>
          <cell r="AN185">
            <v>10.649999999999999</v>
          </cell>
          <cell r="AO185">
            <v>0</v>
          </cell>
          <cell r="AP185">
            <v>10.649999999999999</v>
          </cell>
          <cell r="AQ185" t="str">
            <v>CAD_1998</v>
          </cell>
          <cell r="AR185">
            <v>0</v>
          </cell>
          <cell r="AS185">
            <v>152</v>
          </cell>
          <cell r="AU185">
            <v>152</v>
          </cell>
          <cell r="AV185">
            <v>0</v>
          </cell>
          <cell r="AW185">
            <v>1618.7999999999997</v>
          </cell>
          <cell r="AX185">
            <v>1618.7999999999997</v>
          </cell>
          <cell r="AY185">
            <v>0</v>
          </cell>
          <cell r="AZ185">
            <v>1618.7999999999997</v>
          </cell>
          <cell r="BA185">
            <v>1618.7999999999997</v>
          </cell>
          <cell r="BB185">
            <v>1618.7999999999997</v>
          </cell>
          <cell r="BC185">
            <v>42.857142857142854</v>
          </cell>
          <cell r="BD185">
            <v>2136.8159999999998</v>
          </cell>
          <cell r="BE185">
            <v>2136.8159999999998</v>
          </cell>
          <cell r="BG185">
            <v>1618.7999999999997</v>
          </cell>
          <cell r="BI185">
            <v>1618.7999999999997</v>
          </cell>
          <cell r="BJ185">
            <v>9880</v>
          </cell>
          <cell r="BK185">
            <v>7014.8</v>
          </cell>
          <cell r="BL185">
            <v>5630.84</v>
          </cell>
          <cell r="BM185">
            <v>0</v>
          </cell>
          <cell r="BN185">
            <v>0</v>
          </cell>
          <cell r="BO185">
            <v>0</v>
          </cell>
          <cell r="BP185">
            <v>5630.84</v>
          </cell>
          <cell r="BQ185">
            <v>0</v>
          </cell>
          <cell r="BR185">
            <v>1383.96</v>
          </cell>
          <cell r="BS185" t="str">
            <v>Y</v>
          </cell>
          <cell r="BT185">
            <v>1</v>
          </cell>
          <cell r="BU185">
            <v>1</v>
          </cell>
          <cell r="BV185" t="str">
            <v>N</v>
          </cell>
          <cell r="BW185">
            <v>4273.6319999999996</v>
          </cell>
          <cell r="BX185">
            <v>4273.6319999999996</v>
          </cell>
          <cell r="BY185">
            <v>2026</v>
          </cell>
          <cell r="BZ185" t="str">
            <v>-</v>
          </cell>
          <cell r="CA185" t="str">
            <v>-</v>
          </cell>
        </row>
        <row r="186">
          <cell r="A186" t="str">
            <v>Lucknow</v>
          </cell>
          <cell r="B186" t="str">
            <v>Titans</v>
          </cell>
          <cell r="C186" t="str">
            <v>Mid Level</v>
          </cell>
          <cell r="D186" t="str">
            <v>Abhishek Yadav</v>
          </cell>
          <cell r="E186" t="str">
            <v>-</v>
          </cell>
          <cell r="F186" t="str">
            <v>Non-MSP</v>
          </cell>
          <cell r="H186" t="str">
            <v>Shubham Tripathi</v>
          </cell>
          <cell r="L186" t="str">
            <v>New</v>
          </cell>
          <cell r="M186">
            <v>46027</v>
          </cell>
          <cell r="N186">
            <v>175</v>
          </cell>
          <cell r="P186">
            <v>46392</v>
          </cell>
          <cell r="Q186" t="str">
            <v>PLC-4618</v>
          </cell>
          <cell r="R186" t="str">
            <v>Girish Sai Thiruvidhula</v>
          </cell>
          <cell r="S186" t="str">
            <v>Individual</v>
          </cell>
          <cell r="T186" t="str">
            <v>C2C Canada</v>
          </cell>
          <cell r="U186" t="str">
            <v>Genpact</v>
          </cell>
          <cell r="V186">
            <v>50</v>
          </cell>
          <cell r="W186">
            <v>0</v>
          </cell>
          <cell r="X186" t="str">
            <v>CAD</v>
          </cell>
          <cell r="Y186">
            <v>65</v>
          </cell>
          <cell r="Z186">
            <v>0</v>
          </cell>
          <cell r="AA186">
            <v>0</v>
          </cell>
          <cell r="AB186">
            <v>0</v>
          </cell>
          <cell r="AC186">
            <v>46096</v>
          </cell>
          <cell r="AD186">
            <v>22</v>
          </cell>
          <cell r="AE186">
            <v>46387</v>
          </cell>
          <cell r="AF186">
            <v>35.5</v>
          </cell>
          <cell r="AG186">
            <v>0</v>
          </cell>
          <cell r="AH186">
            <v>35.5</v>
          </cell>
          <cell r="AI186">
            <v>46.15</v>
          </cell>
          <cell r="AJ186">
            <v>0</v>
          </cell>
          <cell r="AK186">
            <v>0</v>
          </cell>
          <cell r="AL186">
            <v>10.649999999999999</v>
          </cell>
          <cell r="AM186">
            <v>0</v>
          </cell>
          <cell r="AN186">
            <v>10.649999999999999</v>
          </cell>
          <cell r="AO186">
            <v>0</v>
          </cell>
          <cell r="AP186">
            <v>10.649999999999999</v>
          </cell>
          <cell r="AQ186" t="str">
            <v>CAD_2058</v>
          </cell>
          <cell r="AR186">
            <v>0</v>
          </cell>
          <cell r="AS186">
            <v>176</v>
          </cell>
          <cell r="AU186">
            <v>176</v>
          </cell>
          <cell r="AV186">
            <v>0</v>
          </cell>
          <cell r="AW186">
            <v>1874.3999999999996</v>
          </cell>
          <cell r="AX186">
            <v>1874.3999999999996</v>
          </cell>
          <cell r="AY186">
            <v>0</v>
          </cell>
          <cell r="AZ186">
            <v>1874.3999999999996</v>
          </cell>
          <cell r="BA186">
            <v>1874.3999999999996</v>
          </cell>
          <cell r="BB186">
            <v>1874.3999999999996</v>
          </cell>
          <cell r="BC186">
            <v>42.857142857142854</v>
          </cell>
          <cell r="BD186">
            <v>2474.2079999999996</v>
          </cell>
          <cell r="BE186">
            <v>2474.2079999999996</v>
          </cell>
          <cell r="BG186">
            <v>1874.3999999999996</v>
          </cell>
          <cell r="BI186">
            <v>1874.3999999999996</v>
          </cell>
          <cell r="BJ186">
            <v>11440</v>
          </cell>
          <cell r="BK186">
            <v>8122.4</v>
          </cell>
          <cell r="BL186">
            <v>6519.92</v>
          </cell>
          <cell r="BM186">
            <v>0</v>
          </cell>
          <cell r="BN186">
            <v>0</v>
          </cell>
          <cell r="BO186">
            <v>0</v>
          </cell>
          <cell r="BP186">
            <v>6519.92</v>
          </cell>
          <cell r="BQ186">
            <v>0</v>
          </cell>
          <cell r="BR186">
            <v>1602.4799999999996</v>
          </cell>
          <cell r="BS186" t="str">
            <v>Y</v>
          </cell>
          <cell r="BT186">
            <v>1</v>
          </cell>
          <cell r="BU186">
            <v>1</v>
          </cell>
          <cell r="BV186" t="str">
            <v>N</v>
          </cell>
          <cell r="BW186">
            <v>4948.4159999999993</v>
          </cell>
          <cell r="BX186">
            <v>4948.4159999999993</v>
          </cell>
          <cell r="BY186">
            <v>2026</v>
          </cell>
          <cell r="BZ186" t="str">
            <v>-</v>
          </cell>
          <cell r="CA186" t="str">
            <v>-</v>
          </cell>
        </row>
        <row r="187">
          <cell r="A187" t="str">
            <v>Lucknow</v>
          </cell>
          <cell r="B187" t="str">
            <v>Titans</v>
          </cell>
          <cell r="C187" t="str">
            <v>Mid Level</v>
          </cell>
          <cell r="D187" t="str">
            <v>Abhishek Yadav</v>
          </cell>
          <cell r="E187" t="str">
            <v>-</v>
          </cell>
          <cell r="F187" t="str">
            <v>Non-MSP</v>
          </cell>
          <cell r="H187" t="str">
            <v>Shubham Tripathi</v>
          </cell>
          <cell r="J187" t="str">
            <v>ACH</v>
          </cell>
          <cell r="L187" t="str">
            <v>New</v>
          </cell>
          <cell r="M187">
            <v>46027</v>
          </cell>
          <cell r="N187">
            <v>175</v>
          </cell>
          <cell r="P187">
            <v>46392</v>
          </cell>
          <cell r="Q187" t="str">
            <v>PLC-4618</v>
          </cell>
          <cell r="R187" t="str">
            <v>Girish Sai Thiruvidhula</v>
          </cell>
          <cell r="S187" t="str">
            <v>Individual</v>
          </cell>
          <cell r="T187" t="str">
            <v>C2C Canada</v>
          </cell>
          <cell r="U187" t="str">
            <v>Genpact</v>
          </cell>
          <cell r="V187">
            <v>50</v>
          </cell>
          <cell r="W187">
            <v>0</v>
          </cell>
          <cell r="X187" t="str">
            <v>CAD</v>
          </cell>
          <cell r="Y187">
            <v>65</v>
          </cell>
          <cell r="Z187">
            <v>0</v>
          </cell>
          <cell r="AA187">
            <v>0</v>
          </cell>
          <cell r="AB187">
            <v>0</v>
          </cell>
          <cell r="AC187">
            <v>46127</v>
          </cell>
          <cell r="AD187">
            <v>22</v>
          </cell>
          <cell r="AE187">
            <v>46387</v>
          </cell>
          <cell r="AF187">
            <v>35.5</v>
          </cell>
          <cell r="AG187">
            <v>0</v>
          </cell>
          <cell r="AH187">
            <v>35.5</v>
          </cell>
          <cell r="AI187">
            <v>46.15</v>
          </cell>
          <cell r="AJ187">
            <v>0</v>
          </cell>
          <cell r="AK187">
            <v>0</v>
          </cell>
          <cell r="AL187">
            <v>10.649999999999999</v>
          </cell>
          <cell r="AM187">
            <v>0</v>
          </cell>
          <cell r="AN187">
            <v>10.649999999999999</v>
          </cell>
          <cell r="AO187">
            <v>0</v>
          </cell>
          <cell r="AP187">
            <v>10.649999999999999</v>
          </cell>
          <cell r="AQ187" t="str">
            <v>CAD_2187</v>
          </cell>
          <cell r="AR187">
            <v>0</v>
          </cell>
          <cell r="AS187">
            <v>144</v>
          </cell>
          <cell r="AU187">
            <v>144</v>
          </cell>
          <cell r="AV187">
            <v>0</v>
          </cell>
          <cell r="AW187">
            <v>1533.6</v>
          </cell>
          <cell r="AX187">
            <v>1518.2639999999999</v>
          </cell>
          <cell r="AY187">
            <v>0</v>
          </cell>
          <cell r="AZ187">
            <v>1533.6</v>
          </cell>
          <cell r="BA187">
            <v>1518.2639999999999</v>
          </cell>
          <cell r="BB187">
            <v>1533.6</v>
          </cell>
          <cell r="BC187">
            <v>42.857142857142854</v>
          </cell>
          <cell r="BD187">
            <v>2004.1084799999999</v>
          </cell>
          <cell r="BE187">
            <v>2004.1084799999999</v>
          </cell>
          <cell r="BG187">
            <v>1518.2639999999999</v>
          </cell>
          <cell r="BI187">
            <v>1518.2639999999999</v>
          </cell>
          <cell r="BJ187">
            <v>9360</v>
          </cell>
          <cell r="BK187">
            <v>6645.5999999999995</v>
          </cell>
          <cell r="BL187">
            <v>5334.4800000000005</v>
          </cell>
          <cell r="BM187">
            <v>0</v>
          </cell>
          <cell r="BN187">
            <v>0</v>
          </cell>
          <cell r="BO187">
            <v>0</v>
          </cell>
          <cell r="BP187">
            <v>5334.4800000000005</v>
          </cell>
          <cell r="BQ187">
            <v>0</v>
          </cell>
          <cell r="BR187">
            <v>1311.119999999999</v>
          </cell>
          <cell r="BT187">
            <v>2</v>
          </cell>
          <cell r="BU187">
            <v>1</v>
          </cell>
          <cell r="BV187" t="str">
            <v>N</v>
          </cell>
          <cell r="BW187">
            <v>4008.2169599999997</v>
          </cell>
          <cell r="BX187">
            <v>4008.2169599999997</v>
          </cell>
          <cell r="BY187">
            <v>2026</v>
          </cell>
          <cell r="BZ187" t="str">
            <v>-</v>
          </cell>
          <cell r="CA187" t="str">
            <v>-</v>
          </cell>
        </row>
        <row r="188">
          <cell r="A188" t="str">
            <v>Lucknow</v>
          </cell>
          <cell r="B188" t="str">
            <v>Titans</v>
          </cell>
          <cell r="C188" t="str">
            <v>Mid Level</v>
          </cell>
          <cell r="D188" t="str">
            <v>Abhishek Yadav</v>
          </cell>
          <cell r="E188" t="str">
            <v>-</v>
          </cell>
          <cell r="F188" t="str">
            <v>Non-MSP</v>
          </cell>
          <cell r="H188" t="str">
            <v>Shubham Tripathi</v>
          </cell>
          <cell r="J188" t="str">
            <v>ACH</v>
          </cell>
          <cell r="L188" t="str">
            <v>New</v>
          </cell>
          <cell r="M188">
            <v>46027</v>
          </cell>
          <cell r="N188">
            <v>175</v>
          </cell>
          <cell r="P188">
            <v>46392</v>
          </cell>
          <cell r="Q188" t="str">
            <v>PLC-4618</v>
          </cell>
          <cell r="R188" t="str">
            <v>Girish Sai Thiruvidhula</v>
          </cell>
          <cell r="S188" t="str">
            <v>Individual</v>
          </cell>
          <cell r="T188" t="str">
            <v>C2C Canada</v>
          </cell>
          <cell r="U188" t="str">
            <v>Genpact</v>
          </cell>
          <cell r="V188">
            <v>50</v>
          </cell>
          <cell r="W188">
            <v>0</v>
          </cell>
          <cell r="X188" t="str">
            <v>CAD</v>
          </cell>
          <cell r="Y188">
            <v>65</v>
          </cell>
          <cell r="Z188">
            <v>0</v>
          </cell>
          <cell r="AA188">
            <v>0</v>
          </cell>
          <cell r="AB188">
            <v>0</v>
          </cell>
          <cell r="AC188">
            <v>46157</v>
          </cell>
          <cell r="AD188">
            <v>22</v>
          </cell>
          <cell r="AE188">
            <v>46387</v>
          </cell>
          <cell r="AF188">
            <v>35.5</v>
          </cell>
          <cell r="AG188">
            <v>0</v>
          </cell>
          <cell r="AH188">
            <v>35.5</v>
          </cell>
          <cell r="AI188">
            <v>46.15</v>
          </cell>
          <cell r="AJ188">
            <v>0</v>
          </cell>
          <cell r="AK188">
            <v>0</v>
          </cell>
          <cell r="AL188">
            <v>10.649999999999999</v>
          </cell>
          <cell r="AM188">
            <v>0</v>
          </cell>
          <cell r="AN188">
            <v>10.649999999999999</v>
          </cell>
          <cell r="AO188">
            <v>0</v>
          </cell>
          <cell r="AP188">
            <v>10.649999999999999</v>
          </cell>
          <cell r="AU188">
            <v>176</v>
          </cell>
          <cell r="BB188">
            <v>1874.3999999999996</v>
          </cell>
          <cell r="BC188">
            <v>42.857142857142854</v>
          </cell>
          <cell r="BK188">
            <v>8122.4</v>
          </cell>
          <cell r="BL188">
            <v>6519.92</v>
          </cell>
          <cell r="BM188">
            <v>0</v>
          </cell>
          <cell r="BN188">
            <v>0</v>
          </cell>
          <cell r="BO188">
            <v>0</v>
          </cell>
          <cell r="BP188">
            <v>6519.92</v>
          </cell>
          <cell r="BQ188">
            <v>0</v>
          </cell>
          <cell r="BR188">
            <v>1602.4799999999996</v>
          </cell>
          <cell r="BT188">
            <v>2</v>
          </cell>
          <cell r="BU188">
            <v>1</v>
          </cell>
          <cell r="BV188" t="str">
            <v>N</v>
          </cell>
          <cell r="BY188">
            <v>2026</v>
          </cell>
          <cell r="BZ188" t="str">
            <v>-</v>
          </cell>
          <cell r="CA188" t="str">
            <v>-</v>
          </cell>
        </row>
        <row r="189">
          <cell r="A189" t="str">
            <v>Lucknow</v>
          </cell>
          <cell r="B189" t="str">
            <v>Mavericks</v>
          </cell>
          <cell r="C189" t="str">
            <v>Mid Level</v>
          </cell>
          <cell r="D189" t="str">
            <v>Mohammad Fakhrul</v>
          </cell>
          <cell r="E189" t="str">
            <v>-</v>
          </cell>
          <cell r="F189" t="str">
            <v>MSP</v>
          </cell>
          <cell r="H189" t="str">
            <v>Pass Through/MSP</v>
          </cell>
          <cell r="J189" t="str">
            <v>ACH</v>
          </cell>
          <cell r="L189" t="str">
            <v>New</v>
          </cell>
          <cell r="M189">
            <v>46125</v>
          </cell>
          <cell r="N189">
            <v>77</v>
          </cell>
          <cell r="P189">
            <v>46490</v>
          </cell>
          <cell r="Q189" t="str">
            <v>PLC-Passthrough</v>
          </cell>
          <cell r="R189" t="str">
            <v>Gnana Mani Deep Gelli</v>
          </cell>
          <cell r="S189" t="str">
            <v>Individual</v>
          </cell>
          <cell r="T189" t="str">
            <v>C2C</v>
          </cell>
          <cell r="U189" t="str">
            <v>CoForge</v>
          </cell>
          <cell r="V189">
            <v>72</v>
          </cell>
          <cell r="W189">
            <v>0</v>
          </cell>
          <cell r="X189" t="str">
            <v>USD</v>
          </cell>
          <cell r="Y189">
            <v>74</v>
          </cell>
          <cell r="Z189">
            <v>0</v>
          </cell>
          <cell r="AA189">
            <v>0</v>
          </cell>
          <cell r="AB189">
            <v>0</v>
          </cell>
          <cell r="AC189">
            <v>46127</v>
          </cell>
          <cell r="AD189">
            <v>14</v>
          </cell>
          <cell r="AE189">
            <v>46387</v>
          </cell>
          <cell r="AF189">
            <v>72</v>
          </cell>
          <cell r="AG189">
            <v>0</v>
          </cell>
          <cell r="AH189">
            <v>72</v>
          </cell>
          <cell r="AI189">
            <v>74</v>
          </cell>
          <cell r="AJ189">
            <v>0</v>
          </cell>
          <cell r="AK189">
            <v>0</v>
          </cell>
          <cell r="AL189">
            <v>2</v>
          </cell>
          <cell r="AM189">
            <v>0</v>
          </cell>
          <cell r="AN189">
            <v>2</v>
          </cell>
          <cell r="AO189">
            <v>0</v>
          </cell>
          <cell r="AP189">
            <v>2</v>
          </cell>
          <cell r="AQ189" t="str">
            <v>US_CMSP_00735</v>
          </cell>
          <cell r="AR189">
            <v>0</v>
          </cell>
          <cell r="AS189">
            <v>112</v>
          </cell>
          <cell r="AU189">
            <v>112</v>
          </cell>
          <cell r="AV189">
            <v>0</v>
          </cell>
          <cell r="AW189">
            <v>224</v>
          </cell>
          <cell r="AX189">
            <v>221.76</v>
          </cell>
          <cell r="AY189">
            <v>0</v>
          </cell>
          <cell r="AZ189">
            <v>224</v>
          </cell>
          <cell r="BA189">
            <v>221.76</v>
          </cell>
          <cell r="BB189">
            <v>224</v>
          </cell>
          <cell r="BC189">
            <v>0</v>
          </cell>
          <cell r="BD189">
            <v>0</v>
          </cell>
          <cell r="BE189">
            <v>0</v>
          </cell>
          <cell r="BG189">
            <v>221.76</v>
          </cell>
          <cell r="BI189">
            <v>0</v>
          </cell>
          <cell r="BJ189">
            <v>8288</v>
          </cell>
          <cell r="BK189">
            <v>8288</v>
          </cell>
          <cell r="BL189">
            <v>8064</v>
          </cell>
          <cell r="BM189">
            <v>0</v>
          </cell>
          <cell r="BN189">
            <v>0</v>
          </cell>
          <cell r="BO189">
            <v>0</v>
          </cell>
          <cell r="BP189">
            <v>8064</v>
          </cell>
          <cell r="BQ189">
            <v>0</v>
          </cell>
          <cell r="BR189">
            <v>224</v>
          </cell>
          <cell r="BT189">
            <v>2</v>
          </cell>
          <cell r="BU189">
            <v>2</v>
          </cell>
          <cell r="BV189" t="str">
            <v>N</v>
          </cell>
          <cell r="BW189">
            <v>0</v>
          </cell>
          <cell r="BX189">
            <v>0</v>
          </cell>
          <cell r="BY189">
            <v>2026</v>
          </cell>
          <cell r="BZ189" t="str">
            <v>-</v>
          </cell>
          <cell r="CA189" t="str">
            <v>-</v>
          </cell>
        </row>
        <row r="190">
          <cell r="A190" t="str">
            <v>Lucknow</v>
          </cell>
          <cell r="B190" t="str">
            <v>Mavericks</v>
          </cell>
          <cell r="C190" t="str">
            <v>Mid Level</v>
          </cell>
          <cell r="D190" t="str">
            <v>Mohammad Fakhrul</v>
          </cell>
          <cell r="E190" t="str">
            <v>-</v>
          </cell>
          <cell r="F190" t="str">
            <v>MSP</v>
          </cell>
          <cell r="H190" t="str">
            <v>Pass Through/MSP</v>
          </cell>
          <cell r="J190" t="str">
            <v>ACH</v>
          </cell>
          <cell r="L190" t="str">
            <v>New</v>
          </cell>
          <cell r="M190">
            <v>46125</v>
          </cell>
          <cell r="N190">
            <v>77</v>
          </cell>
          <cell r="P190">
            <v>46490</v>
          </cell>
          <cell r="Q190" t="str">
            <v>PLC-Passthrough</v>
          </cell>
          <cell r="R190" t="str">
            <v>Gnana Mani Deep Gelli</v>
          </cell>
          <cell r="S190" t="str">
            <v>Individual</v>
          </cell>
          <cell r="T190" t="str">
            <v>C2C</v>
          </cell>
          <cell r="U190" t="str">
            <v>CoForge</v>
          </cell>
          <cell r="V190">
            <v>72</v>
          </cell>
          <cell r="W190">
            <v>0</v>
          </cell>
          <cell r="X190" t="str">
            <v>USD</v>
          </cell>
          <cell r="Y190">
            <v>74</v>
          </cell>
          <cell r="Z190">
            <v>0</v>
          </cell>
          <cell r="AA190">
            <v>0</v>
          </cell>
          <cell r="AB190">
            <v>0</v>
          </cell>
          <cell r="AC190">
            <v>46157</v>
          </cell>
          <cell r="AD190">
            <v>14</v>
          </cell>
          <cell r="AE190">
            <v>46387</v>
          </cell>
          <cell r="AF190">
            <v>72</v>
          </cell>
          <cell r="AG190">
            <v>0</v>
          </cell>
          <cell r="AH190">
            <v>72</v>
          </cell>
          <cell r="AI190">
            <v>74</v>
          </cell>
          <cell r="AJ190">
            <v>0</v>
          </cell>
          <cell r="AK190">
            <v>0</v>
          </cell>
          <cell r="AL190">
            <v>2</v>
          </cell>
          <cell r="AM190">
            <v>0</v>
          </cell>
          <cell r="AN190">
            <v>2</v>
          </cell>
          <cell r="AO190">
            <v>0</v>
          </cell>
          <cell r="AP190">
            <v>2</v>
          </cell>
          <cell r="AQ190" t="str">
            <v>US_CMSP_00799</v>
          </cell>
          <cell r="AR190">
            <v>0</v>
          </cell>
          <cell r="AS190">
            <v>163.32999999999998</v>
          </cell>
          <cell r="AU190">
            <v>163.32999999999998</v>
          </cell>
          <cell r="AV190">
            <v>0</v>
          </cell>
          <cell r="AW190">
            <v>326.65999999999997</v>
          </cell>
          <cell r="AX190">
            <v>323.39339999999999</v>
          </cell>
          <cell r="AY190">
            <v>0</v>
          </cell>
          <cell r="AZ190">
            <v>326.65999999999997</v>
          </cell>
          <cell r="BA190">
            <v>323.39339999999999</v>
          </cell>
          <cell r="BB190">
            <v>326.65999999999997</v>
          </cell>
          <cell r="BC190">
            <v>0</v>
          </cell>
          <cell r="BD190">
            <v>0</v>
          </cell>
          <cell r="BE190">
            <v>0</v>
          </cell>
          <cell r="BG190">
            <v>323.39339999999999</v>
          </cell>
          <cell r="BI190">
            <v>0</v>
          </cell>
          <cell r="BJ190">
            <v>12086.419999999998</v>
          </cell>
          <cell r="BK190">
            <v>12086.419999999998</v>
          </cell>
          <cell r="BL190">
            <v>11759.759999999998</v>
          </cell>
          <cell r="BM190">
            <v>0</v>
          </cell>
          <cell r="BN190">
            <v>0</v>
          </cell>
          <cell r="BO190">
            <v>0</v>
          </cell>
          <cell r="BP190">
            <v>11759.759999999998</v>
          </cell>
          <cell r="BQ190">
            <v>0</v>
          </cell>
          <cell r="BR190">
            <v>326.65999999999985</v>
          </cell>
          <cell r="BT190">
            <v>2</v>
          </cell>
          <cell r="BU190">
            <v>2</v>
          </cell>
          <cell r="BV190" t="str">
            <v>N</v>
          </cell>
          <cell r="BW190">
            <v>0</v>
          </cell>
          <cell r="BX190">
            <v>0</v>
          </cell>
          <cell r="BY190">
            <v>2026</v>
          </cell>
          <cell r="BZ190" t="str">
            <v>-</v>
          </cell>
          <cell r="CA190" t="str">
            <v>-</v>
          </cell>
        </row>
        <row r="191">
          <cell r="A191" t="str">
            <v>Lucknow</v>
          </cell>
          <cell r="B191" t="str">
            <v>Mavericks</v>
          </cell>
          <cell r="C191" t="str">
            <v>Mid Level</v>
          </cell>
          <cell r="D191" t="str">
            <v>Mohammad Fakhrul</v>
          </cell>
          <cell r="F191" t="str">
            <v>MSP</v>
          </cell>
          <cell r="H191" t="str">
            <v>Pass Through</v>
          </cell>
          <cell r="J191" t="str">
            <v>ACH</v>
          </cell>
          <cell r="L191" t="str">
            <v>New</v>
          </cell>
          <cell r="M191">
            <v>46146</v>
          </cell>
          <cell r="N191">
            <v>56</v>
          </cell>
          <cell r="P191">
            <v>46511</v>
          </cell>
          <cell r="R191" t="str">
            <v>Gopinath Sankar</v>
          </cell>
          <cell r="S191" t="str">
            <v>Individual</v>
          </cell>
          <cell r="T191" t="str">
            <v>C2C</v>
          </cell>
          <cell r="U191" t="str">
            <v>Cigniti</v>
          </cell>
          <cell r="V191">
            <v>102</v>
          </cell>
          <cell r="W191">
            <v>0</v>
          </cell>
          <cell r="X191" t="str">
            <v>USD</v>
          </cell>
          <cell r="Y191">
            <v>103</v>
          </cell>
          <cell r="Z191">
            <v>0</v>
          </cell>
          <cell r="AA191">
            <v>0</v>
          </cell>
          <cell r="AB191">
            <v>0</v>
          </cell>
          <cell r="AC191">
            <v>46157</v>
          </cell>
          <cell r="AD191">
            <v>20</v>
          </cell>
          <cell r="AE191">
            <v>46387</v>
          </cell>
          <cell r="AF191">
            <v>102</v>
          </cell>
          <cell r="AG191">
            <v>0</v>
          </cell>
          <cell r="AH191">
            <v>102</v>
          </cell>
          <cell r="AI191">
            <v>103</v>
          </cell>
          <cell r="AJ191">
            <v>0</v>
          </cell>
          <cell r="AK191">
            <v>0</v>
          </cell>
          <cell r="AL191">
            <v>1</v>
          </cell>
          <cell r="AM191">
            <v>0</v>
          </cell>
          <cell r="AN191">
            <v>1</v>
          </cell>
          <cell r="AO191">
            <v>0</v>
          </cell>
          <cell r="AP191">
            <v>1</v>
          </cell>
          <cell r="AQ191" t="str">
            <v>US_CMSP_00885</v>
          </cell>
          <cell r="AR191">
            <v>0</v>
          </cell>
          <cell r="AS191">
            <v>160</v>
          </cell>
          <cell r="AU191">
            <v>160</v>
          </cell>
          <cell r="AV191">
            <v>0</v>
          </cell>
          <cell r="AW191">
            <v>160</v>
          </cell>
          <cell r="AX191">
            <v>158.4</v>
          </cell>
          <cell r="AY191">
            <v>0</v>
          </cell>
          <cell r="AZ191">
            <v>160</v>
          </cell>
          <cell r="BA191">
            <v>158.4</v>
          </cell>
          <cell r="BB191">
            <v>160</v>
          </cell>
          <cell r="BC191">
            <v>0</v>
          </cell>
          <cell r="BD191">
            <v>0</v>
          </cell>
          <cell r="BE191">
            <v>0</v>
          </cell>
          <cell r="BG191">
            <v>158.4</v>
          </cell>
          <cell r="BI191">
            <v>0</v>
          </cell>
          <cell r="BJ191">
            <v>16480</v>
          </cell>
          <cell r="BK191">
            <v>16480</v>
          </cell>
          <cell r="BL191">
            <v>16320</v>
          </cell>
          <cell r="BM191">
            <v>0</v>
          </cell>
          <cell r="BN191">
            <v>0</v>
          </cell>
          <cell r="BO191">
            <v>0</v>
          </cell>
          <cell r="BP191">
            <v>16320</v>
          </cell>
          <cell r="BQ191">
            <v>0</v>
          </cell>
          <cell r="BR191">
            <v>160</v>
          </cell>
          <cell r="BT191">
            <v>2</v>
          </cell>
          <cell r="BU191">
            <v>2</v>
          </cell>
          <cell r="BV191" t="str">
            <v>Y</v>
          </cell>
          <cell r="BW191">
            <v>0</v>
          </cell>
          <cell r="BX191">
            <v>0</v>
          </cell>
          <cell r="BY191">
            <v>2026</v>
          </cell>
          <cell r="BZ191" t="str">
            <v>-</v>
          </cell>
          <cell r="CA191" t="str">
            <v>-</v>
          </cell>
        </row>
        <row r="192">
          <cell r="A192" t="str">
            <v>Lucknow</v>
          </cell>
          <cell r="B192" t="str">
            <v>Mavericks</v>
          </cell>
          <cell r="C192" t="str">
            <v>Mid Level</v>
          </cell>
          <cell r="D192" t="str">
            <v>Mohammad Fakhrul</v>
          </cell>
          <cell r="E192" t="str">
            <v>-</v>
          </cell>
          <cell r="F192" t="str">
            <v>MSP</v>
          </cell>
          <cell r="H192" t="str">
            <v>Pass Through/MSP</v>
          </cell>
          <cell r="L192" t="str">
            <v>New</v>
          </cell>
          <cell r="M192">
            <v>46112</v>
          </cell>
          <cell r="N192">
            <v>90</v>
          </cell>
          <cell r="P192">
            <v>46477</v>
          </cell>
          <cell r="Q192" t="str">
            <v>PLC-Passthrough</v>
          </cell>
          <cell r="R192" t="str">
            <v>Gowtham Saran Gunnam</v>
          </cell>
          <cell r="S192" t="str">
            <v>Individual</v>
          </cell>
          <cell r="T192" t="str">
            <v>C2C</v>
          </cell>
          <cell r="U192" t="str">
            <v>CoForge</v>
          </cell>
          <cell r="V192">
            <v>72</v>
          </cell>
          <cell r="W192">
            <v>0</v>
          </cell>
          <cell r="X192" t="str">
            <v>USD</v>
          </cell>
          <cell r="Y192">
            <v>76</v>
          </cell>
          <cell r="Z192">
            <v>0</v>
          </cell>
          <cell r="AA192">
            <v>0</v>
          </cell>
          <cell r="AB192">
            <v>0</v>
          </cell>
          <cell r="AC192">
            <v>46096</v>
          </cell>
          <cell r="AD192">
            <v>1</v>
          </cell>
          <cell r="AE192">
            <v>46387</v>
          </cell>
          <cell r="AF192">
            <v>72</v>
          </cell>
          <cell r="AG192">
            <v>0</v>
          </cell>
          <cell r="AH192">
            <v>72</v>
          </cell>
          <cell r="AI192">
            <v>76</v>
          </cell>
          <cell r="AJ192">
            <v>0</v>
          </cell>
          <cell r="AK192">
            <v>0</v>
          </cell>
          <cell r="AL192">
            <v>4</v>
          </cell>
          <cell r="AM192">
            <v>0</v>
          </cell>
          <cell r="AN192">
            <v>4</v>
          </cell>
          <cell r="AO192">
            <v>0</v>
          </cell>
          <cell r="AP192">
            <v>4</v>
          </cell>
          <cell r="AQ192" t="str">
            <v>US_CMSP_00585</v>
          </cell>
          <cell r="AR192">
            <v>0</v>
          </cell>
          <cell r="AS192">
            <v>8</v>
          </cell>
          <cell r="AU192">
            <v>8</v>
          </cell>
          <cell r="AV192">
            <v>0</v>
          </cell>
          <cell r="AW192">
            <v>32</v>
          </cell>
          <cell r="AX192">
            <v>32</v>
          </cell>
          <cell r="AY192">
            <v>0</v>
          </cell>
          <cell r="AZ192">
            <v>32</v>
          </cell>
          <cell r="BA192">
            <v>32</v>
          </cell>
          <cell r="BB192">
            <v>32</v>
          </cell>
          <cell r="BC192">
            <v>0</v>
          </cell>
          <cell r="BD192">
            <v>0</v>
          </cell>
          <cell r="BE192">
            <v>0</v>
          </cell>
          <cell r="BG192">
            <v>32</v>
          </cell>
          <cell r="BI192">
            <v>0</v>
          </cell>
          <cell r="BJ192">
            <v>608</v>
          </cell>
          <cell r="BK192">
            <v>608</v>
          </cell>
          <cell r="BL192">
            <v>576</v>
          </cell>
          <cell r="BM192">
            <v>0</v>
          </cell>
          <cell r="BN192">
            <v>0</v>
          </cell>
          <cell r="BO192">
            <v>0</v>
          </cell>
          <cell r="BP192">
            <v>576</v>
          </cell>
          <cell r="BQ192">
            <v>0</v>
          </cell>
          <cell r="BR192">
            <v>32</v>
          </cell>
          <cell r="BS192" t="str">
            <v>Y</v>
          </cell>
          <cell r="BT192">
            <v>1</v>
          </cell>
          <cell r="BU192">
            <v>1</v>
          </cell>
          <cell r="BV192" t="str">
            <v>N</v>
          </cell>
          <cell r="BW192">
            <v>0</v>
          </cell>
          <cell r="BX192">
            <v>0</v>
          </cell>
          <cell r="BY192">
            <v>2026</v>
          </cell>
          <cell r="BZ192" t="str">
            <v>-</v>
          </cell>
          <cell r="CA192" t="str">
            <v>-</v>
          </cell>
        </row>
        <row r="193">
          <cell r="A193" t="str">
            <v>Lucknow</v>
          </cell>
          <cell r="B193" t="str">
            <v>Mavericks</v>
          </cell>
          <cell r="C193" t="str">
            <v>Mid Level</v>
          </cell>
          <cell r="D193" t="str">
            <v>Mohammad Fakhrul</v>
          </cell>
          <cell r="E193" t="str">
            <v>-</v>
          </cell>
          <cell r="F193" t="str">
            <v>MSP</v>
          </cell>
          <cell r="H193" t="str">
            <v>Pass Through/MSP</v>
          </cell>
          <cell r="J193" t="str">
            <v>ACH</v>
          </cell>
          <cell r="L193" t="str">
            <v>New</v>
          </cell>
          <cell r="M193">
            <v>46112</v>
          </cell>
          <cell r="N193">
            <v>90</v>
          </cell>
          <cell r="P193">
            <v>46477</v>
          </cell>
          <cell r="Q193" t="str">
            <v>PLC-Passthrough</v>
          </cell>
          <cell r="R193" t="str">
            <v>Gowtham Saran Gunnam</v>
          </cell>
          <cell r="S193" t="str">
            <v>Individual</v>
          </cell>
          <cell r="T193" t="str">
            <v>C2C</v>
          </cell>
          <cell r="U193" t="str">
            <v>CoForge</v>
          </cell>
          <cell r="V193">
            <v>72</v>
          </cell>
          <cell r="W193">
            <v>0</v>
          </cell>
          <cell r="X193" t="str">
            <v>USD</v>
          </cell>
          <cell r="Y193">
            <v>76</v>
          </cell>
          <cell r="Z193">
            <v>0</v>
          </cell>
          <cell r="AA193">
            <v>0</v>
          </cell>
          <cell r="AB193">
            <v>0</v>
          </cell>
          <cell r="AC193">
            <v>46127</v>
          </cell>
          <cell r="AD193">
            <v>22</v>
          </cell>
          <cell r="AE193">
            <v>46387</v>
          </cell>
          <cell r="AF193">
            <v>72</v>
          </cell>
          <cell r="AG193">
            <v>0</v>
          </cell>
          <cell r="AH193">
            <v>72</v>
          </cell>
          <cell r="AI193">
            <v>76</v>
          </cell>
          <cell r="AJ193">
            <v>0</v>
          </cell>
          <cell r="AK193">
            <v>0</v>
          </cell>
          <cell r="AL193">
            <v>4</v>
          </cell>
          <cell r="AM193">
            <v>0</v>
          </cell>
          <cell r="AN193">
            <v>4</v>
          </cell>
          <cell r="AO193">
            <v>0</v>
          </cell>
          <cell r="AP193">
            <v>4</v>
          </cell>
          <cell r="AQ193" t="str">
            <v>US_CMSP_00726</v>
          </cell>
          <cell r="AR193">
            <v>0</v>
          </cell>
          <cell r="AS193">
            <v>176</v>
          </cell>
          <cell r="AU193">
            <v>176</v>
          </cell>
          <cell r="AV193">
            <v>0</v>
          </cell>
          <cell r="AW193">
            <v>704</v>
          </cell>
          <cell r="AX193">
            <v>696.96</v>
          </cell>
          <cell r="AY193">
            <v>0</v>
          </cell>
          <cell r="AZ193">
            <v>704</v>
          </cell>
          <cell r="BA193">
            <v>696.96</v>
          </cell>
          <cell r="BB193">
            <v>704</v>
          </cell>
          <cell r="BC193">
            <v>0</v>
          </cell>
          <cell r="BD193">
            <v>0</v>
          </cell>
          <cell r="BE193">
            <v>0</v>
          </cell>
          <cell r="BG193">
            <v>696.96</v>
          </cell>
          <cell r="BI193">
            <v>0</v>
          </cell>
          <cell r="BJ193">
            <v>13376</v>
          </cell>
          <cell r="BK193">
            <v>13376</v>
          </cell>
          <cell r="BL193">
            <v>12672</v>
          </cell>
          <cell r="BM193">
            <v>0</v>
          </cell>
          <cell r="BN193">
            <v>0</v>
          </cell>
          <cell r="BO193">
            <v>0</v>
          </cell>
          <cell r="BP193">
            <v>12672</v>
          </cell>
          <cell r="BQ193">
            <v>0</v>
          </cell>
          <cell r="BR193">
            <v>704</v>
          </cell>
          <cell r="BT193">
            <v>2</v>
          </cell>
          <cell r="BU193">
            <v>1</v>
          </cell>
          <cell r="BV193" t="str">
            <v>N</v>
          </cell>
          <cell r="BW193">
            <v>0</v>
          </cell>
          <cell r="BX193">
            <v>0</v>
          </cell>
          <cell r="BY193">
            <v>2026</v>
          </cell>
          <cell r="BZ193" t="str">
            <v>-</v>
          </cell>
          <cell r="CA193" t="str">
            <v>-</v>
          </cell>
        </row>
        <row r="194">
          <cell r="A194" t="str">
            <v>Lucknow</v>
          </cell>
          <cell r="B194" t="str">
            <v>Mavericks</v>
          </cell>
          <cell r="C194" t="str">
            <v>Mid Level</v>
          </cell>
          <cell r="D194" t="str">
            <v>Mohammad Fakhrul</v>
          </cell>
          <cell r="E194" t="str">
            <v>-</v>
          </cell>
          <cell r="F194" t="str">
            <v>MSP</v>
          </cell>
          <cell r="H194" t="str">
            <v>Pass Through/MSP</v>
          </cell>
          <cell r="J194" t="str">
            <v>ACH</v>
          </cell>
          <cell r="L194" t="str">
            <v>New</v>
          </cell>
          <cell r="M194">
            <v>46112</v>
          </cell>
          <cell r="N194">
            <v>90</v>
          </cell>
          <cell r="P194">
            <v>46477</v>
          </cell>
          <cell r="Q194" t="str">
            <v>PLC-Passthrough</v>
          </cell>
          <cell r="R194" t="str">
            <v>Gowtham Saran Gunnam</v>
          </cell>
          <cell r="S194" t="str">
            <v>Individual</v>
          </cell>
          <cell r="T194" t="str">
            <v>C2C</v>
          </cell>
          <cell r="U194" t="str">
            <v>CoForge</v>
          </cell>
          <cell r="V194">
            <v>72</v>
          </cell>
          <cell r="W194">
            <v>0</v>
          </cell>
          <cell r="X194" t="str">
            <v>USD</v>
          </cell>
          <cell r="Y194">
            <v>76</v>
          </cell>
          <cell r="Z194">
            <v>0</v>
          </cell>
          <cell r="AA194">
            <v>0</v>
          </cell>
          <cell r="AB194">
            <v>0</v>
          </cell>
          <cell r="AC194">
            <v>46157</v>
          </cell>
          <cell r="AD194">
            <v>22</v>
          </cell>
          <cell r="AE194">
            <v>46387</v>
          </cell>
          <cell r="AF194">
            <v>72</v>
          </cell>
          <cell r="AG194">
            <v>0</v>
          </cell>
          <cell r="AH194">
            <v>72</v>
          </cell>
          <cell r="AI194">
            <v>76</v>
          </cell>
          <cell r="AJ194">
            <v>0</v>
          </cell>
          <cell r="AK194">
            <v>0</v>
          </cell>
          <cell r="AL194">
            <v>4</v>
          </cell>
          <cell r="AM194">
            <v>0</v>
          </cell>
          <cell r="AN194">
            <v>4</v>
          </cell>
          <cell r="AO194">
            <v>0</v>
          </cell>
          <cell r="AP194">
            <v>4</v>
          </cell>
          <cell r="AQ194" t="str">
            <v>US_CMSP_00871</v>
          </cell>
          <cell r="AR194">
            <v>0</v>
          </cell>
          <cell r="AS194">
            <v>160</v>
          </cell>
          <cell r="AU194">
            <v>160</v>
          </cell>
          <cell r="AV194">
            <v>0</v>
          </cell>
          <cell r="AW194">
            <v>640</v>
          </cell>
          <cell r="AX194">
            <v>633.6</v>
          </cell>
          <cell r="AY194">
            <v>0</v>
          </cell>
          <cell r="AZ194">
            <v>640</v>
          </cell>
          <cell r="BA194">
            <v>633.6</v>
          </cell>
          <cell r="BB194">
            <v>640</v>
          </cell>
          <cell r="BC194">
            <v>0</v>
          </cell>
          <cell r="BD194">
            <v>0</v>
          </cell>
          <cell r="BE194">
            <v>0</v>
          </cell>
          <cell r="BG194">
            <v>633.6</v>
          </cell>
          <cell r="BI194">
            <v>0</v>
          </cell>
          <cell r="BJ194">
            <v>12160</v>
          </cell>
          <cell r="BK194">
            <v>12160</v>
          </cell>
          <cell r="BL194">
            <v>11520</v>
          </cell>
          <cell r="BM194">
            <v>0</v>
          </cell>
          <cell r="BN194">
            <v>0</v>
          </cell>
          <cell r="BO194">
            <v>0</v>
          </cell>
          <cell r="BP194">
            <v>11520</v>
          </cell>
          <cell r="BQ194">
            <v>0</v>
          </cell>
          <cell r="BR194">
            <v>640</v>
          </cell>
          <cell r="BT194">
            <v>2</v>
          </cell>
          <cell r="BU194">
            <v>1</v>
          </cell>
          <cell r="BV194" t="str">
            <v>N</v>
          </cell>
          <cell r="BW194">
            <v>0</v>
          </cell>
          <cell r="BX194">
            <v>0</v>
          </cell>
          <cell r="BY194">
            <v>2026</v>
          </cell>
          <cell r="BZ194" t="str">
            <v>-</v>
          </cell>
          <cell r="CA194" t="str">
            <v>-</v>
          </cell>
        </row>
        <row r="195">
          <cell r="A195" t="str">
            <v>Lucknow</v>
          </cell>
          <cell r="B195" t="str">
            <v>Mavericks</v>
          </cell>
          <cell r="C195" t="str">
            <v>Mid Level</v>
          </cell>
          <cell r="D195" t="str">
            <v>Mohammad Fakhrul</v>
          </cell>
          <cell r="E195" t="str">
            <v>-</v>
          </cell>
          <cell r="F195" t="str">
            <v>MSP</v>
          </cell>
          <cell r="H195" t="str">
            <v>Pass Through/MSP</v>
          </cell>
          <cell r="L195" t="str">
            <v>New</v>
          </cell>
          <cell r="M195">
            <v>46090</v>
          </cell>
          <cell r="N195">
            <v>112</v>
          </cell>
          <cell r="P195">
            <v>46455</v>
          </cell>
          <cell r="Q195" t="str">
            <v>PLC-Passthrough</v>
          </cell>
          <cell r="R195" t="str">
            <v>Graham Coombe</v>
          </cell>
          <cell r="S195" t="str">
            <v>Individual</v>
          </cell>
          <cell r="T195" t="str">
            <v>C2C</v>
          </cell>
          <cell r="U195" t="str">
            <v>CoForge</v>
          </cell>
          <cell r="V195">
            <v>215</v>
          </cell>
          <cell r="W195">
            <v>0</v>
          </cell>
          <cell r="X195" t="str">
            <v>CAD</v>
          </cell>
          <cell r="Y195">
            <v>220</v>
          </cell>
          <cell r="Z195">
            <v>0</v>
          </cell>
          <cell r="AA195">
            <v>0</v>
          </cell>
          <cell r="AB195">
            <v>0</v>
          </cell>
          <cell r="AC195">
            <v>46096</v>
          </cell>
          <cell r="AD195">
            <v>15</v>
          </cell>
          <cell r="AE195">
            <v>46387</v>
          </cell>
          <cell r="AF195">
            <v>152.65</v>
          </cell>
          <cell r="AG195">
            <v>0</v>
          </cell>
          <cell r="AH195">
            <v>152.65</v>
          </cell>
          <cell r="AI195">
            <v>156.19999999999999</v>
          </cell>
          <cell r="AJ195">
            <v>0</v>
          </cell>
          <cell r="AK195">
            <v>0</v>
          </cell>
          <cell r="AL195">
            <v>3.5499999999999829</v>
          </cell>
          <cell r="AM195">
            <v>0</v>
          </cell>
          <cell r="AN195">
            <v>3.5499999999999829</v>
          </cell>
          <cell r="AO195">
            <v>0</v>
          </cell>
          <cell r="AP195">
            <v>3.5499999999999829</v>
          </cell>
          <cell r="AQ195" t="str">
            <v>CAD_2059</v>
          </cell>
          <cell r="AR195">
            <v>0</v>
          </cell>
          <cell r="AS195">
            <v>114</v>
          </cell>
          <cell r="AU195">
            <v>114</v>
          </cell>
          <cell r="AV195">
            <v>0</v>
          </cell>
          <cell r="AW195">
            <v>404.69999999999806</v>
          </cell>
          <cell r="AX195">
            <v>404.69999999999806</v>
          </cell>
          <cell r="AY195">
            <v>0</v>
          </cell>
          <cell r="AZ195">
            <v>404.69999999999806</v>
          </cell>
          <cell r="BA195">
            <v>404.69999999999806</v>
          </cell>
          <cell r="BB195">
            <v>404.69999999999806</v>
          </cell>
          <cell r="BC195">
            <v>0</v>
          </cell>
          <cell r="BD195">
            <v>0</v>
          </cell>
          <cell r="BE195">
            <v>0</v>
          </cell>
          <cell r="BG195">
            <v>404.69999999999806</v>
          </cell>
          <cell r="BI195">
            <v>404.69999999999806</v>
          </cell>
          <cell r="BJ195">
            <v>25080</v>
          </cell>
          <cell r="BK195">
            <v>17806.8</v>
          </cell>
          <cell r="BL195">
            <v>18159.458999999999</v>
          </cell>
          <cell r="BM195">
            <v>0</v>
          </cell>
          <cell r="BN195">
            <v>0</v>
          </cell>
          <cell r="BO195">
            <v>0</v>
          </cell>
          <cell r="BP195">
            <v>18159.458999999999</v>
          </cell>
          <cell r="BQ195">
            <v>0</v>
          </cell>
          <cell r="BR195">
            <v>-352.65899999999965</v>
          </cell>
          <cell r="BS195" t="str">
            <v>Y</v>
          </cell>
          <cell r="BT195">
            <v>1</v>
          </cell>
          <cell r="BU195">
            <v>1</v>
          </cell>
          <cell r="BV195" t="str">
            <v>N</v>
          </cell>
          <cell r="BW195">
            <v>0</v>
          </cell>
          <cell r="BX195">
            <v>0</v>
          </cell>
          <cell r="BY195">
            <v>2026</v>
          </cell>
          <cell r="BZ195" t="str">
            <v>-</v>
          </cell>
          <cell r="CA195" t="str">
            <v>-</v>
          </cell>
        </row>
        <row r="196">
          <cell r="A196" t="str">
            <v>Lucknow</v>
          </cell>
          <cell r="B196" t="str">
            <v>Mavericks</v>
          </cell>
          <cell r="C196" t="str">
            <v>Mid Level</v>
          </cell>
          <cell r="D196" t="str">
            <v>Mohammad Fakhrul</v>
          </cell>
          <cell r="E196" t="str">
            <v>-</v>
          </cell>
          <cell r="F196" t="str">
            <v>MSP</v>
          </cell>
          <cell r="H196" t="str">
            <v>Pass Through/MSP</v>
          </cell>
          <cell r="J196" t="str">
            <v>ACH</v>
          </cell>
          <cell r="L196" t="str">
            <v>New</v>
          </cell>
          <cell r="M196">
            <v>46090</v>
          </cell>
          <cell r="N196">
            <v>112</v>
          </cell>
          <cell r="P196">
            <v>46455</v>
          </cell>
          <cell r="Q196" t="str">
            <v>PLC-Passthrough</v>
          </cell>
          <cell r="R196" t="str">
            <v>Graham Coombe</v>
          </cell>
          <cell r="S196" t="str">
            <v>Individual</v>
          </cell>
          <cell r="T196" t="str">
            <v>C2C</v>
          </cell>
          <cell r="U196" t="str">
            <v>CoForge</v>
          </cell>
          <cell r="V196">
            <v>215</v>
          </cell>
          <cell r="W196">
            <v>0</v>
          </cell>
          <cell r="X196" t="str">
            <v>CAD</v>
          </cell>
          <cell r="Y196">
            <v>220</v>
          </cell>
          <cell r="Z196">
            <v>0</v>
          </cell>
          <cell r="AA196">
            <v>0</v>
          </cell>
          <cell r="AB196">
            <v>0</v>
          </cell>
          <cell r="AC196">
            <v>46127</v>
          </cell>
          <cell r="AD196">
            <v>22</v>
          </cell>
          <cell r="AE196">
            <v>46387</v>
          </cell>
          <cell r="AF196">
            <v>152.65</v>
          </cell>
          <cell r="AG196">
            <v>0</v>
          </cell>
          <cell r="AH196">
            <v>152.65</v>
          </cell>
          <cell r="AI196">
            <v>156.19999999999999</v>
          </cell>
          <cell r="AJ196">
            <v>0</v>
          </cell>
          <cell r="AK196">
            <v>0</v>
          </cell>
          <cell r="AL196">
            <v>3.5499999999999829</v>
          </cell>
          <cell r="AM196">
            <v>0</v>
          </cell>
          <cell r="AN196">
            <v>3.5499999999999829</v>
          </cell>
          <cell r="AO196">
            <v>0</v>
          </cell>
          <cell r="AP196">
            <v>3.5499999999999829</v>
          </cell>
          <cell r="AQ196" t="str">
            <v>CAD_2115</v>
          </cell>
          <cell r="AR196">
            <v>0</v>
          </cell>
          <cell r="AS196">
            <v>151</v>
          </cell>
          <cell r="AU196">
            <v>151</v>
          </cell>
          <cell r="AV196">
            <v>0</v>
          </cell>
          <cell r="AW196">
            <v>536.04999999999745</v>
          </cell>
          <cell r="AX196">
            <v>530.68949999999745</v>
          </cell>
          <cell r="AY196">
            <v>0</v>
          </cell>
          <cell r="AZ196">
            <v>536.04999999999745</v>
          </cell>
          <cell r="BA196">
            <v>530.68949999999745</v>
          </cell>
          <cell r="BB196">
            <v>536.04999999999745</v>
          </cell>
          <cell r="BC196">
            <v>0</v>
          </cell>
          <cell r="BD196">
            <v>0</v>
          </cell>
          <cell r="BE196">
            <v>0</v>
          </cell>
          <cell r="BG196">
            <v>530.68949999999745</v>
          </cell>
          <cell r="BI196">
            <v>530.68949999999745</v>
          </cell>
          <cell r="BJ196">
            <v>33220</v>
          </cell>
          <cell r="BK196">
            <v>23586.199999999997</v>
          </cell>
          <cell r="BL196">
            <v>24053.318500000001</v>
          </cell>
          <cell r="BM196">
            <v>0</v>
          </cell>
          <cell r="BN196">
            <v>0</v>
          </cell>
          <cell r="BO196">
            <v>0</v>
          </cell>
          <cell r="BP196">
            <v>24053.318500000001</v>
          </cell>
          <cell r="BQ196">
            <v>0</v>
          </cell>
          <cell r="BR196">
            <v>-467.11850000000413</v>
          </cell>
          <cell r="BS196" t="str">
            <v>Y</v>
          </cell>
          <cell r="BT196">
            <v>2</v>
          </cell>
          <cell r="BU196">
            <v>1</v>
          </cell>
          <cell r="BV196" t="str">
            <v>N</v>
          </cell>
          <cell r="BW196">
            <v>0</v>
          </cell>
          <cell r="BX196">
            <v>0</v>
          </cell>
          <cell r="BY196">
            <v>2026</v>
          </cell>
          <cell r="BZ196" t="str">
            <v>-</v>
          </cell>
          <cell r="CA196" t="str">
            <v>-</v>
          </cell>
        </row>
        <row r="197">
          <cell r="A197" t="str">
            <v>Lucknow</v>
          </cell>
          <cell r="B197" t="str">
            <v>Mavericks</v>
          </cell>
          <cell r="C197" t="str">
            <v>Mid Level</v>
          </cell>
          <cell r="D197" t="str">
            <v>Mohammad Fakhrul</v>
          </cell>
          <cell r="E197" t="str">
            <v>-</v>
          </cell>
          <cell r="F197" t="str">
            <v>MSP</v>
          </cell>
          <cell r="H197" t="str">
            <v>Pass Through/MSP</v>
          </cell>
          <cell r="J197" t="str">
            <v>ACH</v>
          </cell>
          <cell r="L197" t="str">
            <v>New</v>
          </cell>
          <cell r="M197">
            <v>46090</v>
          </cell>
          <cell r="N197">
            <v>112</v>
          </cell>
          <cell r="P197">
            <v>46455</v>
          </cell>
          <cell r="Q197" t="str">
            <v>PLC-Passthrough</v>
          </cell>
          <cell r="R197" t="str">
            <v>Graham Coombe</v>
          </cell>
          <cell r="S197" t="str">
            <v>Individual</v>
          </cell>
          <cell r="T197" t="str">
            <v>C2C</v>
          </cell>
          <cell r="U197" t="str">
            <v>CoForge</v>
          </cell>
          <cell r="V197">
            <v>215</v>
          </cell>
          <cell r="W197">
            <v>0</v>
          </cell>
          <cell r="X197" t="str">
            <v>CAD</v>
          </cell>
          <cell r="Y197">
            <v>220</v>
          </cell>
          <cell r="Z197">
            <v>0</v>
          </cell>
          <cell r="AA197">
            <v>0</v>
          </cell>
          <cell r="AB197">
            <v>0</v>
          </cell>
          <cell r="AC197">
            <v>46157</v>
          </cell>
          <cell r="AD197">
            <v>22</v>
          </cell>
          <cell r="AE197">
            <v>46387</v>
          </cell>
          <cell r="AF197">
            <v>152.65</v>
          </cell>
          <cell r="AG197">
            <v>0</v>
          </cell>
          <cell r="AH197">
            <v>152.65</v>
          </cell>
          <cell r="AI197">
            <v>156.19999999999999</v>
          </cell>
          <cell r="AJ197">
            <v>0</v>
          </cell>
          <cell r="AK197">
            <v>0</v>
          </cell>
          <cell r="AL197">
            <v>3.5499999999999829</v>
          </cell>
          <cell r="AM197">
            <v>0</v>
          </cell>
          <cell r="AN197">
            <v>3.5499999999999829</v>
          </cell>
          <cell r="AO197">
            <v>0</v>
          </cell>
          <cell r="AP197">
            <v>3.5499999999999829</v>
          </cell>
          <cell r="AQ197" t="str">
            <v>CAD_2170</v>
          </cell>
          <cell r="AR197">
            <v>0</v>
          </cell>
          <cell r="AS197">
            <v>138</v>
          </cell>
          <cell r="AU197">
            <v>138</v>
          </cell>
          <cell r="AV197">
            <v>0</v>
          </cell>
          <cell r="AW197">
            <v>489.89999999999765</v>
          </cell>
          <cell r="AX197">
            <v>485.00099999999765</v>
          </cell>
          <cell r="AY197">
            <v>0</v>
          </cell>
          <cell r="AZ197">
            <v>489.89999999999765</v>
          </cell>
          <cell r="BA197">
            <v>485.00099999999765</v>
          </cell>
          <cell r="BB197">
            <v>489.89999999999765</v>
          </cell>
          <cell r="BC197">
            <v>0</v>
          </cell>
          <cell r="BD197">
            <v>0</v>
          </cell>
          <cell r="BE197">
            <v>0</v>
          </cell>
          <cell r="BG197">
            <v>485.00099999999765</v>
          </cell>
          <cell r="BI197">
            <v>485.00099999999765</v>
          </cell>
          <cell r="BJ197">
            <v>30360</v>
          </cell>
          <cell r="BK197">
            <v>21555.599999999999</v>
          </cell>
          <cell r="BL197">
            <v>21982.503000000001</v>
          </cell>
          <cell r="BM197">
            <v>0</v>
          </cell>
          <cell r="BN197">
            <v>0</v>
          </cell>
          <cell r="BO197">
            <v>0</v>
          </cell>
          <cell r="BP197">
            <v>21982.503000000001</v>
          </cell>
          <cell r="BQ197">
            <v>0</v>
          </cell>
          <cell r="BR197">
            <v>-426.90300000000207</v>
          </cell>
          <cell r="BT197">
            <v>2</v>
          </cell>
          <cell r="BU197">
            <v>1</v>
          </cell>
          <cell r="BV197" t="str">
            <v>N</v>
          </cell>
          <cell r="BW197">
            <v>0</v>
          </cell>
          <cell r="BX197">
            <v>0</v>
          </cell>
          <cell r="BY197">
            <v>2026</v>
          </cell>
          <cell r="BZ197" t="str">
            <v>-</v>
          </cell>
          <cell r="CA197" t="str">
            <v>-</v>
          </cell>
        </row>
        <row r="198">
          <cell r="A198" t="str">
            <v>Lucknow</v>
          </cell>
          <cell r="B198" t="str">
            <v>Vantedge</v>
          </cell>
          <cell r="C198" t="str">
            <v>Senior</v>
          </cell>
          <cell r="D198" t="str">
            <v>Anshul Kumar</v>
          </cell>
          <cell r="E198" t="str">
            <v>-</v>
          </cell>
          <cell r="F198" t="str">
            <v>Non-MSP</v>
          </cell>
          <cell r="H198" t="str">
            <v>Umar Mujahid Husain</v>
          </cell>
          <cell r="K198" t="str">
            <v>Rohini</v>
          </cell>
          <cell r="L198" t="str">
            <v>New</v>
          </cell>
          <cell r="M198">
            <v>46049</v>
          </cell>
          <cell r="N198">
            <v>153</v>
          </cell>
          <cell r="P198">
            <v>46414</v>
          </cell>
          <cell r="Q198" t="str">
            <v>PLC-4697</v>
          </cell>
          <cell r="R198" t="str">
            <v>Gregory (Greg) Serkin</v>
          </cell>
          <cell r="S198" t="str">
            <v>Individual</v>
          </cell>
          <cell r="T198" t="str">
            <v>FTE</v>
          </cell>
          <cell r="U198" t="str">
            <v>Wns</v>
          </cell>
          <cell r="V198">
            <v>0</v>
          </cell>
          <cell r="W198">
            <v>0</v>
          </cell>
          <cell r="X198" t="str">
            <v>USD</v>
          </cell>
          <cell r="Y198">
            <v>45000</v>
          </cell>
          <cell r="Z198">
            <v>0</v>
          </cell>
          <cell r="AA198">
            <v>0</v>
          </cell>
          <cell r="AB198">
            <v>0</v>
          </cell>
          <cell r="AC198">
            <v>46037</v>
          </cell>
          <cell r="AD198">
            <v>1</v>
          </cell>
          <cell r="AE198">
            <v>46387</v>
          </cell>
          <cell r="AF198">
            <v>0</v>
          </cell>
          <cell r="AG198">
            <v>0</v>
          </cell>
          <cell r="AH198">
            <v>0</v>
          </cell>
          <cell r="AI198">
            <v>45000</v>
          </cell>
          <cell r="AJ198">
            <v>0</v>
          </cell>
          <cell r="AK198">
            <v>0</v>
          </cell>
          <cell r="AL198">
            <v>45000</v>
          </cell>
          <cell r="AM198">
            <v>0</v>
          </cell>
          <cell r="AN198">
            <v>45000</v>
          </cell>
          <cell r="AO198">
            <v>0</v>
          </cell>
          <cell r="AP198">
            <v>45000</v>
          </cell>
          <cell r="AQ198" t="str">
            <v>US_26956</v>
          </cell>
          <cell r="AR198">
            <v>0</v>
          </cell>
          <cell r="AS198">
            <v>1</v>
          </cell>
          <cell r="AU198">
            <v>1</v>
          </cell>
          <cell r="AV198">
            <v>0</v>
          </cell>
          <cell r="AW198">
            <v>45000</v>
          </cell>
          <cell r="AX198">
            <v>45000</v>
          </cell>
          <cell r="AY198">
            <v>0</v>
          </cell>
          <cell r="AZ198">
            <v>45000</v>
          </cell>
          <cell r="BA198">
            <v>45000</v>
          </cell>
          <cell r="BB198">
            <v>45000</v>
          </cell>
          <cell r="BC198">
            <v>75</v>
          </cell>
          <cell r="BD198">
            <v>49500</v>
          </cell>
          <cell r="BE198">
            <v>49500</v>
          </cell>
          <cell r="BG198">
            <v>45000</v>
          </cell>
          <cell r="BI198">
            <v>45000</v>
          </cell>
          <cell r="BJ198">
            <v>45000</v>
          </cell>
          <cell r="BK198">
            <v>45000</v>
          </cell>
          <cell r="BL198">
            <v>0</v>
          </cell>
          <cell r="BM198">
            <v>0</v>
          </cell>
          <cell r="BN198">
            <v>0</v>
          </cell>
          <cell r="BO198">
            <v>0</v>
          </cell>
          <cell r="BP198">
            <v>0</v>
          </cell>
          <cell r="BQ198">
            <v>0</v>
          </cell>
          <cell r="BR198">
            <v>45000</v>
          </cell>
          <cell r="BS198" t="str">
            <v>Y</v>
          </cell>
          <cell r="BT198">
            <v>1</v>
          </cell>
          <cell r="BU198">
            <v>1</v>
          </cell>
          <cell r="BV198" t="str">
            <v>Y</v>
          </cell>
          <cell r="BW198">
            <v>99000</v>
          </cell>
          <cell r="BX198">
            <v>99000</v>
          </cell>
          <cell r="BY198">
            <v>2026</v>
          </cell>
          <cell r="BZ198" t="str">
            <v>-</v>
          </cell>
          <cell r="CA198" t="str">
            <v>-</v>
          </cell>
        </row>
        <row r="199">
          <cell r="A199" t="str">
            <v>Noida</v>
          </cell>
          <cell r="B199" t="str">
            <v>Noida IT</v>
          </cell>
          <cell r="C199" t="str">
            <v>Mid Level</v>
          </cell>
          <cell r="D199" t="str">
            <v>Akash Saxena</v>
          </cell>
          <cell r="E199" t="str">
            <v>-</v>
          </cell>
          <cell r="F199" t="str">
            <v>Non-MSP</v>
          </cell>
          <cell r="H199" t="str">
            <v>Hema</v>
          </cell>
          <cell r="L199" t="str">
            <v>New</v>
          </cell>
          <cell r="M199">
            <v>46108</v>
          </cell>
          <cell r="N199">
            <v>94</v>
          </cell>
          <cell r="P199">
            <v>46473</v>
          </cell>
          <cell r="Q199" t="str">
            <v>PLC-4801</v>
          </cell>
          <cell r="R199" t="str">
            <v>Hafeez Hussain Shaik</v>
          </cell>
          <cell r="S199" t="str">
            <v>Individual</v>
          </cell>
          <cell r="T199" t="str">
            <v>C2C</v>
          </cell>
          <cell r="U199" t="str">
            <v>Citius Tech</v>
          </cell>
          <cell r="V199">
            <v>55</v>
          </cell>
          <cell r="W199">
            <v>0</v>
          </cell>
          <cell r="X199" t="str">
            <v>USD</v>
          </cell>
          <cell r="Y199">
            <v>72</v>
          </cell>
          <cell r="Z199">
            <v>0</v>
          </cell>
          <cell r="AA199">
            <v>0</v>
          </cell>
          <cell r="AB199">
            <v>3</v>
          </cell>
          <cell r="AC199">
            <v>46096</v>
          </cell>
          <cell r="AD199">
            <v>3</v>
          </cell>
          <cell r="AE199">
            <v>46387</v>
          </cell>
          <cell r="AF199">
            <v>55</v>
          </cell>
          <cell r="AG199">
            <v>0</v>
          </cell>
          <cell r="AH199">
            <v>58</v>
          </cell>
          <cell r="AI199">
            <v>72</v>
          </cell>
          <cell r="AJ199">
            <v>0</v>
          </cell>
          <cell r="AK199">
            <v>0</v>
          </cell>
          <cell r="AL199">
            <v>14</v>
          </cell>
          <cell r="AM199">
            <v>0</v>
          </cell>
          <cell r="AN199">
            <v>14</v>
          </cell>
          <cell r="AO199">
            <v>0</v>
          </cell>
          <cell r="AP199">
            <v>14</v>
          </cell>
          <cell r="AQ199" t="str">
            <v>US_27442</v>
          </cell>
          <cell r="AR199">
            <v>0</v>
          </cell>
          <cell r="AS199">
            <v>24</v>
          </cell>
          <cell r="AU199">
            <v>24</v>
          </cell>
          <cell r="AV199">
            <v>0</v>
          </cell>
          <cell r="AW199">
            <v>336</v>
          </cell>
          <cell r="AX199">
            <v>336</v>
          </cell>
          <cell r="AY199">
            <v>0</v>
          </cell>
          <cell r="AZ199">
            <v>336</v>
          </cell>
          <cell r="BA199">
            <v>336</v>
          </cell>
          <cell r="BB199">
            <v>336</v>
          </cell>
          <cell r="BC199">
            <v>50</v>
          </cell>
          <cell r="BD199">
            <v>443.52</v>
          </cell>
          <cell r="BE199">
            <v>443.52</v>
          </cell>
          <cell r="BG199">
            <v>336</v>
          </cell>
          <cell r="BI199">
            <v>336</v>
          </cell>
          <cell r="BJ199">
            <v>1728</v>
          </cell>
          <cell r="BK199">
            <v>1728</v>
          </cell>
          <cell r="BL199">
            <v>1320</v>
          </cell>
          <cell r="BM199">
            <v>0</v>
          </cell>
          <cell r="BN199">
            <v>72</v>
          </cell>
          <cell r="BO199">
            <v>0</v>
          </cell>
          <cell r="BP199">
            <v>1392</v>
          </cell>
          <cell r="BQ199">
            <v>3</v>
          </cell>
          <cell r="BR199">
            <v>336</v>
          </cell>
          <cell r="BS199" t="str">
            <v>Y</v>
          </cell>
          <cell r="BT199">
            <v>1</v>
          </cell>
          <cell r="BU199">
            <v>1</v>
          </cell>
          <cell r="BV199" t="str">
            <v>N</v>
          </cell>
          <cell r="BW199">
            <v>887.04</v>
          </cell>
          <cell r="BX199">
            <v>887.04</v>
          </cell>
          <cell r="BY199">
            <v>2026</v>
          </cell>
          <cell r="BZ199" t="str">
            <v>-</v>
          </cell>
          <cell r="CA199" t="str">
            <v>-</v>
          </cell>
        </row>
        <row r="200">
          <cell r="A200" t="str">
            <v>Noida</v>
          </cell>
          <cell r="B200" t="str">
            <v>Noida IT</v>
          </cell>
          <cell r="C200" t="str">
            <v>Mid Level</v>
          </cell>
          <cell r="D200" t="str">
            <v>Akash Saxena</v>
          </cell>
          <cell r="E200" t="str">
            <v>-</v>
          </cell>
          <cell r="F200" t="str">
            <v>Non-MSP</v>
          </cell>
          <cell r="H200" t="str">
            <v>Hema</v>
          </cell>
          <cell r="J200" t="str">
            <v>ACH</v>
          </cell>
          <cell r="L200" t="str">
            <v>New</v>
          </cell>
          <cell r="M200">
            <v>46108</v>
          </cell>
          <cell r="N200">
            <v>94</v>
          </cell>
          <cell r="P200">
            <v>46473</v>
          </cell>
          <cell r="Q200" t="str">
            <v>PLC-4801</v>
          </cell>
          <cell r="R200" t="str">
            <v>Hafeez Hussain Shaik</v>
          </cell>
          <cell r="S200" t="str">
            <v>Individual</v>
          </cell>
          <cell r="T200" t="str">
            <v>C2C</v>
          </cell>
          <cell r="U200" t="str">
            <v>Citius Tech</v>
          </cell>
          <cell r="V200">
            <v>55</v>
          </cell>
          <cell r="W200">
            <v>0</v>
          </cell>
          <cell r="X200" t="str">
            <v>USD</v>
          </cell>
          <cell r="Y200">
            <v>72</v>
          </cell>
          <cell r="Z200">
            <v>0</v>
          </cell>
          <cell r="AA200">
            <v>0</v>
          </cell>
          <cell r="AB200">
            <v>3</v>
          </cell>
          <cell r="AC200">
            <v>46127</v>
          </cell>
          <cell r="AD200">
            <v>22</v>
          </cell>
          <cell r="AE200">
            <v>46387</v>
          </cell>
          <cell r="AF200">
            <v>55</v>
          </cell>
          <cell r="AG200">
            <v>0</v>
          </cell>
          <cell r="AH200">
            <v>58</v>
          </cell>
          <cell r="AI200">
            <v>72</v>
          </cell>
          <cell r="AJ200">
            <v>0</v>
          </cell>
          <cell r="AK200">
            <v>0</v>
          </cell>
          <cell r="AL200">
            <v>14</v>
          </cell>
          <cell r="AM200">
            <v>0</v>
          </cell>
          <cell r="AN200">
            <v>14</v>
          </cell>
          <cell r="AO200">
            <v>0</v>
          </cell>
          <cell r="AP200">
            <v>14</v>
          </cell>
          <cell r="AQ200" t="str">
            <v>US_27671</v>
          </cell>
          <cell r="AR200">
            <v>0</v>
          </cell>
          <cell r="AS200">
            <v>168</v>
          </cell>
          <cell r="AU200">
            <v>168</v>
          </cell>
          <cell r="AV200">
            <v>0</v>
          </cell>
          <cell r="AW200">
            <v>2352</v>
          </cell>
          <cell r="AX200">
            <v>2328.48</v>
          </cell>
          <cell r="AY200">
            <v>0</v>
          </cell>
          <cell r="AZ200">
            <v>2352</v>
          </cell>
          <cell r="BA200">
            <v>2328.48</v>
          </cell>
          <cell r="BB200">
            <v>2352</v>
          </cell>
          <cell r="BC200">
            <v>50</v>
          </cell>
          <cell r="BD200">
            <v>3073.5935999999997</v>
          </cell>
          <cell r="BE200">
            <v>3073.5935999999997</v>
          </cell>
          <cell r="BG200">
            <v>2328.48</v>
          </cell>
          <cell r="BI200">
            <v>2328.48</v>
          </cell>
          <cell r="BJ200">
            <v>12096</v>
          </cell>
          <cell r="BK200">
            <v>12096</v>
          </cell>
          <cell r="BL200">
            <v>9240</v>
          </cell>
          <cell r="BM200">
            <v>0</v>
          </cell>
          <cell r="BN200">
            <v>504</v>
          </cell>
          <cell r="BO200">
            <v>0</v>
          </cell>
          <cell r="BP200">
            <v>9744</v>
          </cell>
          <cell r="BQ200">
            <v>3</v>
          </cell>
          <cell r="BR200">
            <v>2352</v>
          </cell>
          <cell r="BS200" t="str">
            <v>Y</v>
          </cell>
          <cell r="BT200">
            <v>2</v>
          </cell>
          <cell r="BU200">
            <v>1</v>
          </cell>
          <cell r="BV200" t="str">
            <v>N</v>
          </cell>
          <cell r="BW200">
            <v>6147.1871999999994</v>
          </cell>
          <cell r="BX200">
            <v>6147.1871999999994</v>
          </cell>
          <cell r="BY200">
            <v>2026</v>
          </cell>
          <cell r="BZ200" t="str">
            <v>-</v>
          </cell>
          <cell r="CA200" t="str">
            <v>-</v>
          </cell>
        </row>
        <row r="201">
          <cell r="A201" t="str">
            <v>Noida</v>
          </cell>
          <cell r="B201" t="str">
            <v>Noida IT</v>
          </cell>
          <cell r="C201" t="str">
            <v>Mid Level</v>
          </cell>
          <cell r="D201" t="str">
            <v>Akash Saxena</v>
          </cell>
          <cell r="E201" t="str">
            <v>-</v>
          </cell>
          <cell r="F201" t="str">
            <v>Non-MSP</v>
          </cell>
          <cell r="H201" t="str">
            <v>Hema</v>
          </cell>
          <cell r="J201" t="str">
            <v>ACH</v>
          </cell>
          <cell r="L201" t="str">
            <v>New</v>
          </cell>
          <cell r="M201">
            <v>46108</v>
          </cell>
          <cell r="N201">
            <v>94</v>
          </cell>
          <cell r="P201">
            <v>46473</v>
          </cell>
          <cell r="Q201" t="str">
            <v>PLC-4801</v>
          </cell>
          <cell r="R201" t="str">
            <v>Hafeez Hussain Shaik</v>
          </cell>
          <cell r="S201" t="str">
            <v>Individual</v>
          </cell>
          <cell r="T201" t="str">
            <v>C2C</v>
          </cell>
          <cell r="U201" t="str">
            <v>Citius Tech</v>
          </cell>
          <cell r="V201">
            <v>55</v>
          </cell>
          <cell r="W201">
            <v>0</v>
          </cell>
          <cell r="X201" t="str">
            <v>USD</v>
          </cell>
          <cell r="Y201">
            <v>72</v>
          </cell>
          <cell r="Z201">
            <v>0</v>
          </cell>
          <cell r="AA201">
            <v>0</v>
          </cell>
          <cell r="AB201">
            <v>3</v>
          </cell>
          <cell r="AC201">
            <v>46157</v>
          </cell>
          <cell r="AD201">
            <v>22</v>
          </cell>
          <cell r="AE201">
            <v>46387</v>
          </cell>
          <cell r="AF201">
            <v>55</v>
          </cell>
          <cell r="AG201">
            <v>0</v>
          </cell>
          <cell r="AH201">
            <v>58</v>
          </cell>
          <cell r="AI201">
            <v>72</v>
          </cell>
          <cell r="AJ201">
            <v>0</v>
          </cell>
          <cell r="AK201">
            <v>0</v>
          </cell>
          <cell r="AL201">
            <v>14</v>
          </cell>
          <cell r="AM201">
            <v>0</v>
          </cell>
          <cell r="AN201">
            <v>14</v>
          </cell>
          <cell r="AO201">
            <v>0</v>
          </cell>
          <cell r="AP201">
            <v>14</v>
          </cell>
          <cell r="AQ201" t="str">
            <v>US_27782</v>
          </cell>
          <cell r="AR201">
            <v>0</v>
          </cell>
          <cell r="AS201">
            <v>160</v>
          </cell>
          <cell r="AU201">
            <v>160</v>
          </cell>
          <cell r="AV201">
            <v>0</v>
          </cell>
          <cell r="AW201">
            <v>2240</v>
          </cell>
          <cell r="AX201">
            <v>2217.6</v>
          </cell>
          <cell r="AY201">
            <v>0</v>
          </cell>
          <cell r="AZ201">
            <v>2240</v>
          </cell>
          <cell r="BA201">
            <v>2217.6</v>
          </cell>
          <cell r="BB201">
            <v>2240</v>
          </cell>
          <cell r="BC201">
            <v>50</v>
          </cell>
          <cell r="BD201">
            <v>2927.232</v>
          </cell>
          <cell r="BE201">
            <v>2927.232</v>
          </cell>
          <cell r="BG201">
            <v>2217.6</v>
          </cell>
          <cell r="BI201">
            <v>2217.6</v>
          </cell>
          <cell r="BJ201">
            <v>11520</v>
          </cell>
          <cell r="BK201">
            <v>11520</v>
          </cell>
          <cell r="BL201">
            <v>8800</v>
          </cell>
          <cell r="BM201">
            <v>0</v>
          </cell>
          <cell r="BN201">
            <v>480</v>
          </cell>
          <cell r="BO201">
            <v>0</v>
          </cell>
          <cell r="BP201">
            <v>9280</v>
          </cell>
          <cell r="BQ201">
            <v>3</v>
          </cell>
          <cell r="BR201">
            <v>2240</v>
          </cell>
          <cell r="BS201" t="str">
            <v>Y</v>
          </cell>
          <cell r="BT201">
            <v>2</v>
          </cell>
          <cell r="BU201">
            <v>1</v>
          </cell>
          <cell r="BV201" t="str">
            <v>N</v>
          </cell>
          <cell r="BW201">
            <v>5854.4639999999999</v>
          </cell>
          <cell r="BX201">
            <v>5854.4639999999999</v>
          </cell>
          <cell r="BY201">
            <v>2026</v>
          </cell>
          <cell r="BZ201" t="str">
            <v>-</v>
          </cell>
          <cell r="CA201" t="str">
            <v>-</v>
          </cell>
        </row>
        <row r="202">
          <cell r="A202" t="str">
            <v>Lucknow</v>
          </cell>
          <cell r="B202" t="str">
            <v>Titans</v>
          </cell>
          <cell r="C202" t="str">
            <v>Mid Level</v>
          </cell>
          <cell r="D202" t="str">
            <v>Aditya Yadav</v>
          </cell>
          <cell r="E202" t="str">
            <v>-</v>
          </cell>
          <cell r="F202" t="str">
            <v>Non-MSP</v>
          </cell>
          <cell r="H202" t="str">
            <v>Santosh Singh</v>
          </cell>
          <cell r="L202" t="str">
            <v>New</v>
          </cell>
          <cell r="M202">
            <v>46036</v>
          </cell>
          <cell r="N202">
            <v>166</v>
          </cell>
          <cell r="P202">
            <v>46401</v>
          </cell>
          <cell r="Q202" t="str">
            <v>PLC-4684</v>
          </cell>
          <cell r="R202" t="str">
            <v>Halle Tewolde</v>
          </cell>
          <cell r="S202" t="str">
            <v>Individual</v>
          </cell>
          <cell r="T202" t="str">
            <v>FTE</v>
          </cell>
          <cell r="U202" t="str">
            <v>LTTS</v>
          </cell>
          <cell r="V202">
            <v>0</v>
          </cell>
          <cell r="W202">
            <v>0</v>
          </cell>
          <cell r="X202" t="str">
            <v>USD</v>
          </cell>
          <cell r="Y202">
            <v>8796</v>
          </cell>
          <cell r="Z202">
            <v>0</v>
          </cell>
          <cell r="AA202">
            <v>0</v>
          </cell>
          <cell r="AB202">
            <v>0</v>
          </cell>
          <cell r="AC202">
            <v>46037</v>
          </cell>
          <cell r="AD202">
            <v>1</v>
          </cell>
          <cell r="AE202">
            <v>46387</v>
          </cell>
          <cell r="AF202">
            <v>0</v>
          </cell>
          <cell r="AG202">
            <v>0</v>
          </cell>
          <cell r="AH202">
            <v>0</v>
          </cell>
          <cell r="AI202">
            <v>8796</v>
          </cell>
          <cell r="AJ202">
            <v>0</v>
          </cell>
          <cell r="AK202">
            <v>0</v>
          </cell>
          <cell r="AL202">
            <v>8796</v>
          </cell>
          <cell r="AM202">
            <v>0</v>
          </cell>
          <cell r="AN202">
            <v>8796</v>
          </cell>
          <cell r="AO202">
            <v>0</v>
          </cell>
          <cell r="AP202">
            <v>8796</v>
          </cell>
          <cell r="AQ202" t="str">
            <v>US_26727</v>
          </cell>
          <cell r="AR202">
            <v>0</v>
          </cell>
          <cell r="AS202">
            <v>1</v>
          </cell>
          <cell r="AU202">
            <v>1</v>
          </cell>
          <cell r="AV202">
            <v>0</v>
          </cell>
          <cell r="AW202">
            <v>8796</v>
          </cell>
          <cell r="AX202">
            <v>8796</v>
          </cell>
          <cell r="AY202">
            <v>0</v>
          </cell>
          <cell r="AZ202">
            <v>8796</v>
          </cell>
          <cell r="BA202">
            <v>8796</v>
          </cell>
          <cell r="BB202">
            <v>8796</v>
          </cell>
          <cell r="BC202">
            <v>0</v>
          </cell>
          <cell r="BD202">
            <v>0</v>
          </cell>
          <cell r="BE202">
            <v>0</v>
          </cell>
          <cell r="BG202">
            <v>8796</v>
          </cell>
          <cell r="BI202">
            <v>8796</v>
          </cell>
          <cell r="BJ202">
            <v>8796</v>
          </cell>
          <cell r="BK202">
            <v>8796</v>
          </cell>
          <cell r="BL202">
            <v>0</v>
          </cell>
          <cell r="BM202">
            <v>0</v>
          </cell>
          <cell r="BN202">
            <v>0</v>
          </cell>
          <cell r="BO202">
            <v>0</v>
          </cell>
          <cell r="BP202">
            <v>0</v>
          </cell>
          <cell r="BQ202">
            <v>0</v>
          </cell>
          <cell r="BR202">
            <v>8796</v>
          </cell>
          <cell r="BS202" t="str">
            <v>Y</v>
          </cell>
          <cell r="BT202">
            <v>1</v>
          </cell>
          <cell r="BU202">
            <v>1</v>
          </cell>
          <cell r="BV202" t="str">
            <v>Y</v>
          </cell>
          <cell r="BW202">
            <v>0</v>
          </cell>
          <cell r="BX202">
            <v>0</v>
          </cell>
          <cell r="BY202">
            <v>2026</v>
          </cell>
          <cell r="BZ202" t="str">
            <v>-</v>
          </cell>
          <cell r="CA202" t="str">
            <v>-</v>
          </cell>
        </row>
        <row r="203">
          <cell r="A203" t="str">
            <v>Lucknow</v>
          </cell>
          <cell r="B203" t="str">
            <v>Mavericks</v>
          </cell>
          <cell r="C203" t="str">
            <v>Mid Level</v>
          </cell>
          <cell r="D203" t="str">
            <v>Mohammad Fakhrul</v>
          </cell>
          <cell r="E203" t="str">
            <v>-</v>
          </cell>
          <cell r="F203" t="str">
            <v>MSP</v>
          </cell>
          <cell r="H203" t="str">
            <v>Pass Through/MSP</v>
          </cell>
          <cell r="J203" t="str">
            <v>ACH</v>
          </cell>
          <cell r="L203" t="str">
            <v>New</v>
          </cell>
          <cell r="M203">
            <v>46139</v>
          </cell>
          <cell r="N203">
            <v>63</v>
          </cell>
          <cell r="P203">
            <v>46504</v>
          </cell>
          <cell r="Q203" t="str">
            <v>PLC-Passthrough</v>
          </cell>
          <cell r="R203" t="str">
            <v>Hanuma Venkata Vinod Kumar Chereddy</v>
          </cell>
          <cell r="S203" t="str">
            <v>Individual</v>
          </cell>
          <cell r="T203" t="str">
            <v>C2C Canada</v>
          </cell>
          <cell r="U203" t="str">
            <v>Cigniti</v>
          </cell>
          <cell r="V203">
            <v>86</v>
          </cell>
          <cell r="W203">
            <v>0</v>
          </cell>
          <cell r="X203" t="str">
            <v>CAD</v>
          </cell>
          <cell r="Y203">
            <v>88</v>
          </cell>
          <cell r="Z203">
            <v>0</v>
          </cell>
          <cell r="AA203">
            <v>0</v>
          </cell>
          <cell r="AB203">
            <v>0</v>
          </cell>
          <cell r="AC203">
            <v>46127</v>
          </cell>
          <cell r="AD203">
            <v>4</v>
          </cell>
          <cell r="AE203">
            <v>46387</v>
          </cell>
          <cell r="AF203">
            <v>61.059999999999995</v>
          </cell>
          <cell r="AG203">
            <v>0</v>
          </cell>
          <cell r="AH203">
            <v>61.059999999999995</v>
          </cell>
          <cell r="AI203">
            <v>62.48</v>
          </cell>
          <cell r="AJ203">
            <v>0</v>
          </cell>
          <cell r="AK203">
            <v>0</v>
          </cell>
          <cell r="AL203">
            <v>1.4200000000000017</v>
          </cell>
          <cell r="AM203">
            <v>0</v>
          </cell>
          <cell r="AN203">
            <v>1.4200000000000017</v>
          </cell>
          <cell r="AO203">
            <v>0</v>
          </cell>
          <cell r="AP203">
            <v>1.4200000000000017</v>
          </cell>
          <cell r="AQ203" t="str">
            <v>CAD_2135</v>
          </cell>
          <cell r="AR203">
            <v>0</v>
          </cell>
          <cell r="AS203">
            <v>32</v>
          </cell>
          <cell r="AU203">
            <v>32</v>
          </cell>
          <cell r="AV203">
            <v>0</v>
          </cell>
          <cell r="AW203">
            <v>45.440000000000055</v>
          </cell>
          <cell r="AX203">
            <v>44.985600000000055</v>
          </cell>
          <cell r="AY203">
            <v>0</v>
          </cell>
          <cell r="AZ203">
            <v>45.440000000000055</v>
          </cell>
          <cell r="BA203">
            <v>44.985600000000055</v>
          </cell>
          <cell r="BB203">
            <v>45.440000000000055</v>
          </cell>
          <cell r="BC203">
            <v>0</v>
          </cell>
          <cell r="BD203">
            <v>0</v>
          </cell>
          <cell r="BE203">
            <v>0</v>
          </cell>
          <cell r="BG203">
            <v>44.985600000000055</v>
          </cell>
          <cell r="BI203">
            <v>0</v>
          </cell>
          <cell r="BJ203">
            <v>2816</v>
          </cell>
          <cell r="BK203">
            <v>1999.36</v>
          </cell>
          <cell r="BL203">
            <v>2038.9567999999999</v>
          </cell>
          <cell r="BM203">
            <v>0</v>
          </cell>
          <cell r="BN203">
            <v>0</v>
          </cell>
          <cell r="BO203">
            <v>0</v>
          </cell>
          <cell r="BP203">
            <v>2038.9567999999999</v>
          </cell>
          <cell r="BQ203">
            <v>0</v>
          </cell>
          <cell r="BR203">
            <v>-39.59680000000003</v>
          </cell>
          <cell r="BT203">
            <v>2</v>
          </cell>
          <cell r="BU203">
            <v>2</v>
          </cell>
          <cell r="BV203" t="str">
            <v>N</v>
          </cell>
          <cell r="BW203">
            <v>0</v>
          </cell>
          <cell r="BX203">
            <v>0</v>
          </cell>
          <cell r="BY203">
            <v>2026</v>
          </cell>
          <cell r="BZ203" t="str">
            <v>-</v>
          </cell>
          <cell r="CA203" t="str">
            <v>-</v>
          </cell>
        </row>
        <row r="204">
          <cell r="A204" t="str">
            <v>Lucknow</v>
          </cell>
          <cell r="B204" t="str">
            <v>Mavericks</v>
          </cell>
          <cell r="C204" t="str">
            <v>Mid Level</v>
          </cell>
          <cell r="D204" t="str">
            <v>Mohammad Fakhrul</v>
          </cell>
          <cell r="E204" t="str">
            <v>-</v>
          </cell>
          <cell r="F204" t="str">
            <v>MSP</v>
          </cell>
          <cell r="H204" t="str">
            <v>Pass Through/MSP</v>
          </cell>
          <cell r="J204" t="str">
            <v>ACH</v>
          </cell>
          <cell r="L204" t="str">
            <v>New</v>
          </cell>
          <cell r="M204">
            <v>46139</v>
          </cell>
          <cell r="N204">
            <v>63</v>
          </cell>
          <cell r="P204">
            <v>46504</v>
          </cell>
          <cell r="Q204" t="str">
            <v>PLC-Passthrough</v>
          </cell>
          <cell r="R204" t="str">
            <v>Hanuma Venkata Vinod Kumar Chereddy</v>
          </cell>
          <cell r="S204" t="str">
            <v>Individual</v>
          </cell>
          <cell r="T204" t="str">
            <v>C2C Canada</v>
          </cell>
          <cell r="U204" t="str">
            <v>Cigniti</v>
          </cell>
          <cell r="V204">
            <v>86</v>
          </cell>
          <cell r="W204">
            <v>0</v>
          </cell>
          <cell r="X204" t="str">
            <v>CAD</v>
          </cell>
          <cell r="Y204">
            <v>88</v>
          </cell>
          <cell r="Z204">
            <v>0</v>
          </cell>
          <cell r="AA204">
            <v>0</v>
          </cell>
          <cell r="AB204">
            <v>0</v>
          </cell>
          <cell r="AC204">
            <v>46157</v>
          </cell>
          <cell r="AD204">
            <v>4</v>
          </cell>
          <cell r="AE204">
            <v>46387</v>
          </cell>
          <cell r="AF204">
            <v>61.059999999999995</v>
          </cell>
          <cell r="AG204">
            <v>0</v>
          </cell>
          <cell r="AH204">
            <v>61.059999999999995</v>
          </cell>
          <cell r="AI204">
            <v>62.48</v>
          </cell>
          <cell r="AJ204">
            <v>0</v>
          </cell>
          <cell r="AK204">
            <v>0</v>
          </cell>
          <cell r="AL204">
            <v>1.4200000000000017</v>
          </cell>
          <cell r="AM204">
            <v>0</v>
          </cell>
          <cell r="AN204">
            <v>1.4200000000000017</v>
          </cell>
          <cell r="AO204">
            <v>0</v>
          </cell>
          <cell r="AP204">
            <v>1.4200000000000017</v>
          </cell>
          <cell r="AQ204" t="str">
            <v>CAD_2163</v>
          </cell>
          <cell r="AR204">
            <v>0</v>
          </cell>
          <cell r="AS204">
            <v>160</v>
          </cell>
          <cell r="AU204">
            <v>160</v>
          </cell>
          <cell r="AV204">
            <v>0</v>
          </cell>
          <cell r="AW204">
            <v>227.20000000000027</v>
          </cell>
          <cell r="AX204">
            <v>224.92800000000028</v>
          </cell>
          <cell r="AY204">
            <v>0</v>
          </cell>
          <cell r="AZ204">
            <v>227.20000000000027</v>
          </cell>
          <cell r="BA204">
            <v>224.92800000000028</v>
          </cell>
          <cell r="BB204">
            <v>227.20000000000027</v>
          </cell>
          <cell r="BC204">
            <v>0</v>
          </cell>
          <cell r="BD204">
            <v>0</v>
          </cell>
          <cell r="BE204">
            <v>0</v>
          </cell>
          <cell r="BG204">
            <v>224.92800000000028</v>
          </cell>
          <cell r="BI204">
            <v>0</v>
          </cell>
          <cell r="BJ204">
            <v>14080</v>
          </cell>
          <cell r="BK204">
            <v>9996.7999999999993</v>
          </cell>
          <cell r="BL204">
            <v>10194.784</v>
          </cell>
          <cell r="BM204">
            <v>0</v>
          </cell>
          <cell r="BN204">
            <v>0</v>
          </cell>
          <cell r="BO204">
            <v>0</v>
          </cell>
          <cell r="BP204">
            <v>10194.784</v>
          </cell>
          <cell r="BQ204">
            <v>0</v>
          </cell>
          <cell r="BR204">
            <v>-197.98400000000038</v>
          </cell>
          <cell r="BT204">
            <v>2</v>
          </cell>
          <cell r="BU204">
            <v>2</v>
          </cell>
          <cell r="BV204" t="str">
            <v>N</v>
          </cell>
          <cell r="BW204">
            <v>0</v>
          </cell>
          <cell r="BX204">
            <v>0</v>
          </cell>
          <cell r="BY204">
            <v>2026</v>
          </cell>
          <cell r="BZ204" t="str">
            <v>-</v>
          </cell>
          <cell r="CA204" t="str">
            <v>-</v>
          </cell>
        </row>
        <row r="205">
          <cell r="A205" t="str">
            <v>Lucknow</v>
          </cell>
          <cell r="B205" t="str">
            <v>Mavericks</v>
          </cell>
          <cell r="C205" t="str">
            <v>Mid Level</v>
          </cell>
          <cell r="D205" t="str">
            <v>Mohammad Fakhrul</v>
          </cell>
          <cell r="F205" t="str">
            <v>Msp</v>
          </cell>
          <cell r="H205" t="str">
            <v>Pass Through</v>
          </cell>
          <cell r="J205" t="str">
            <v>ACH</v>
          </cell>
          <cell r="L205" t="str">
            <v>New</v>
          </cell>
          <cell r="M205">
            <v>46148</v>
          </cell>
          <cell r="N205">
            <v>54</v>
          </cell>
          <cell r="P205">
            <v>46513</v>
          </cell>
          <cell r="R205" t="str">
            <v>Hao Wu</v>
          </cell>
          <cell r="S205" t="str">
            <v>Individual</v>
          </cell>
          <cell r="T205" t="str">
            <v>C2C Canada</v>
          </cell>
          <cell r="U205" t="str">
            <v>CoForge Cigniti</v>
          </cell>
          <cell r="V205">
            <v>90</v>
          </cell>
          <cell r="W205">
            <v>0</v>
          </cell>
          <cell r="X205" t="str">
            <v>CAD</v>
          </cell>
          <cell r="Y205">
            <v>91</v>
          </cell>
          <cell r="Z205">
            <v>0</v>
          </cell>
          <cell r="AA205">
            <v>0</v>
          </cell>
          <cell r="AB205">
            <v>0</v>
          </cell>
          <cell r="AC205">
            <v>46157</v>
          </cell>
          <cell r="AD205">
            <v>21</v>
          </cell>
          <cell r="AE205">
            <v>46387</v>
          </cell>
          <cell r="AF205">
            <v>63.9</v>
          </cell>
          <cell r="AG205">
            <v>0</v>
          </cell>
          <cell r="AH205">
            <v>63.9</v>
          </cell>
          <cell r="AI205">
            <v>64.61</v>
          </cell>
          <cell r="AJ205">
            <v>0</v>
          </cell>
          <cell r="AK205">
            <v>0</v>
          </cell>
          <cell r="AL205">
            <v>0.71000000000000085</v>
          </cell>
          <cell r="AM205">
            <v>0</v>
          </cell>
          <cell r="AN205">
            <v>0.71000000000000085</v>
          </cell>
          <cell r="AO205">
            <v>0</v>
          </cell>
          <cell r="AP205">
            <v>0.71000000000000085</v>
          </cell>
          <cell r="AQ205" t="str">
            <v>CAD_2217</v>
          </cell>
          <cell r="AR205">
            <v>0</v>
          </cell>
          <cell r="AS205">
            <v>160</v>
          </cell>
          <cell r="AU205">
            <v>160</v>
          </cell>
          <cell r="AV205">
            <v>0</v>
          </cell>
          <cell r="AW205">
            <v>113.60000000000014</v>
          </cell>
          <cell r="AX205">
            <v>112.46400000000014</v>
          </cell>
          <cell r="AY205">
            <v>0</v>
          </cell>
          <cell r="AZ205">
            <v>113.60000000000014</v>
          </cell>
          <cell r="BA205">
            <v>112.46400000000014</v>
          </cell>
          <cell r="BB205">
            <v>113.60000000000014</v>
          </cell>
          <cell r="BC205">
            <v>0</v>
          </cell>
          <cell r="BD205">
            <v>0</v>
          </cell>
          <cell r="BE205">
            <v>0</v>
          </cell>
          <cell r="BG205">
            <v>112.46400000000014</v>
          </cell>
          <cell r="BI205">
            <v>0</v>
          </cell>
          <cell r="BJ205">
            <v>14560</v>
          </cell>
          <cell r="BK205">
            <v>10337.6</v>
          </cell>
          <cell r="BL205">
            <v>10668.960000000001</v>
          </cell>
          <cell r="BM205">
            <v>0</v>
          </cell>
          <cell r="BN205">
            <v>0</v>
          </cell>
          <cell r="BO205">
            <v>0</v>
          </cell>
          <cell r="BP205">
            <v>10668.960000000001</v>
          </cell>
          <cell r="BQ205">
            <v>0</v>
          </cell>
          <cell r="BR205">
            <v>-331.36000000000058</v>
          </cell>
          <cell r="BT205">
            <v>2</v>
          </cell>
          <cell r="BU205">
            <v>2</v>
          </cell>
          <cell r="BV205" t="str">
            <v>Y</v>
          </cell>
          <cell r="BW205">
            <v>0</v>
          </cell>
          <cell r="BX205">
            <v>0</v>
          </cell>
          <cell r="BY205">
            <v>2026</v>
          </cell>
          <cell r="BZ205" t="str">
            <v>-</v>
          </cell>
          <cell r="CA205" t="str">
            <v>-</v>
          </cell>
        </row>
        <row r="206">
          <cell r="A206" t="str">
            <v>Lucknow</v>
          </cell>
          <cell r="B206" t="str">
            <v>Mavericks</v>
          </cell>
          <cell r="C206" t="str">
            <v>Mid Level</v>
          </cell>
          <cell r="D206" t="str">
            <v>Mohammad Fakhrul</v>
          </cell>
          <cell r="E206" t="str">
            <v>-</v>
          </cell>
          <cell r="F206" t="str">
            <v>MSP</v>
          </cell>
          <cell r="H206" t="str">
            <v>Pass Through/MSP</v>
          </cell>
          <cell r="L206" t="str">
            <v>New</v>
          </cell>
          <cell r="M206">
            <v>46107</v>
          </cell>
          <cell r="N206">
            <v>95</v>
          </cell>
          <cell r="P206">
            <v>46472</v>
          </cell>
          <cell r="Q206" t="str">
            <v>PLC-Passthrough</v>
          </cell>
          <cell r="R206" t="str">
            <v>Hari Krishna Kaja</v>
          </cell>
          <cell r="S206" t="str">
            <v>Individual</v>
          </cell>
          <cell r="T206" t="str">
            <v>C2C</v>
          </cell>
          <cell r="U206" t="str">
            <v>Cigniti</v>
          </cell>
          <cell r="V206">
            <v>72</v>
          </cell>
          <cell r="W206">
            <v>0</v>
          </cell>
          <cell r="X206" t="str">
            <v>USD</v>
          </cell>
          <cell r="Y206">
            <v>73</v>
          </cell>
          <cell r="Z206">
            <v>0</v>
          </cell>
          <cell r="AA206">
            <v>0</v>
          </cell>
          <cell r="AB206">
            <v>0</v>
          </cell>
          <cell r="AC206">
            <v>46096</v>
          </cell>
          <cell r="AD206">
            <v>4</v>
          </cell>
          <cell r="AE206">
            <v>46387</v>
          </cell>
          <cell r="AF206">
            <v>72</v>
          </cell>
          <cell r="AG206">
            <v>0</v>
          </cell>
          <cell r="AH206">
            <v>72</v>
          </cell>
          <cell r="AI206">
            <v>73</v>
          </cell>
          <cell r="AJ206">
            <v>0</v>
          </cell>
          <cell r="AK206">
            <v>0</v>
          </cell>
          <cell r="AL206">
            <v>1</v>
          </cell>
          <cell r="AM206">
            <v>0</v>
          </cell>
          <cell r="AN206">
            <v>1</v>
          </cell>
          <cell r="AO206">
            <v>0</v>
          </cell>
          <cell r="AP206">
            <v>1</v>
          </cell>
          <cell r="AQ206" t="str">
            <v>US_CMSP_00569</v>
          </cell>
          <cell r="AR206">
            <v>0</v>
          </cell>
          <cell r="AS206">
            <v>16</v>
          </cell>
          <cell r="AU206">
            <v>16</v>
          </cell>
          <cell r="AV206">
            <v>0</v>
          </cell>
          <cell r="AW206">
            <v>16</v>
          </cell>
          <cell r="AX206">
            <v>16</v>
          </cell>
          <cell r="AY206">
            <v>0</v>
          </cell>
          <cell r="AZ206">
            <v>16</v>
          </cell>
          <cell r="BA206">
            <v>16</v>
          </cell>
          <cell r="BB206">
            <v>16</v>
          </cell>
          <cell r="BC206">
            <v>0</v>
          </cell>
          <cell r="BD206">
            <v>0</v>
          </cell>
          <cell r="BE206">
            <v>0</v>
          </cell>
          <cell r="BG206">
            <v>16</v>
          </cell>
          <cell r="BI206">
            <v>16</v>
          </cell>
          <cell r="BJ206">
            <v>1168</v>
          </cell>
          <cell r="BK206">
            <v>1168</v>
          </cell>
          <cell r="BL206">
            <v>1152</v>
          </cell>
          <cell r="BM206">
            <v>0</v>
          </cell>
          <cell r="BN206">
            <v>0</v>
          </cell>
          <cell r="BO206">
            <v>0</v>
          </cell>
          <cell r="BP206">
            <v>1152</v>
          </cell>
          <cell r="BQ206">
            <v>0</v>
          </cell>
          <cell r="BR206">
            <v>16</v>
          </cell>
          <cell r="BS206" t="str">
            <v>Y</v>
          </cell>
          <cell r="BT206">
            <v>1</v>
          </cell>
          <cell r="BU206">
            <v>1</v>
          </cell>
          <cell r="BV206" t="str">
            <v>N</v>
          </cell>
          <cell r="BW206">
            <v>0</v>
          </cell>
          <cell r="BX206">
            <v>0</v>
          </cell>
          <cell r="BY206">
            <v>2026</v>
          </cell>
          <cell r="BZ206" t="str">
            <v>-</v>
          </cell>
          <cell r="CA206" t="str">
            <v>-</v>
          </cell>
        </row>
        <row r="207">
          <cell r="A207" t="str">
            <v>Lucknow</v>
          </cell>
          <cell r="B207" t="str">
            <v>Mavericks</v>
          </cell>
          <cell r="C207" t="str">
            <v>Mid Level</v>
          </cell>
          <cell r="D207" t="str">
            <v>Mohammad Fakhrul</v>
          </cell>
          <cell r="E207" t="str">
            <v>-</v>
          </cell>
          <cell r="F207" t="str">
            <v>MSP</v>
          </cell>
          <cell r="H207" t="str">
            <v>Pass Through/MSP</v>
          </cell>
          <cell r="J207" t="str">
            <v>ACH</v>
          </cell>
          <cell r="L207" t="str">
            <v>New</v>
          </cell>
          <cell r="M207">
            <v>46107</v>
          </cell>
          <cell r="N207">
            <v>95</v>
          </cell>
          <cell r="P207">
            <v>46472</v>
          </cell>
          <cell r="Q207" t="str">
            <v>PLC-Passthrough</v>
          </cell>
          <cell r="R207" t="str">
            <v>Hari Krishna Kaja</v>
          </cell>
          <cell r="S207" t="str">
            <v>Individual</v>
          </cell>
          <cell r="T207" t="str">
            <v>C2C</v>
          </cell>
          <cell r="U207" t="str">
            <v>Cigniti</v>
          </cell>
          <cell r="V207">
            <v>72</v>
          </cell>
          <cell r="W207">
            <v>0</v>
          </cell>
          <cell r="X207" t="str">
            <v>USD</v>
          </cell>
          <cell r="Y207">
            <v>73</v>
          </cell>
          <cell r="Z207">
            <v>0</v>
          </cell>
          <cell r="AA207">
            <v>0</v>
          </cell>
          <cell r="AB207">
            <v>0</v>
          </cell>
          <cell r="AC207">
            <v>46127</v>
          </cell>
          <cell r="AD207">
            <v>22</v>
          </cell>
          <cell r="AE207">
            <v>46387</v>
          </cell>
          <cell r="AF207">
            <v>72</v>
          </cell>
          <cell r="AG207">
            <v>0</v>
          </cell>
          <cell r="AH207">
            <v>72</v>
          </cell>
          <cell r="AI207">
            <v>73</v>
          </cell>
          <cell r="AJ207">
            <v>0</v>
          </cell>
          <cell r="AK207">
            <v>0</v>
          </cell>
          <cell r="AL207">
            <v>1</v>
          </cell>
          <cell r="AM207">
            <v>0</v>
          </cell>
          <cell r="AN207">
            <v>1</v>
          </cell>
          <cell r="AO207">
            <v>0</v>
          </cell>
          <cell r="AP207">
            <v>1</v>
          </cell>
          <cell r="AQ207" t="str">
            <v>US_CMSP_00710</v>
          </cell>
          <cell r="AR207">
            <v>0</v>
          </cell>
          <cell r="AS207">
            <v>168</v>
          </cell>
          <cell r="AU207">
            <v>168</v>
          </cell>
          <cell r="AV207">
            <v>0</v>
          </cell>
          <cell r="AW207">
            <v>168</v>
          </cell>
          <cell r="AX207">
            <v>166.32</v>
          </cell>
          <cell r="AY207">
            <v>0</v>
          </cell>
          <cell r="AZ207">
            <v>168</v>
          </cell>
          <cell r="BA207">
            <v>166.32</v>
          </cell>
          <cell r="BB207">
            <v>168</v>
          </cell>
          <cell r="BC207">
            <v>0</v>
          </cell>
          <cell r="BD207">
            <v>0</v>
          </cell>
          <cell r="BE207">
            <v>0</v>
          </cell>
          <cell r="BG207">
            <v>166.32</v>
          </cell>
          <cell r="BI207">
            <v>166.32</v>
          </cell>
          <cell r="BJ207">
            <v>12264</v>
          </cell>
          <cell r="BK207">
            <v>12264</v>
          </cell>
          <cell r="BL207">
            <v>12096</v>
          </cell>
          <cell r="BM207">
            <v>0</v>
          </cell>
          <cell r="BN207">
            <v>0</v>
          </cell>
          <cell r="BO207">
            <v>0</v>
          </cell>
          <cell r="BP207">
            <v>12096</v>
          </cell>
          <cell r="BQ207">
            <v>0</v>
          </cell>
          <cell r="BR207">
            <v>168</v>
          </cell>
          <cell r="BT207">
            <v>2</v>
          </cell>
          <cell r="BU207">
            <v>1</v>
          </cell>
          <cell r="BV207" t="str">
            <v>N</v>
          </cell>
          <cell r="BW207">
            <v>0</v>
          </cell>
          <cell r="BX207">
            <v>0</v>
          </cell>
          <cell r="BY207">
            <v>2026</v>
          </cell>
          <cell r="BZ207" t="str">
            <v>-</v>
          </cell>
          <cell r="CA207" t="str">
            <v>-</v>
          </cell>
        </row>
        <row r="208">
          <cell r="A208" t="str">
            <v>Lucknow</v>
          </cell>
          <cell r="B208" t="str">
            <v>Mavericks</v>
          </cell>
          <cell r="C208" t="str">
            <v>Mid Level</v>
          </cell>
          <cell r="D208" t="str">
            <v>Mohammad Fakhrul</v>
          </cell>
          <cell r="E208" t="str">
            <v>-</v>
          </cell>
          <cell r="F208" t="str">
            <v>MSP</v>
          </cell>
          <cell r="H208" t="str">
            <v>Pass Through/MSP</v>
          </cell>
          <cell r="J208" t="str">
            <v>ACH</v>
          </cell>
          <cell r="L208" t="str">
            <v>New</v>
          </cell>
          <cell r="M208">
            <v>46107</v>
          </cell>
          <cell r="N208">
            <v>95</v>
          </cell>
          <cell r="P208">
            <v>46472</v>
          </cell>
          <cell r="Q208" t="str">
            <v>PLC-Passthrough</v>
          </cell>
          <cell r="R208" t="str">
            <v>Hari Krishna Kaja</v>
          </cell>
          <cell r="S208" t="str">
            <v>Individual</v>
          </cell>
          <cell r="T208" t="str">
            <v>C2C</v>
          </cell>
          <cell r="U208" t="str">
            <v>Cigniti</v>
          </cell>
          <cell r="V208">
            <v>72</v>
          </cell>
          <cell r="W208">
            <v>0</v>
          </cell>
          <cell r="X208" t="str">
            <v>USD</v>
          </cell>
          <cell r="Y208">
            <v>73</v>
          </cell>
          <cell r="Z208">
            <v>0</v>
          </cell>
          <cell r="AA208">
            <v>0</v>
          </cell>
          <cell r="AB208">
            <v>0</v>
          </cell>
          <cell r="AC208">
            <v>46157</v>
          </cell>
          <cell r="AD208">
            <v>22</v>
          </cell>
          <cell r="AE208">
            <v>46387</v>
          </cell>
          <cell r="AF208">
            <v>72</v>
          </cell>
          <cell r="AG208">
            <v>0</v>
          </cell>
          <cell r="AH208">
            <v>72</v>
          </cell>
          <cell r="AI208">
            <v>73</v>
          </cell>
          <cell r="AJ208">
            <v>0</v>
          </cell>
          <cell r="AK208">
            <v>0</v>
          </cell>
          <cell r="AL208">
            <v>1</v>
          </cell>
          <cell r="AM208">
            <v>0</v>
          </cell>
          <cell r="AN208">
            <v>1</v>
          </cell>
          <cell r="AO208">
            <v>0</v>
          </cell>
          <cell r="AP208">
            <v>1</v>
          </cell>
          <cell r="AQ208" t="str">
            <v>US_CMSP_00790</v>
          </cell>
          <cell r="AR208">
            <v>0</v>
          </cell>
          <cell r="AS208">
            <v>160</v>
          </cell>
          <cell r="AU208">
            <v>160</v>
          </cell>
          <cell r="AV208">
            <v>0</v>
          </cell>
          <cell r="AW208">
            <v>160</v>
          </cell>
          <cell r="AX208">
            <v>158.4</v>
          </cell>
          <cell r="AY208">
            <v>0</v>
          </cell>
          <cell r="AZ208">
            <v>160</v>
          </cell>
          <cell r="BA208">
            <v>158.4</v>
          </cell>
          <cell r="BB208">
            <v>160</v>
          </cell>
          <cell r="BC208">
            <v>0</v>
          </cell>
          <cell r="BD208">
            <v>0</v>
          </cell>
          <cell r="BE208">
            <v>0</v>
          </cell>
          <cell r="BG208">
            <v>158.4</v>
          </cell>
          <cell r="BI208">
            <v>158.4</v>
          </cell>
          <cell r="BJ208">
            <v>11680</v>
          </cell>
          <cell r="BK208">
            <v>11680</v>
          </cell>
          <cell r="BL208">
            <v>11520</v>
          </cell>
          <cell r="BM208">
            <v>0</v>
          </cell>
          <cell r="BN208">
            <v>0</v>
          </cell>
          <cell r="BO208">
            <v>0</v>
          </cell>
          <cell r="BP208">
            <v>11520</v>
          </cell>
          <cell r="BQ208">
            <v>0</v>
          </cell>
          <cell r="BR208">
            <v>160</v>
          </cell>
          <cell r="BT208">
            <v>2</v>
          </cell>
          <cell r="BU208">
            <v>1</v>
          </cell>
          <cell r="BV208" t="str">
            <v>N</v>
          </cell>
          <cell r="BW208">
            <v>0</v>
          </cell>
          <cell r="BX208">
            <v>0</v>
          </cell>
          <cell r="BY208">
            <v>2026</v>
          </cell>
          <cell r="BZ208" t="str">
            <v>-</v>
          </cell>
          <cell r="CA208" t="str">
            <v>-</v>
          </cell>
        </row>
        <row r="209">
          <cell r="A209" t="str">
            <v>Lucknow</v>
          </cell>
          <cell r="B209" t="str">
            <v>Mavericks</v>
          </cell>
          <cell r="C209" t="str">
            <v>Mid Level</v>
          </cell>
          <cell r="D209" t="str">
            <v>Mohammad Fakhrul</v>
          </cell>
          <cell r="E209" t="str">
            <v>-</v>
          </cell>
          <cell r="F209" t="str">
            <v>MSP</v>
          </cell>
          <cell r="H209" t="str">
            <v>Pass Through/MSP</v>
          </cell>
          <cell r="L209" t="str">
            <v>New</v>
          </cell>
          <cell r="M209">
            <v>46104</v>
          </cell>
          <cell r="N209">
            <v>98</v>
          </cell>
          <cell r="P209">
            <v>46469</v>
          </cell>
          <cell r="Q209" t="str">
            <v>PLC-Passthrough</v>
          </cell>
          <cell r="R209" t="str">
            <v>Havinash Samineni</v>
          </cell>
          <cell r="S209" t="str">
            <v>Individual</v>
          </cell>
          <cell r="T209" t="str">
            <v>C2C</v>
          </cell>
          <cell r="U209" t="str">
            <v>CoForge</v>
          </cell>
          <cell r="V209">
            <v>62</v>
          </cell>
          <cell r="W209">
            <v>0</v>
          </cell>
          <cell r="X209" t="str">
            <v>USD</v>
          </cell>
          <cell r="Y209">
            <v>63</v>
          </cell>
          <cell r="Z209">
            <v>0</v>
          </cell>
          <cell r="AA209">
            <v>0</v>
          </cell>
          <cell r="AB209">
            <v>0</v>
          </cell>
          <cell r="AC209">
            <v>46096</v>
          </cell>
          <cell r="AD209">
            <v>7</v>
          </cell>
          <cell r="AE209">
            <v>46387</v>
          </cell>
          <cell r="AF209">
            <v>62</v>
          </cell>
          <cell r="AG209">
            <v>0</v>
          </cell>
          <cell r="AH209">
            <v>62</v>
          </cell>
          <cell r="AI209">
            <v>63</v>
          </cell>
          <cell r="AJ209">
            <v>0</v>
          </cell>
          <cell r="AK209">
            <v>0</v>
          </cell>
          <cell r="AL209">
            <v>1</v>
          </cell>
          <cell r="AM209">
            <v>0</v>
          </cell>
          <cell r="AN209">
            <v>1</v>
          </cell>
          <cell r="AO209">
            <v>0</v>
          </cell>
          <cell r="AP209">
            <v>1</v>
          </cell>
          <cell r="AQ209" t="str">
            <v>US_CMSP_00572</v>
          </cell>
          <cell r="AR209">
            <v>0</v>
          </cell>
          <cell r="AS209">
            <v>44</v>
          </cell>
          <cell r="AU209">
            <v>44</v>
          </cell>
          <cell r="AV209">
            <v>0</v>
          </cell>
          <cell r="AW209">
            <v>44</v>
          </cell>
          <cell r="AX209">
            <v>44</v>
          </cell>
          <cell r="AY209">
            <v>0</v>
          </cell>
          <cell r="AZ209">
            <v>44</v>
          </cell>
          <cell r="BA209">
            <v>44</v>
          </cell>
          <cell r="BB209">
            <v>44</v>
          </cell>
          <cell r="BC209">
            <v>0</v>
          </cell>
          <cell r="BD209">
            <v>0</v>
          </cell>
          <cell r="BE209">
            <v>0</v>
          </cell>
          <cell r="BG209">
            <v>44</v>
          </cell>
          <cell r="BI209">
            <v>44</v>
          </cell>
          <cell r="BJ209">
            <v>2772</v>
          </cell>
          <cell r="BK209">
            <v>2772</v>
          </cell>
          <cell r="BL209">
            <v>2728</v>
          </cell>
          <cell r="BM209">
            <v>0</v>
          </cell>
          <cell r="BN209">
            <v>0</v>
          </cell>
          <cell r="BO209">
            <v>0</v>
          </cell>
          <cell r="BP209">
            <v>2728</v>
          </cell>
          <cell r="BQ209">
            <v>0</v>
          </cell>
          <cell r="BR209">
            <v>44</v>
          </cell>
          <cell r="BT209">
            <v>1</v>
          </cell>
          <cell r="BU209">
            <v>1</v>
          </cell>
          <cell r="BV209" t="str">
            <v>N</v>
          </cell>
          <cell r="BW209">
            <v>0</v>
          </cell>
          <cell r="BX209">
            <v>0</v>
          </cell>
          <cell r="BY209">
            <v>2026</v>
          </cell>
          <cell r="BZ209" t="str">
            <v>-</v>
          </cell>
          <cell r="CA209" t="str">
            <v>-</v>
          </cell>
        </row>
        <row r="210">
          <cell r="A210" t="str">
            <v>Lucknow</v>
          </cell>
          <cell r="B210" t="str">
            <v>Mavericks</v>
          </cell>
          <cell r="C210" t="str">
            <v>Mid Level</v>
          </cell>
          <cell r="D210" t="str">
            <v>Mohammad Fakhrul</v>
          </cell>
          <cell r="E210" t="str">
            <v>-</v>
          </cell>
          <cell r="F210" t="str">
            <v>MSP</v>
          </cell>
          <cell r="H210" t="str">
            <v>Pass Through/MSP</v>
          </cell>
          <cell r="J210" t="str">
            <v>ACH</v>
          </cell>
          <cell r="L210" t="str">
            <v>New</v>
          </cell>
          <cell r="M210">
            <v>46104</v>
          </cell>
          <cell r="N210">
            <v>98</v>
          </cell>
          <cell r="P210">
            <v>46469</v>
          </cell>
          <cell r="Q210" t="str">
            <v>PLC-Passthrough</v>
          </cell>
          <cell r="R210" t="str">
            <v>Havinash Samineni</v>
          </cell>
          <cell r="S210" t="str">
            <v>Individual</v>
          </cell>
          <cell r="T210" t="str">
            <v>C2C</v>
          </cell>
          <cell r="U210" t="str">
            <v>CoForge</v>
          </cell>
          <cell r="V210">
            <v>62</v>
          </cell>
          <cell r="W210">
            <v>0</v>
          </cell>
          <cell r="X210" t="str">
            <v>USD</v>
          </cell>
          <cell r="Y210">
            <v>63</v>
          </cell>
          <cell r="Z210">
            <v>0</v>
          </cell>
          <cell r="AA210">
            <v>0</v>
          </cell>
          <cell r="AB210">
            <v>0</v>
          </cell>
          <cell r="AC210">
            <v>46127</v>
          </cell>
          <cell r="AD210">
            <v>22</v>
          </cell>
          <cell r="AE210">
            <v>46387</v>
          </cell>
          <cell r="AF210">
            <v>62</v>
          </cell>
          <cell r="AG210">
            <v>0</v>
          </cell>
          <cell r="AH210">
            <v>62</v>
          </cell>
          <cell r="AI210">
            <v>63</v>
          </cell>
          <cell r="AJ210">
            <v>0</v>
          </cell>
          <cell r="AK210">
            <v>0</v>
          </cell>
          <cell r="AL210">
            <v>1</v>
          </cell>
          <cell r="AM210">
            <v>0</v>
          </cell>
          <cell r="AN210">
            <v>1</v>
          </cell>
          <cell r="AO210">
            <v>0</v>
          </cell>
          <cell r="AP210">
            <v>1</v>
          </cell>
          <cell r="AQ210" t="str">
            <v>US_CMSP_00713_Rev</v>
          </cell>
          <cell r="AR210">
            <v>0</v>
          </cell>
          <cell r="AS210">
            <v>164</v>
          </cell>
          <cell r="AU210">
            <v>164</v>
          </cell>
          <cell r="AV210">
            <v>0</v>
          </cell>
          <cell r="AW210">
            <v>164</v>
          </cell>
          <cell r="AX210">
            <v>162.35999999999999</v>
          </cell>
          <cell r="AY210">
            <v>0</v>
          </cell>
          <cell r="AZ210">
            <v>164</v>
          </cell>
          <cell r="BA210">
            <v>162.35999999999999</v>
          </cell>
          <cell r="BB210">
            <v>164</v>
          </cell>
          <cell r="BC210">
            <v>0</v>
          </cell>
          <cell r="BD210">
            <v>0</v>
          </cell>
          <cell r="BE210">
            <v>0</v>
          </cell>
          <cell r="BG210">
            <v>162.35999999999999</v>
          </cell>
          <cell r="BI210">
            <v>162.35999999999999</v>
          </cell>
          <cell r="BJ210">
            <v>10332</v>
          </cell>
          <cell r="BK210">
            <v>10332</v>
          </cell>
          <cell r="BL210">
            <v>10168</v>
          </cell>
          <cell r="BM210">
            <v>0</v>
          </cell>
          <cell r="BN210">
            <v>0</v>
          </cell>
          <cell r="BO210">
            <v>0</v>
          </cell>
          <cell r="BP210">
            <v>10168</v>
          </cell>
          <cell r="BQ210">
            <v>0</v>
          </cell>
          <cell r="BR210">
            <v>164</v>
          </cell>
          <cell r="BS210" t="str">
            <v>Y</v>
          </cell>
          <cell r="BT210">
            <v>2</v>
          </cell>
          <cell r="BU210">
            <v>1</v>
          </cell>
          <cell r="BV210" t="str">
            <v>N</v>
          </cell>
          <cell r="BW210">
            <v>0</v>
          </cell>
          <cell r="BX210">
            <v>0</v>
          </cell>
          <cell r="BY210">
            <v>2026</v>
          </cell>
          <cell r="BZ210" t="str">
            <v>-</v>
          </cell>
          <cell r="CA210" t="str">
            <v>-</v>
          </cell>
        </row>
        <row r="211">
          <cell r="A211" t="str">
            <v>Lucknow</v>
          </cell>
          <cell r="B211" t="str">
            <v>Mavericks</v>
          </cell>
          <cell r="C211" t="str">
            <v>Mid Level</v>
          </cell>
          <cell r="D211" t="str">
            <v>Mohammad Fakhrul</v>
          </cell>
          <cell r="E211" t="str">
            <v>-</v>
          </cell>
          <cell r="F211" t="str">
            <v>MSP</v>
          </cell>
          <cell r="H211" t="str">
            <v>Pass Through/MSP</v>
          </cell>
          <cell r="J211" t="str">
            <v>ACH</v>
          </cell>
          <cell r="L211" t="str">
            <v>New</v>
          </cell>
          <cell r="M211">
            <v>46104</v>
          </cell>
          <cell r="N211">
            <v>98</v>
          </cell>
          <cell r="P211">
            <v>46469</v>
          </cell>
          <cell r="Q211" t="str">
            <v>PLC-Passthrough</v>
          </cell>
          <cell r="R211" t="str">
            <v>Havinash Samineni</v>
          </cell>
          <cell r="S211" t="str">
            <v>Individual</v>
          </cell>
          <cell r="T211" t="str">
            <v>C2C</v>
          </cell>
          <cell r="U211" t="str">
            <v>CoForge</v>
          </cell>
          <cell r="V211">
            <v>62</v>
          </cell>
          <cell r="W211">
            <v>0</v>
          </cell>
          <cell r="X211" t="str">
            <v>USD</v>
          </cell>
          <cell r="Y211">
            <v>63</v>
          </cell>
          <cell r="Z211">
            <v>0</v>
          </cell>
          <cell r="AA211">
            <v>0</v>
          </cell>
          <cell r="AB211">
            <v>0</v>
          </cell>
          <cell r="AC211">
            <v>46157</v>
          </cell>
          <cell r="AD211">
            <v>22</v>
          </cell>
          <cell r="AE211">
            <v>46387</v>
          </cell>
          <cell r="AF211">
            <v>62</v>
          </cell>
          <cell r="AG211">
            <v>0</v>
          </cell>
          <cell r="AH211">
            <v>62</v>
          </cell>
          <cell r="AI211">
            <v>63</v>
          </cell>
          <cell r="AJ211">
            <v>0</v>
          </cell>
          <cell r="AK211">
            <v>0</v>
          </cell>
          <cell r="AL211">
            <v>1</v>
          </cell>
          <cell r="AM211">
            <v>0</v>
          </cell>
          <cell r="AN211">
            <v>1</v>
          </cell>
          <cell r="AO211">
            <v>0</v>
          </cell>
          <cell r="AP211">
            <v>1</v>
          </cell>
          <cell r="AQ211" t="str">
            <v>US_CMSP_00865</v>
          </cell>
          <cell r="AR211">
            <v>0</v>
          </cell>
          <cell r="AS211">
            <v>160</v>
          </cell>
          <cell r="AU211">
            <v>160</v>
          </cell>
          <cell r="AV211">
            <v>0</v>
          </cell>
          <cell r="AW211">
            <v>160</v>
          </cell>
          <cell r="AX211">
            <v>158.4</v>
          </cell>
          <cell r="AY211">
            <v>0</v>
          </cell>
          <cell r="AZ211">
            <v>160</v>
          </cell>
          <cell r="BA211">
            <v>158.4</v>
          </cell>
          <cell r="BB211">
            <v>160</v>
          </cell>
          <cell r="BC211">
            <v>0</v>
          </cell>
          <cell r="BD211">
            <v>0</v>
          </cell>
          <cell r="BE211">
            <v>0</v>
          </cell>
          <cell r="BG211">
            <v>158.4</v>
          </cell>
          <cell r="BI211">
            <v>158.4</v>
          </cell>
          <cell r="BJ211">
            <v>10080</v>
          </cell>
          <cell r="BK211">
            <v>10080</v>
          </cell>
          <cell r="BL211">
            <v>9920</v>
          </cell>
          <cell r="BM211">
            <v>0</v>
          </cell>
          <cell r="BN211">
            <v>0</v>
          </cell>
          <cell r="BO211">
            <v>0</v>
          </cell>
          <cell r="BP211">
            <v>9920</v>
          </cell>
          <cell r="BQ211">
            <v>0</v>
          </cell>
          <cell r="BR211">
            <v>160</v>
          </cell>
          <cell r="BT211">
            <v>2</v>
          </cell>
          <cell r="BU211">
            <v>1</v>
          </cell>
          <cell r="BV211" t="str">
            <v>N</v>
          </cell>
          <cell r="BW211">
            <v>0</v>
          </cell>
          <cell r="BX211">
            <v>0</v>
          </cell>
          <cell r="BY211">
            <v>2026</v>
          </cell>
          <cell r="BZ211" t="str">
            <v>-</v>
          </cell>
          <cell r="CA211" t="str">
            <v>-</v>
          </cell>
        </row>
        <row r="212">
          <cell r="A212" t="str">
            <v>Lucknow</v>
          </cell>
          <cell r="B212" t="str">
            <v>Trust</v>
          </cell>
          <cell r="C212" t="str">
            <v>Mid Level</v>
          </cell>
          <cell r="D212" t="str">
            <v>Harsh Agarwal</v>
          </cell>
          <cell r="E212" t="str">
            <v>-</v>
          </cell>
          <cell r="F212" t="str">
            <v>Non-MSP</v>
          </cell>
          <cell r="H212" t="str">
            <v>Virendra Vikram Singh</v>
          </cell>
          <cell r="L212" t="str">
            <v>New</v>
          </cell>
          <cell r="M212">
            <v>46093</v>
          </cell>
          <cell r="N212">
            <v>109</v>
          </cell>
          <cell r="P212">
            <v>46458</v>
          </cell>
          <cell r="Q212" t="str">
            <v>PLC-4760</v>
          </cell>
          <cell r="R212" t="str">
            <v>Heena Rajpal</v>
          </cell>
          <cell r="S212" t="str">
            <v>Individual</v>
          </cell>
          <cell r="T212" t="str">
            <v>FTE</v>
          </cell>
          <cell r="U212" t="str">
            <v>Birlasoft</v>
          </cell>
          <cell r="V212">
            <v>0</v>
          </cell>
          <cell r="W212">
            <v>0</v>
          </cell>
          <cell r="X212" t="str">
            <v>USD</v>
          </cell>
          <cell r="Y212">
            <v>5000</v>
          </cell>
          <cell r="Z212">
            <v>0</v>
          </cell>
          <cell r="AA212">
            <v>0</v>
          </cell>
          <cell r="AB212">
            <v>0</v>
          </cell>
          <cell r="AC212">
            <v>46096</v>
          </cell>
          <cell r="AD212">
            <v>1</v>
          </cell>
          <cell r="AE212">
            <v>46387</v>
          </cell>
          <cell r="AF212">
            <v>0</v>
          </cell>
          <cell r="AG212">
            <v>0</v>
          </cell>
          <cell r="AH212">
            <v>0</v>
          </cell>
          <cell r="AI212">
            <v>5000</v>
          </cell>
          <cell r="AJ212">
            <v>0</v>
          </cell>
          <cell r="AK212">
            <v>0</v>
          </cell>
          <cell r="AL212">
            <v>5000</v>
          </cell>
          <cell r="AM212">
            <v>0</v>
          </cell>
          <cell r="AN212">
            <v>5000</v>
          </cell>
          <cell r="AO212">
            <v>0</v>
          </cell>
          <cell r="AP212">
            <v>5000</v>
          </cell>
          <cell r="AQ212" t="str">
            <v>US_27452</v>
          </cell>
          <cell r="AR212">
            <v>0</v>
          </cell>
          <cell r="AS212">
            <v>1</v>
          </cell>
          <cell r="AU212">
            <v>1</v>
          </cell>
          <cell r="AV212">
            <v>0</v>
          </cell>
          <cell r="AW212">
            <v>5000</v>
          </cell>
          <cell r="AX212">
            <v>5000</v>
          </cell>
          <cell r="AY212">
            <v>0</v>
          </cell>
          <cell r="AZ212">
            <v>5000</v>
          </cell>
          <cell r="BA212">
            <v>5000</v>
          </cell>
          <cell r="BB212">
            <v>5000</v>
          </cell>
          <cell r="BC212">
            <v>75</v>
          </cell>
          <cell r="BD212">
            <v>6600</v>
          </cell>
          <cell r="BE212">
            <v>6600</v>
          </cell>
          <cell r="BF212">
            <v>39</v>
          </cell>
          <cell r="BG212">
            <v>5000</v>
          </cell>
          <cell r="BH212">
            <v>2750</v>
          </cell>
          <cell r="BI212">
            <v>5000</v>
          </cell>
          <cell r="BJ212">
            <v>5000</v>
          </cell>
          <cell r="BK212">
            <v>5000</v>
          </cell>
          <cell r="BL212">
            <v>0</v>
          </cell>
          <cell r="BM212">
            <v>0</v>
          </cell>
          <cell r="BN212">
            <v>0</v>
          </cell>
          <cell r="BO212">
            <v>0</v>
          </cell>
          <cell r="BP212">
            <v>0</v>
          </cell>
          <cell r="BQ212">
            <v>0</v>
          </cell>
          <cell r="BR212">
            <v>5000</v>
          </cell>
          <cell r="BT212">
            <v>1</v>
          </cell>
          <cell r="BU212">
            <v>1</v>
          </cell>
          <cell r="BV212" t="str">
            <v>Y</v>
          </cell>
          <cell r="BW212">
            <v>13200</v>
          </cell>
          <cell r="BX212">
            <v>13200</v>
          </cell>
          <cell r="BY212">
            <v>2026</v>
          </cell>
          <cell r="BZ212" t="str">
            <v>-</v>
          </cell>
          <cell r="CA212" t="str">
            <v>-</v>
          </cell>
        </row>
        <row r="213">
          <cell r="A213" t="str">
            <v>Lucknow</v>
          </cell>
          <cell r="B213" t="str">
            <v>Trust</v>
          </cell>
          <cell r="C213" t="str">
            <v>Mid Level</v>
          </cell>
          <cell r="D213" t="str">
            <v>Bhanu Pratap Singh</v>
          </cell>
          <cell r="E213" t="str">
            <v>-</v>
          </cell>
          <cell r="F213" t="str">
            <v>Non-MSP</v>
          </cell>
          <cell r="H213" t="str">
            <v>Bhanu Pratap Singh</v>
          </cell>
          <cell r="L213" t="str">
            <v>New</v>
          </cell>
          <cell r="M213">
            <v>46027</v>
          </cell>
          <cell r="N213">
            <v>175</v>
          </cell>
          <cell r="P213">
            <v>46392</v>
          </cell>
          <cell r="Q213" t="str">
            <v>PLC-4664</v>
          </cell>
          <cell r="R213" t="str">
            <v>Hemant Shah</v>
          </cell>
          <cell r="S213" t="str">
            <v>Individual</v>
          </cell>
          <cell r="T213" t="str">
            <v>C2C</v>
          </cell>
          <cell r="U213" t="str">
            <v>Fanatics</v>
          </cell>
          <cell r="V213">
            <v>180</v>
          </cell>
          <cell r="W213">
            <v>0</v>
          </cell>
          <cell r="X213" t="str">
            <v>USD</v>
          </cell>
          <cell r="Y213">
            <v>194.4</v>
          </cell>
          <cell r="Z213">
            <v>0</v>
          </cell>
          <cell r="AA213">
            <v>0</v>
          </cell>
          <cell r="AB213">
            <v>0</v>
          </cell>
          <cell r="AC213">
            <v>46037</v>
          </cell>
          <cell r="AD213">
            <v>20</v>
          </cell>
          <cell r="AE213">
            <v>46387</v>
          </cell>
          <cell r="AF213">
            <v>180</v>
          </cell>
          <cell r="AG213">
            <v>0</v>
          </cell>
          <cell r="AH213">
            <v>180</v>
          </cell>
          <cell r="AI213">
            <v>194.4</v>
          </cell>
          <cell r="AJ213">
            <v>0</v>
          </cell>
          <cell r="AK213">
            <v>0</v>
          </cell>
          <cell r="AL213">
            <v>14.400000000000006</v>
          </cell>
          <cell r="AM213">
            <v>0</v>
          </cell>
          <cell r="AN213">
            <v>14.400000000000006</v>
          </cell>
          <cell r="AO213">
            <v>0</v>
          </cell>
          <cell r="AP213">
            <v>14.400000000000006</v>
          </cell>
          <cell r="AQ213" t="str">
            <v>US_26722</v>
          </cell>
          <cell r="AR213">
            <v>0</v>
          </cell>
          <cell r="AS213">
            <v>168</v>
          </cell>
          <cell r="AU213">
            <v>168</v>
          </cell>
          <cell r="AV213">
            <v>0</v>
          </cell>
          <cell r="AW213">
            <v>2419.2000000000007</v>
          </cell>
          <cell r="AX213">
            <v>2419.2000000000007</v>
          </cell>
          <cell r="AY213">
            <v>0</v>
          </cell>
          <cell r="AZ213">
            <v>2419.2000000000007</v>
          </cell>
          <cell r="BA213">
            <v>2419.2000000000007</v>
          </cell>
          <cell r="BB213">
            <v>2419.2000000000007</v>
          </cell>
          <cell r="BC213">
            <v>0</v>
          </cell>
          <cell r="BD213">
            <v>0</v>
          </cell>
          <cell r="BE213">
            <v>0</v>
          </cell>
          <cell r="BG213">
            <v>2419.2000000000007</v>
          </cell>
          <cell r="BI213">
            <v>2419.2000000000007</v>
          </cell>
          <cell r="BJ213">
            <v>32659.200000000001</v>
          </cell>
          <cell r="BK213">
            <v>32659.200000000001</v>
          </cell>
          <cell r="BL213">
            <v>30240</v>
          </cell>
          <cell r="BM213">
            <v>0</v>
          </cell>
          <cell r="BN213">
            <v>0</v>
          </cell>
          <cell r="BO213">
            <v>0</v>
          </cell>
          <cell r="BP213">
            <v>30240</v>
          </cell>
          <cell r="BQ213">
            <v>0</v>
          </cell>
          <cell r="BR213">
            <v>2419.2000000000007</v>
          </cell>
          <cell r="BS213" t="str">
            <v>Y</v>
          </cell>
          <cell r="BT213">
            <v>1</v>
          </cell>
          <cell r="BU213">
            <v>1</v>
          </cell>
          <cell r="BV213" t="str">
            <v>Y</v>
          </cell>
          <cell r="BW213">
            <v>0</v>
          </cell>
          <cell r="BX213">
            <v>0</v>
          </cell>
          <cell r="BY213">
            <v>2026</v>
          </cell>
          <cell r="BZ213" t="str">
            <v>-</v>
          </cell>
          <cell r="CA213" t="str">
            <v>-</v>
          </cell>
        </row>
        <row r="214">
          <cell r="A214" t="str">
            <v>Lucknow</v>
          </cell>
          <cell r="B214" t="str">
            <v>Trust</v>
          </cell>
          <cell r="C214" t="str">
            <v>Mid Level</v>
          </cell>
          <cell r="D214" t="str">
            <v>Bhanu Pratap Singh</v>
          </cell>
          <cell r="E214" t="str">
            <v>-</v>
          </cell>
          <cell r="F214" t="str">
            <v>Non-MSP</v>
          </cell>
          <cell r="H214" t="str">
            <v>Bhanu Pratap Singh</v>
          </cell>
          <cell r="L214" t="str">
            <v>New</v>
          </cell>
          <cell r="M214">
            <v>46027</v>
          </cell>
          <cell r="N214">
            <v>175</v>
          </cell>
          <cell r="P214">
            <v>46392</v>
          </cell>
          <cell r="Q214" t="str">
            <v>PLC-4664</v>
          </cell>
          <cell r="R214" t="str">
            <v>Hemant Shah</v>
          </cell>
          <cell r="S214" t="str">
            <v>Individual</v>
          </cell>
          <cell r="T214" t="str">
            <v>C2C</v>
          </cell>
          <cell r="U214" t="str">
            <v>Fanatics</v>
          </cell>
          <cell r="V214">
            <v>180</v>
          </cell>
          <cell r="W214">
            <v>0</v>
          </cell>
          <cell r="X214" t="str">
            <v>USD</v>
          </cell>
          <cell r="Y214">
            <v>194.4</v>
          </cell>
          <cell r="Z214">
            <v>0</v>
          </cell>
          <cell r="AA214">
            <v>0</v>
          </cell>
          <cell r="AB214">
            <v>0</v>
          </cell>
          <cell r="AC214">
            <v>46068</v>
          </cell>
          <cell r="AD214">
            <v>20</v>
          </cell>
          <cell r="AE214">
            <v>46387</v>
          </cell>
          <cell r="AF214">
            <v>180</v>
          </cell>
          <cell r="AG214">
            <v>0</v>
          </cell>
          <cell r="AH214">
            <v>180</v>
          </cell>
          <cell r="AI214">
            <v>194.4</v>
          </cell>
          <cell r="AJ214">
            <v>0</v>
          </cell>
          <cell r="AK214">
            <v>0</v>
          </cell>
          <cell r="AL214">
            <v>14.400000000000006</v>
          </cell>
          <cell r="AM214">
            <v>0</v>
          </cell>
          <cell r="AN214">
            <v>14.400000000000006</v>
          </cell>
          <cell r="AO214">
            <v>0</v>
          </cell>
          <cell r="AP214">
            <v>14.400000000000006</v>
          </cell>
          <cell r="AQ214" t="str">
            <v>US_26979</v>
          </cell>
          <cell r="AR214">
            <v>0</v>
          </cell>
          <cell r="AS214">
            <v>168</v>
          </cell>
          <cell r="AU214">
            <v>168</v>
          </cell>
          <cell r="AV214">
            <v>0</v>
          </cell>
          <cell r="AW214">
            <v>2419.2000000000007</v>
          </cell>
          <cell r="AX214">
            <v>2419.2000000000007</v>
          </cell>
          <cell r="AY214">
            <v>0</v>
          </cell>
          <cell r="AZ214">
            <v>2419.2000000000007</v>
          </cell>
          <cell r="BA214">
            <v>2419.2000000000007</v>
          </cell>
          <cell r="BB214">
            <v>2419.2000000000007</v>
          </cell>
          <cell r="BC214">
            <v>0</v>
          </cell>
          <cell r="BD214">
            <v>0</v>
          </cell>
          <cell r="BE214">
            <v>0</v>
          </cell>
          <cell r="BG214">
            <v>2419.2000000000007</v>
          </cell>
          <cell r="BI214">
            <v>2419.2000000000007</v>
          </cell>
          <cell r="BJ214">
            <v>32659.200000000001</v>
          </cell>
          <cell r="BK214">
            <v>32659.200000000001</v>
          </cell>
          <cell r="BL214">
            <v>30240</v>
          </cell>
          <cell r="BM214">
            <v>0</v>
          </cell>
          <cell r="BN214">
            <v>0</v>
          </cell>
          <cell r="BO214">
            <v>0</v>
          </cell>
          <cell r="BP214">
            <v>30240</v>
          </cell>
          <cell r="BQ214">
            <v>0</v>
          </cell>
          <cell r="BR214">
            <v>2419.2000000000007</v>
          </cell>
          <cell r="BS214" t="str">
            <v>Y</v>
          </cell>
          <cell r="BT214">
            <v>1</v>
          </cell>
          <cell r="BU214">
            <v>1</v>
          </cell>
          <cell r="BV214" t="str">
            <v>Y</v>
          </cell>
          <cell r="BW214">
            <v>0</v>
          </cell>
          <cell r="BX214">
            <v>0</v>
          </cell>
          <cell r="BY214">
            <v>2026</v>
          </cell>
          <cell r="BZ214" t="str">
            <v>-</v>
          </cell>
          <cell r="CA214" t="str">
            <v>-</v>
          </cell>
        </row>
        <row r="215">
          <cell r="A215" t="str">
            <v>Lucknow</v>
          </cell>
          <cell r="B215" t="str">
            <v>Trust</v>
          </cell>
          <cell r="C215" t="str">
            <v>Mid Level</v>
          </cell>
          <cell r="D215" t="str">
            <v>Bhanu Pratap Singh</v>
          </cell>
          <cell r="E215" t="str">
            <v>-</v>
          </cell>
          <cell r="F215" t="str">
            <v>Non-MSP</v>
          </cell>
          <cell r="H215" t="str">
            <v>Bhanu Pratap Singh</v>
          </cell>
          <cell r="L215" t="str">
            <v>New</v>
          </cell>
          <cell r="M215">
            <v>46027</v>
          </cell>
          <cell r="N215">
            <v>175</v>
          </cell>
          <cell r="P215">
            <v>46392</v>
          </cell>
          <cell r="Q215" t="str">
            <v>PLC-4664</v>
          </cell>
          <cell r="R215" t="str">
            <v>Hemant Shah</v>
          </cell>
          <cell r="S215" t="str">
            <v>Individual</v>
          </cell>
          <cell r="T215" t="str">
            <v>C2C</v>
          </cell>
          <cell r="U215" t="str">
            <v>Fanatics</v>
          </cell>
          <cell r="V215">
            <v>180</v>
          </cell>
          <cell r="W215">
            <v>0</v>
          </cell>
          <cell r="X215" t="str">
            <v>USD</v>
          </cell>
          <cell r="Y215">
            <v>194.4</v>
          </cell>
          <cell r="Z215">
            <v>0</v>
          </cell>
          <cell r="AA215">
            <v>0</v>
          </cell>
          <cell r="AB215">
            <v>0</v>
          </cell>
          <cell r="AC215">
            <v>46096</v>
          </cell>
          <cell r="AD215">
            <v>22</v>
          </cell>
          <cell r="AE215">
            <v>46387</v>
          </cell>
          <cell r="AF215">
            <v>180</v>
          </cell>
          <cell r="AG215">
            <v>0</v>
          </cell>
          <cell r="AH215">
            <v>180</v>
          </cell>
          <cell r="AI215">
            <v>194.4</v>
          </cell>
          <cell r="AJ215">
            <v>0</v>
          </cell>
          <cell r="AK215">
            <v>0</v>
          </cell>
          <cell r="AL215">
            <v>14.400000000000006</v>
          </cell>
          <cell r="AM215">
            <v>0</v>
          </cell>
          <cell r="AN215">
            <v>14.400000000000006</v>
          </cell>
          <cell r="AO215">
            <v>0</v>
          </cell>
          <cell r="AP215">
            <v>14.400000000000006</v>
          </cell>
          <cell r="AQ215" t="str">
            <v>US_272016</v>
          </cell>
          <cell r="AR215">
            <v>0</v>
          </cell>
          <cell r="AS215">
            <v>176</v>
          </cell>
          <cell r="AU215">
            <v>176</v>
          </cell>
          <cell r="AV215">
            <v>0</v>
          </cell>
          <cell r="AW215">
            <v>2534.400000000001</v>
          </cell>
          <cell r="AX215">
            <v>2534.400000000001</v>
          </cell>
          <cell r="AY215">
            <v>0</v>
          </cell>
          <cell r="AZ215">
            <v>2534.400000000001</v>
          </cell>
          <cell r="BA215">
            <v>2534.400000000001</v>
          </cell>
          <cell r="BB215">
            <v>2534.400000000001</v>
          </cell>
          <cell r="BC215">
            <v>0</v>
          </cell>
          <cell r="BD215">
            <v>0</v>
          </cell>
          <cell r="BE215">
            <v>0</v>
          </cell>
          <cell r="BG215">
            <v>2534.400000000001</v>
          </cell>
          <cell r="BI215">
            <v>2534.400000000001</v>
          </cell>
          <cell r="BJ215">
            <v>34214.400000000001</v>
          </cell>
          <cell r="BK215">
            <v>34214.400000000001</v>
          </cell>
          <cell r="BL215">
            <v>31680</v>
          </cell>
          <cell r="BM215">
            <v>0</v>
          </cell>
          <cell r="BN215">
            <v>0</v>
          </cell>
          <cell r="BO215">
            <v>0</v>
          </cell>
          <cell r="BP215">
            <v>31680</v>
          </cell>
          <cell r="BQ215">
            <v>0</v>
          </cell>
          <cell r="BR215">
            <v>2534.4000000000015</v>
          </cell>
          <cell r="BS215" t="str">
            <v>Y</v>
          </cell>
          <cell r="BT215">
            <v>1</v>
          </cell>
          <cell r="BU215">
            <v>1</v>
          </cell>
          <cell r="BV215" t="str">
            <v>Y</v>
          </cell>
          <cell r="BW215">
            <v>0</v>
          </cell>
          <cell r="BX215">
            <v>0</v>
          </cell>
          <cell r="BY215">
            <v>2026</v>
          </cell>
          <cell r="BZ215" t="str">
            <v>-</v>
          </cell>
          <cell r="CA215" t="str">
            <v>-</v>
          </cell>
        </row>
        <row r="216">
          <cell r="A216" t="str">
            <v>Lucknow</v>
          </cell>
          <cell r="B216" t="str">
            <v>Trust</v>
          </cell>
          <cell r="C216" t="str">
            <v>Mid Level</v>
          </cell>
          <cell r="D216" t="str">
            <v>Bhanu Pratap Singh</v>
          </cell>
          <cell r="E216" t="str">
            <v>-</v>
          </cell>
          <cell r="F216" t="str">
            <v>Non-MSP</v>
          </cell>
          <cell r="H216" t="str">
            <v>Bhanu Pratap Singh</v>
          </cell>
          <cell r="J216" t="str">
            <v>ACH</v>
          </cell>
          <cell r="L216" t="str">
            <v>New</v>
          </cell>
          <cell r="M216">
            <v>46027</v>
          </cell>
          <cell r="N216">
            <v>175</v>
          </cell>
          <cell r="P216">
            <v>46392</v>
          </cell>
          <cell r="Q216" t="str">
            <v>PLC-4664</v>
          </cell>
          <cell r="R216" t="str">
            <v>Hemant Shah</v>
          </cell>
          <cell r="S216" t="str">
            <v>Individual</v>
          </cell>
          <cell r="T216" t="str">
            <v>C2C</v>
          </cell>
          <cell r="U216" t="str">
            <v>Fanatics</v>
          </cell>
          <cell r="V216">
            <v>180</v>
          </cell>
          <cell r="W216">
            <v>0</v>
          </cell>
          <cell r="X216" t="str">
            <v>USD</v>
          </cell>
          <cell r="Y216">
            <v>194.4</v>
          </cell>
          <cell r="Z216">
            <v>0</v>
          </cell>
          <cell r="AA216">
            <v>0</v>
          </cell>
          <cell r="AB216">
            <v>0</v>
          </cell>
          <cell r="AC216">
            <v>46127</v>
          </cell>
          <cell r="AD216">
            <v>22</v>
          </cell>
          <cell r="AE216">
            <v>46387</v>
          </cell>
          <cell r="AF216">
            <v>180</v>
          </cell>
          <cell r="AG216">
            <v>0</v>
          </cell>
          <cell r="AH216">
            <v>180</v>
          </cell>
          <cell r="AI216">
            <v>194.4</v>
          </cell>
          <cell r="AJ216">
            <v>0</v>
          </cell>
          <cell r="AK216">
            <v>0</v>
          </cell>
          <cell r="AL216">
            <v>14.400000000000006</v>
          </cell>
          <cell r="AM216">
            <v>0</v>
          </cell>
          <cell r="AN216">
            <v>14.400000000000006</v>
          </cell>
          <cell r="AO216">
            <v>0</v>
          </cell>
          <cell r="AP216">
            <v>14.400000000000006</v>
          </cell>
          <cell r="AQ216" t="str">
            <v>US_27467</v>
          </cell>
          <cell r="AR216">
            <v>0</v>
          </cell>
          <cell r="AS216">
            <v>176</v>
          </cell>
          <cell r="AU216">
            <v>176</v>
          </cell>
          <cell r="AV216">
            <v>0</v>
          </cell>
          <cell r="AW216">
            <v>2534.400000000001</v>
          </cell>
          <cell r="AX216">
            <v>2509.0560000000009</v>
          </cell>
          <cell r="AY216">
            <v>0</v>
          </cell>
          <cell r="AZ216">
            <v>2534.400000000001</v>
          </cell>
          <cell r="BA216">
            <v>2509.0560000000009</v>
          </cell>
          <cell r="BB216">
            <v>2534.400000000001</v>
          </cell>
          <cell r="BC216">
            <v>0</v>
          </cell>
          <cell r="BD216">
            <v>0</v>
          </cell>
          <cell r="BE216">
            <v>0</v>
          </cell>
          <cell r="BG216">
            <v>2509.0560000000009</v>
          </cell>
          <cell r="BI216">
            <v>2509.0560000000009</v>
          </cell>
          <cell r="BJ216">
            <v>34214.400000000001</v>
          </cell>
          <cell r="BK216">
            <v>34214.400000000001</v>
          </cell>
          <cell r="BL216">
            <v>31680</v>
          </cell>
          <cell r="BM216">
            <v>0</v>
          </cell>
          <cell r="BN216">
            <v>0</v>
          </cell>
          <cell r="BO216">
            <v>0</v>
          </cell>
          <cell r="BP216">
            <v>31680</v>
          </cell>
          <cell r="BQ216">
            <v>0</v>
          </cell>
          <cell r="BR216">
            <v>2534.4000000000015</v>
          </cell>
          <cell r="BS216" t="str">
            <v>Y</v>
          </cell>
          <cell r="BT216">
            <v>2</v>
          </cell>
          <cell r="BU216">
            <v>1</v>
          </cell>
          <cell r="BV216" t="str">
            <v>Y</v>
          </cell>
          <cell r="BW216">
            <v>0</v>
          </cell>
          <cell r="BX216">
            <v>0</v>
          </cell>
          <cell r="BY216">
            <v>2026</v>
          </cell>
          <cell r="BZ216" t="str">
            <v>-</v>
          </cell>
          <cell r="CA216" t="str">
            <v>-</v>
          </cell>
        </row>
        <row r="217">
          <cell r="A217" t="str">
            <v>Lucknow</v>
          </cell>
          <cell r="B217" t="str">
            <v>Trust</v>
          </cell>
          <cell r="C217" t="str">
            <v>Mid Level</v>
          </cell>
          <cell r="D217" t="str">
            <v>Bhanu Pratap Singh</v>
          </cell>
          <cell r="E217" t="str">
            <v>-</v>
          </cell>
          <cell r="F217" t="str">
            <v>Non-MSP</v>
          </cell>
          <cell r="H217" t="str">
            <v>Bhanu Pratap Singh</v>
          </cell>
          <cell r="J217" t="str">
            <v>ACH</v>
          </cell>
          <cell r="L217" t="str">
            <v>New</v>
          </cell>
          <cell r="M217">
            <v>46027</v>
          </cell>
          <cell r="N217">
            <v>175</v>
          </cell>
          <cell r="P217">
            <v>46392</v>
          </cell>
          <cell r="Q217" t="str">
            <v>PLC-4664</v>
          </cell>
          <cell r="R217" t="str">
            <v>Hemant Shah</v>
          </cell>
          <cell r="S217" t="str">
            <v>Individual</v>
          </cell>
          <cell r="T217" t="str">
            <v>C2C</v>
          </cell>
          <cell r="U217" t="str">
            <v>Fanatics</v>
          </cell>
          <cell r="V217">
            <v>180</v>
          </cell>
          <cell r="W217">
            <v>0</v>
          </cell>
          <cell r="X217" t="str">
            <v>USD</v>
          </cell>
          <cell r="Y217">
            <v>194.4</v>
          </cell>
          <cell r="Z217">
            <v>0</v>
          </cell>
          <cell r="AA217">
            <v>0</v>
          </cell>
          <cell r="AB217">
            <v>0</v>
          </cell>
          <cell r="AC217">
            <v>46157</v>
          </cell>
          <cell r="AD217">
            <v>22</v>
          </cell>
          <cell r="AE217">
            <v>46387</v>
          </cell>
          <cell r="AF217">
            <v>180</v>
          </cell>
          <cell r="AG217">
            <v>0</v>
          </cell>
          <cell r="AH217">
            <v>180</v>
          </cell>
          <cell r="AI217">
            <v>194.4</v>
          </cell>
          <cell r="AJ217">
            <v>0</v>
          </cell>
          <cell r="AK217">
            <v>0</v>
          </cell>
          <cell r="AL217">
            <v>14.400000000000006</v>
          </cell>
          <cell r="AM217">
            <v>0</v>
          </cell>
          <cell r="AN217">
            <v>14.400000000000006</v>
          </cell>
          <cell r="AO217">
            <v>0</v>
          </cell>
          <cell r="AP217">
            <v>14.400000000000006</v>
          </cell>
          <cell r="AQ217" t="str">
            <v>US_27749</v>
          </cell>
          <cell r="AR217">
            <v>0</v>
          </cell>
          <cell r="AS217">
            <v>168</v>
          </cell>
          <cell r="AU217">
            <v>168</v>
          </cell>
          <cell r="AV217">
            <v>0</v>
          </cell>
          <cell r="AW217">
            <v>2419.2000000000007</v>
          </cell>
          <cell r="AX217">
            <v>2395.0080000000007</v>
          </cell>
          <cell r="AY217">
            <v>0</v>
          </cell>
          <cell r="AZ217">
            <v>2419.2000000000007</v>
          </cell>
          <cell r="BA217">
            <v>2395.0080000000007</v>
          </cell>
          <cell r="BB217">
            <v>2419.2000000000007</v>
          </cell>
          <cell r="BC217">
            <v>0</v>
          </cell>
          <cell r="BD217">
            <v>0</v>
          </cell>
          <cell r="BE217">
            <v>0</v>
          </cell>
          <cell r="BG217">
            <v>2395.0080000000007</v>
          </cell>
          <cell r="BI217">
            <v>2395.0080000000007</v>
          </cell>
          <cell r="BJ217">
            <v>32659.200000000001</v>
          </cell>
          <cell r="BK217">
            <v>32659.200000000001</v>
          </cell>
          <cell r="BL217">
            <v>30240</v>
          </cell>
          <cell r="BM217">
            <v>0</v>
          </cell>
          <cell r="BN217">
            <v>0</v>
          </cell>
          <cell r="BO217">
            <v>0</v>
          </cell>
          <cell r="BP217">
            <v>30240</v>
          </cell>
          <cell r="BQ217">
            <v>0</v>
          </cell>
          <cell r="BR217">
            <v>2419.2000000000007</v>
          </cell>
          <cell r="BT217">
            <v>2</v>
          </cell>
          <cell r="BU217">
            <v>1</v>
          </cell>
          <cell r="BV217" t="str">
            <v>Y</v>
          </cell>
          <cell r="BW217">
            <v>0</v>
          </cell>
          <cell r="BX217">
            <v>0</v>
          </cell>
          <cell r="BY217">
            <v>2026</v>
          </cell>
          <cell r="BZ217" t="str">
            <v>-</v>
          </cell>
          <cell r="CA217" t="str">
            <v>-</v>
          </cell>
        </row>
        <row r="218">
          <cell r="A218" t="str">
            <v>Lucknow</v>
          </cell>
          <cell r="B218" t="str">
            <v>Titans</v>
          </cell>
          <cell r="C218" t="str">
            <v>Mid Level</v>
          </cell>
          <cell r="D218" t="str">
            <v>Nitin Saxena</v>
          </cell>
          <cell r="E218" t="str">
            <v>-</v>
          </cell>
          <cell r="F218" t="str">
            <v>Non-MSP</v>
          </cell>
          <cell r="G218" t="str">
            <v>Rohit Gupta</v>
          </cell>
          <cell r="H218" t="str">
            <v>Tanu Jaiswal</v>
          </cell>
          <cell r="J218" t="str">
            <v>ACH</v>
          </cell>
          <cell r="L218" t="str">
            <v>New</v>
          </cell>
          <cell r="M218">
            <v>46055</v>
          </cell>
          <cell r="N218">
            <v>147</v>
          </cell>
          <cell r="O218">
            <v>46148</v>
          </cell>
          <cell r="P218">
            <v>46420</v>
          </cell>
          <cell r="Q218" t="str">
            <v>PLC-4707</v>
          </cell>
          <cell r="R218" t="str">
            <v>Ian Benjamin Henry</v>
          </cell>
          <cell r="S218" t="str">
            <v>Split</v>
          </cell>
          <cell r="T218">
            <v>1099</v>
          </cell>
          <cell r="U218" t="str">
            <v>CoForge</v>
          </cell>
          <cell r="V218">
            <v>18</v>
          </cell>
          <cell r="W218">
            <v>0</v>
          </cell>
          <cell r="X218" t="str">
            <v>USD</v>
          </cell>
          <cell r="Y218">
            <v>21</v>
          </cell>
          <cell r="Z218">
            <v>0</v>
          </cell>
          <cell r="AA218">
            <v>0</v>
          </cell>
          <cell r="AB218">
            <v>0</v>
          </cell>
          <cell r="AC218">
            <v>46068</v>
          </cell>
          <cell r="AD218">
            <v>20</v>
          </cell>
          <cell r="AE218">
            <v>46387</v>
          </cell>
          <cell r="AF218">
            <v>19.260000000000002</v>
          </cell>
          <cell r="AG218">
            <v>0</v>
          </cell>
          <cell r="AH218">
            <v>19.260000000000002</v>
          </cell>
          <cell r="AI218">
            <v>21</v>
          </cell>
          <cell r="AJ218">
            <v>0</v>
          </cell>
          <cell r="AK218">
            <v>0</v>
          </cell>
          <cell r="AL218">
            <v>1.7399999999999984</v>
          </cell>
          <cell r="AM218">
            <v>0</v>
          </cell>
          <cell r="AN218">
            <v>0.86999999999999922</v>
          </cell>
          <cell r="AO218">
            <v>0</v>
          </cell>
          <cell r="AP218">
            <v>0.86999999999999922</v>
          </cell>
          <cell r="AQ218" t="str">
            <v>US_27175</v>
          </cell>
          <cell r="AR218">
            <v>0</v>
          </cell>
          <cell r="AS218">
            <v>76</v>
          </cell>
          <cell r="AU218">
            <v>76</v>
          </cell>
          <cell r="AV218">
            <v>0</v>
          </cell>
          <cell r="AW218">
            <v>66.119999999999948</v>
          </cell>
          <cell r="AX218">
            <v>65.458799999999954</v>
          </cell>
          <cell r="AY218">
            <v>0</v>
          </cell>
          <cell r="AZ218">
            <v>66.119999999999948</v>
          </cell>
          <cell r="BA218">
            <v>65.458799999999954</v>
          </cell>
          <cell r="BB218">
            <v>66.119999999999948</v>
          </cell>
          <cell r="BC218">
            <v>0</v>
          </cell>
          <cell r="BD218">
            <v>0</v>
          </cell>
          <cell r="BE218">
            <v>0</v>
          </cell>
          <cell r="BG218">
            <v>65.458799999999954</v>
          </cell>
          <cell r="BI218">
            <v>65.458799999999954</v>
          </cell>
          <cell r="BJ218">
            <v>798</v>
          </cell>
          <cell r="BK218">
            <v>798</v>
          </cell>
          <cell r="BL218">
            <v>684</v>
          </cell>
          <cell r="BM218">
            <v>1.2600000000000002</v>
          </cell>
          <cell r="BN218">
            <v>0</v>
          </cell>
          <cell r="BO218">
            <v>95.760000000000019</v>
          </cell>
          <cell r="BP218">
            <v>779.76</v>
          </cell>
          <cell r="BQ218">
            <v>1.2600000000000002</v>
          </cell>
          <cell r="BR218">
            <v>18.239999999999981</v>
          </cell>
          <cell r="BS218" t="str">
            <v>Y</v>
          </cell>
          <cell r="BT218">
            <v>1</v>
          </cell>
          <cell r="BU218">
            <v>1</v>
          </cell>
          <cell r="BV218" t="str">
            <v>N</v>
          </cell>
          <cell r="BW218">
            <v>0</v>
          </cell>
          <cell r="BX218">
            <v>0</v>
          </cell>
          <cell r="BY218">
            <v>2026</v>
          </cell>
          <cell r="BZ218" t="str">
            <v>-</v>
          </cell>
          <cell r="CA218" t="str">
            <v>-</v>
          </cell>
        </row>
        <row r="219">
          <cell r="A219" t="str">
            <v>Lucknow</v>
          </cell>
          <cell r="B219" t="str">
            <v>Mavericks</v>
          </cell>
          <cell r="C219" t="str">
            <v>Mid Level</v>
          </cell>
          <cell r="D219" t="str">
            <v>Rohit Gupta</v>
          </cell>
          <cell r="E219" t="str">
            <v>-</v>
          </cell>
          <cell r="F219" t="str">
            <v>Non-MSP</v>
          </cell>
          <cell r="G219" t="str">
            <v>Nitin Saxena</v>
          </cell>
          <cell r="H219" t="str">
            <v>Tanu Jaiswal</v>
          </cell>
          <cell r="J219" t="str">
            <v>ACH</v>
          </cell>
          <cell r="L219" t="str">
            <v>New</v>
          </cell>
          <cell r="M219">
            <v>46055</v>
          </cell>
          <cell r="N219">
            <v>147</v>
          </cell>
          <cell r="O219">
            <v>46148</v>
          </cell>
          <cell r="P219">
            <v>46420</v>
          </cell>
          <cell r="Q219" t="str">
            <v>PLC-4707</v>
          </cell>
          <cell r="R219" t="str">
            <v>Ian Benjamin Henry</v>
          </cell>
          <cell r="S219" t="str">
            <v>Split</v>
          </cell>
          <cell r="T219">
            <v>1099</v>
          </cell>
          <cell r="U219" t="str">
            <v>CoForge</v>
          </cell>
          <cell r="V219">
            <v>18</v>
          </cell>
          <cell r="W219">
            <v>0</v>
          </cell>
          <cell r="X219" t="str">
            <v>USD</v>
          </cell>
          <cell r="Y219">
            <v>21</v>
          </cell>
          <cell r="Z219">
            <v>0</v>
          </cell>
          <cell r="AA219">
            <v>0</v>
          </cell>
          <cell r="AB219">
            <v>0</v>
          </cell>
          <cell r="AC219">
            <v>46068</v>
          </cell>
          <cell r="AD219">
            <v>20</v>
          </cell>
          <cell r="AE219">
            <v>46387</v>
          </cell>
          <cell r="AF219">
            <v>19.260000000000002</v>
          </cell>
          <cell r="AG219">
            <v>0</v>
          </cell>
          <cell r="AH219">
            <v>19.260000000000002</v>
          </cell>
          <cell r="AI219">
            <v>21</v>
          </cell>
          <cell r="AJ219">
            <v>0</v>
          </cell>
          <cell r="AK219">
            <v>0</v>
          </cell>
          <cell r="AL219">
            <v>1.7399999999999984</v>
          </cell>
          <cell r="AM219">
            <v>0</v>
          </cell>
          <cell r="AN219">
            <v>0.86999999999999922</v>
          </cell>
          <cell r="AO219">
            <v>0</v>
          </cell>
          <cell r="AP219">
            <v>0.86999999999999922</v>
          </cell>
          <cell r="AQ219" t="str">
            <v>US_27175</v>
          </cell>
          <cell r="AR219">
            <v>0</v>
          </cell>
          <cell r="AS219">
            <v>76</v>
          </cell>
          <cell r="AU219">
            <v>76</v>
          </cell>
          <cell r="AV219">
            <v>0</v>
          </cell>
          <cell r="AW219">
            <v>66.119999999999948</v>
          </cell>
          <cell r="AX219">
            <v>65.458799999999954</v>
          </cell>
          <cell r="AY219">
            <v>0</v>
          </cell>
          <cell r="AZ219">
            <v>66.119999999999948</v>
          </cell>
          <cell r="BA219">
            <v>65.458799999999954</v>
          </cell>
          <cell r="BB219">
            <v>66.119999999999948</v>
          </cell>
          <cell r="BC219">
            <v>0</v>
          </cell>
          <cell r="BD219">
            <v>0</v>
          </cell>
          <cell r="BE219">
            <v>0</v>
          </cell>
          <cell r="BG219">
            <v>65.458799999999954</v>
          </cell>
          <cell r="BI219">
            <v>65.458799999999954</v>
          </cell>
          <cell r="BJ219">
            <v>798</v>
          </cell>
          <cell r="BK219">
            <v>798</v>
          </cell>
          <cell r="BL219">
            <v>684</v>
          </cell>
          <cell r="BM219">
            <v>1.2600000000000002</v>
          </cell>
          <cell r="BN219">
            <v>0</v>
          </cell>
          <cell r="BO219">
            <v>95.760000000000019</v>
          </cell>
          <cell r="BP219">
            <v>779.76</v>
          </cell>
          <cell r="BQ219">
            <v>1.2600000000000002</v>
          </cell>
          <cell r="BR219">
            <v>18.239999999999981</v>
          </cell>
          <cell r="BS219" t="str">
            <v>Y</v>
          </cell>
          <cell r="BT219">
            <v>1</v>
          </cell>
          <cell r="BU219">
            <v>1</v>
          </cell>
          <cell r="BV219" t="str">
            <v>N</v>
          </cell>
          <cell r="BW219">
            <v>0</v>
          </cell>
          <cell r="BX219">
            <v>0</v>
          </cell>
          <cell r="BY219">
            <v>2026</v>
          </cell>
          <cell r="BZ219" t="str">
            <v>-</v>
          </cell>
          <cell r="CA219" t="str">
            <v>-</v>
          </cell>
        </row>
        <row r="220">
          <cell r="A220" t="str">
            <v>Lucknow</v>
          </cell>
          <cell r="B220" t="str">
            <v>Titans</v>
          </cell>
          <cell r="C220" t="str">
            <v>Mid Level</v>
          </cell>
          <cell r="D220" t="str">
            <v>Nitin Saxena</v>
          </cell>
          <cell r="E220" t="str">
            <v>-</v>
          </cell>
          <cell r="F220" t="str">
            <v>Non-MSP</v>
          </cell>
          <cell r="G220" t="str">
            <v>Rohit Gupta</v>
          </cell>
          <cell r="H220" t="str">
            <v>Tanu Jaiswal</v>
          </cell>
          <cell r="J220" t="str">
            <v>ACH</v>
          </cell>
          <cell r="L220" t="str">
            <v>New</v>
          </cell>
          <cell r="M220">
            <v>46055</v>
          </cell>
          <cell r="N220">
            <v>147</v>
          </cell>
          <cell r="O220">
            <v>46148</v>
          </cell>
          <cell r="P220">
            <v>46420</v>
          </cell>
          <cell r="Q220" t="str">
            <v>PLC-4707</v>
          </cell>
          <cell r="R220" t="str">
            <v>Ian Benjamin Henry</v>
          </cell>
          <cell r="S220" t="str">
            <v>Split</v>
          </cell>
          <cell r="T220">
            <v>1099</v>
          </cell>
          <cell r="U220" t="str">
            <v>CoForge</v>
          </cell>
          <cell r="V220">
            <v>18</v>
          </cell>
          <cell r="W220">
            <v>0</v>
          </cell>
          <cell r="X220" t="str">
            <v>USD</v>
          </cell>
          <cell r="Y220">
            <v>21</v>
          </cell>
          <cell r="Z220">
            <v>0</v>
          </cell>
          <cell r="AA220">
            <v>0</v>
          </cell>
          <cell r="AB220">
            <v>0</v>
          </cell>
          <cell r="AC220">
            <v>46096</v>
          </cell>
          <cell r="AD220">
            <v>22</v>
          </cell>
          <cell r="AE220">
            <v>46387</v>
          </cell>
          <cell r="AF220">
            <v>19.260000000000002</v>
          </cell>
          <cell r="AG220">
            <v>0</v>
          </cell>
          <cell r="AH220">
            <v>19.260000000000002</v>
          </cell>
          <cell r="AI220">
            <v>21</v>
          </cell>
          <cell r="AJ220">
            <v>0</v>
          </cell>
          <cell r="AK220">
            <v>0</v>
          </cell>
          <cell r="AL220">
            <v>1.7399999999999984</v>
          </cell>
          <cell r="AM220">
            <v>0</v>
          </cell>
          <cell r="AN220">
            <v>0.86999999999999922</v>
          </cell>
          <cell r="AO220">
            <v>0</v>
          </cell>
          <cell r="AP220">
            <v>0.86999999999999922</v>
          </cell>
          <cell r="AQ220" t="str">
            <v>US_27389</v>
          </cell>
          <cell r="AR220">
            <v>0</v>
          </cell>
          <cell r="AS220">
            <v>100</v>
          </cell>
          <cell r="AU220">
            <v>100</v>
          </cell>
          <cell r="AV220">
            <v>0</v>
          </cell>
          <cell r="AW220">
            <v>86.999999999999915</v>
          </cell>
          <cell r="AX220">
            <v>86.12999999999991</v>
          </cell>
          <cell r="AY220">
            <v>0</v>
          </cell>
          <cell r="AZ220">
            <v>86.999999999999915</v>
          </cell>
          <cell r="BA220">
            <v>86.12999999999991</v>
          </cell>
          <cell r="BB220">
            <v>86.999999999999915</v>
          </cell>
          <cell r="BC220">
            <v>0</v>
          </cell>
          <cell r="BD220">
            <v>0</v>
          </cell>
          <cell r="BE220">
            <v>0</v>
          </cell>
          <cell r="BG220">
            <v>86.12999999999991</v>
          </cell>
          <cell r="BI220">
            <v>86.12999999999991</v>
          </cell>
          <cell r="BJ220">
            <v>1050</v>
          </cell>
          <cell r="BK220">
            <v>1050</v>
          </cell>
          <cell r="BL220">
            <v>900</v>
          </cell>
          <cell r="BM220">
            <v>1.2600000000000002</v>
          </cell>
          <cell r="BN220">
            <v>0</v>
          </cell>
          <cell r="BO220">
            <v>126.00000000000003</v>
          </cell>
          <cell r="BP220">
            <v>1026</v>
          </cell>
          <cell r="BQ220">
            <v>1.2600000000000002</v>
          </cell>
          <cell r="BR220">
            <v>23.999999999999972</v>
          </cell>
          <cell r="BS220" t="str">
            <v>Y</v>
          </cell>
          <cell r="BT220">
            <v>1</v>
          </cell>
          <cell r="BU220">
            <v>1</v>
          </cell>
          <cell r="BV220" t="str">
            <v>N</v>
          </cell>
          <cell r="BW220">
            <v>0</v>
          </cell>
          <cell r="BX220">
            <v>0</v>
          </cell>
          <cell r="BY220">
            <v>2026</v>
          </cell>
          <cell r="BZ220" t="str">
            <v>-</v>
          </cell>
          <cell r="CA220" t="str">
            <v>-</v>
          </cell>
        </row>
        <row r="221">
          <cell r="A221" t="str">
            <v>Lucknow</v>
          </cell>
          <cell r="B221" t="str">
            <v>Mavericks</v>
          </cell>
          <cell r="C221" t="str">
            <v>Mid Level</v>
          </cell>
          <cell r="D221" t="str">
            <v>Rohit Gupta</v>
          </cell>
          <cell r="E221" t="str">
            <v>-</v>
          </cell>
          <cell r="F221" t="str">
            <v>Non-MSP</v>
          </cell>
          <cell r="G221" t="str">
            <v>Nitin Saxena</v>
          </cell>
          <cell r="H221" t="str">
            <v>Tanu Jaiswal</v>
          </cell>
          <cell r="J221" t="str">
            <v>ACH</v>
          </cell>
          <cell r="L221" t="str">
            <v>New</v>
          </cell>
          <cell r="M221">
            <v>46055</v>
          </cell>
          <cell r="N221">
            <v>147</v>
          </cell>
          <cell r="O221">
            <v>46148</v>
          </cell>
          <cell r="P221">
            <v>46420</v>
          </cell>
          <cell r="Q221" t="str">
            <v>PLC-4707</v>
          </cell>
          <cell r="R221" t="str">
            <v>Ian Benjamin Henry</v>
          </cell>
          <cell r="S221" t="str">
            <v>Split</v>
          </cell>
          <cell r="T221">
            <v>1099</v>
          </cell>
          <cell r="U221" t="str">
            <v>CoForge</v>
          </cell>
          <cell r="V221">
            <v>18</v>
          </cell>
          <cell r="W221">
            <v>0</v>
          </cell>
          <cell r="X221" t="str">
            <v>USD</v>
          </cell>
          <cell r="Y221">
            <v>21</v>
          </cell>
          <cell r="Z221">
            <v>0</v>
          </cell>
          <cell r="AA221">
            <v>0</v>
          </cell>
          <cell r="AB221">
            <v>0</v>
          </cell>
          <cell r="AC221">
            <v>46096</v>
          </cell>
          <cell r="AD221">
            <v>22</v>
          </cell>
          <cell r="AE221">
            <v>46387</v>
          </cell>
          <cell r="AF221">
            <v>19.260000000000002</v>
          </cell>
          <cell r="AG221">
            <v>0</v>
          </cell>
          <cell r="AH221">
            <v>19.260000000000002</v>
          </cell>
          <cell r="AI221">
            <v>21</v>
          </cell>
          <cell r="AJ221">
            <v>0</v>
          </cell>
          <cell r="AK221">
            <v>0</v>
          </cell>
          <cell r="AL221">
            <v>1.7399999999999984</v>
          </cell>
          <cell r="AM221">
            <v>0</v>
          </cell>
          <cell r="AN221">
            <v>0.86999999999999922</v>
          </cell>
          <cell r="AO221">
            <v>0</v>
          </cell>
          <cell r="AP221">
            <v>0.86999999999999922</v>
          </cell>
          <cell r="AQ221" t="str">
            <v>US_27389</v>
          </cell>
          <cell r="AR221">
            <v>0</v>
          </cell>
          <cell r="AS221">
            <v>100</v>
          </cell>
          <cell r="AU221">
            <v>100</v>
          </cell>
          <cell r="AV221">
            <v>0</v>
          </cell>
          <cell r="AW221">
            <v>86.999999999999915</v>
          </cell>
          <cell r="AX221">
            <v>86.12999999999991</v>
          </cell>
          <cell r="AY221">
            <v>0</v>
          </cell>
          <cell r="AZ221">
            <v>86.999999999999915</v>
          </cell>
          <cell r="BA221">
            <v>86.12999999999991</v>
          </cell>
          <cell r="BB221">
            <v>86.999999999999915</v>
          </cell>
          <cell r="BC221">
            <v>0</v>
          </cell>
          <cell r="BD221">
            <v>0</v>
          </cell>
          <cell r="BE221">
            <v>0</v>
          </cell>
          <cell r="BG221">
            <v>86.12999999999991</v>
          </cell>
          <cell r="BI221">
            <v>86.12999999999991</v>
          </cell>
          <cell r="BJ221">
            <v>1050</v>
          </cell>
          <cell r="BK221">
            <v>1050</v>
          </cell>
          <cell r="BL221">
            <v>900</v>
          </cell>
          <cell r="BM221">
            <v>1.2600000000000002</v>
          </cell>
          <cell r="BN221">
            <v>0</v>
          </cell>
          <cell r="BO221">
            <v>126.00000000000003</v>
          </cell>
          <cell r="BP221">
            <v>1026</v>
          </cell>
          <cell r="BQ221">
            <v>1.2600000000000002</v>
          </cell>
          <cell r="BR221">
            <v>23.999999999999972</v>
          </cell>
          <cell r="BS221" t="str">
            <v>Y</v>
          </cell>
          <cell r="BT221">
            <v>1</v>
          </cell>
          <cell r="BU221">
            <v>1</v>
          </cell>
          <cell r="BV221" t="str">
            <v>N</v>
          </cell>
          <cell r="BW221">
            <v>0</v>
          </cell>
          <cell r="BX221">
            <v>0</v>
          </cell>
          <cell r="BY221">
            <v>2026</v>
          </cell>
          <cell r="BZ221" t="str">
            <v>-</v>
          </cell>
          <cell r="CA221" t="str">
            <v>-</v>
          </cell>
        </row>
        <row r="222">
          <cell r="A222" t="str">
            <v>Lucknow</v>
          </cell>
          <cell r="B222" t="str">
            <v>Titans</v>
          </cell>
          <cell r="C222" t="str">
            <v>Mid Level</v>
          </cell>
          <cell r="D222" t="str">
            <v>Nitin Saxena</v>
          </cell>
          <cell r="E222" t="str">
            <v>-</v>
          </cell>
          <cell r="F222" t="str">
            <v>Non-MSP</v>
          </cell>
          <cell r="G222" t="str">
            <v>Rohit Gupta</v>
          </cell>
          <cell r="H222" t="str">
            <v>Tanu Jaiswal</v>
          </cell>
          <cell r="J222" t="str">
            <v>ACH</v>
          </cell>
          <cell r="L222" t="str">
            <v>New</v>
          </cell>
          <cell r="M222">
            <v>46055</v>
          </cell>
          <cell r="N222">
            <v>147</v>
          </cell>
          <cell r="O222">
            <v>46148</v>
          </cell>
          <cell r="P222">
            <v>46420</v>
          </cell>
          <cell r="Q222" t="str">
            <v>PLC-4707</v>
          </cell>
          <cell r="R222" t="str">
            <v>Ian Benjamin Henry</v>
          </cell>
          <cell r="S222" t="str">
            <v>Split</v>
          </cell>
          <cell r="T222">
            <v>1099</v>
          </cell>
          <cell r="U222" t="str">
            <v>CoForge</v>
          </cell>
          <cell r="V222">
            <v>18</v>
          </cell>
          <cell r="W222">
            <v>0</v>
          </cell>
          <cell r="X222" t="str">
            <v>USD</v>
          </cell>
          <cell r="Y222">
            <v>21</v>
          </cell>
          <cell r="Z222">
            <v>0</v>
          </cell>
          <cell r="AA222">
            <v>0</v>
          </cell>
          <cell r="AB222">
            <v>0</v>
          </cell>
          <cell r="AC222">
            <v>46127</v>
          </cell>
          <cell r="AD222">
            <v>22</v>
          </cell>
          <cell r="AE222">
            <v>46387</v>
          </cell>
          <cell r="AF222">
            <v>19.260000000000002</v>
          </cell>
          <cell r="AG222">
            <v>0</v>
          </cell>
          <cell r="AH222">
            <v>19.260000000000002</v>
          </cell>
          <cell r="AI222">
            <v>21</v>
          </cell>
          <cell r="AJ222">
            <v>0</v>
          </cell>
          <cell r="AK222">
            <v>0</v>
          </cell>
          <cell r="AL222">
            <v>1.7399999999999984</v>
          </cell>
          <cell r="AM222">
            <v>0</v>
          </cell>
          <cell r="AN222">
            <v>0.86999999999999922</v>
          </cell>
          <cell r="AO222">
            <v>0</v>
          </cell>
          <cell r="AP222">
            <v>0.86999999999999922</v>
          </cell>
          <cell r="AQ222" t="str">
            <v>US_27623</v>
          </cell>
          <cell r="AR222">
            <v>0</v>
          </cell>
          <cell r="AS222">
            <v>91</v>
          </cell>
          <cell r="AU222">
            <v>91</v>
          </cell>
          <cell r="AV222">
            <v>0</v>
          </cell>
          <cell r="AW222">
            <v>79.169999999999931</v>
          </cell>
          <cell r="AX222">
            <v>78.378299999999925</v>
          </cell>
          <cell r="AY222">
            <v>0</v>
          </cell>
          <cell r="AZ222">
            <v>79.169999999999931</v>
          </cell>
          <cell r="BA222">
            <v>78.378299999999925</v>
          </cell>
          <cell r="BB222">
            <v>79.169999999999931</v>
          </cell>
          <cell r="BC222">
            <v>0</v>
          </cell>
          <cell r="BD222">
            <v>0</v>
          </cell>
          <cell r="BE222">
            <v>0</v>
          </cell>
          <cell r="BG222">
            <v>78.378299999999925</v>
          </cell>
          <cell r="BI222">
            <v>78.378299999999925</v>
          </cell>
          <cell r="BJ222">
            <v>955.5</v>
          </cell>
          <cell r="BK222">
            <v>955.5</v>
          </cell>
          <cell r="BL222">
            <v>819</v>
          </cell>
          <cell r="BM222">
            <v>1.2600000000000002</v>
          </cell>
          <cell r="BN222">
            <v>0</v>
          </cell>
          <cell r="BO222">
            <v>114.66000000000003</v>
          </cell>
          <cell r="BP222">
            <v>933.66000000000008</v>
          </cell>
          <cell r="BQ222">
            <v>1.2600000000000002</v>
          </cell>
          <cell r="BR222">
            <v>21.839999999999975</v>
          </cell>
          <cell r="BT222">
            <v>2</v>
          </cell>
          <cell r="BU222">
            <v>1</v>
          </cell>
          <cell r="BV222" t="str">
            <v>N</v>
          </cell>
          <cell r="BW222">
            <v>0</v>
          </cell>
          <cell r="BX222">
            <v>0</v>
          </cell>
          <cell r="BY222">
            <v>2026</v>
          </cell>
          <cell r="BZ222" t="str">
            <v>-</v>
          </cell>
          <cell r="CA222" t="str">
            <v>-</v>
          </cell>
        </row>
        <row r="223">
          <cell r="A223" t="str">
            <v>Lucknow</v>
          </cell>
          <cell r="B223" t="str">
            <v>Mavericks</v>
          </cell>
          <cell r="C223" t="str">
            <v>Mid Level</v>
          </cell>
          <cell r="D223" t="str">
            <v>Rohit Gupta</v>
          </cell>
          <cell r="E223" t="str">
            <v>-</v>
          </cell>
          <cell r="F223" t="str">
            <v>Non-MSP</v>
          </cell>
          <cell r="G223" t="str">
            <v>Nitin Saxena</v>
          </cell>
          <cell r="H223" t="str">
            <v>Tanu Jaiswal</v>
          </cell>
          <cell r="J223" t="str">
            <v>ACH</v>
          </cell>
          <cell r="L223" t="str">
            <v>New</v>
          </cell>
          <cell r="M223">
            <v>46055</v>
          </cell>
          <cell r="N223">
            <v>147</v>
          </cell>
          <cell r="O223">
            <v>46148</v>
          </cell>
          <cell r="P223">
            <v>46420</v>
          </cell>
          <cell r="Q223" t="str">
            <v>PLC-4707</v>
          </cell>
          <cell r="R223" t="str">
            <v>Ian Benjamin Henry</v>
          </cell>
          <cell r="S223" t="str">
            <v>Split</v>
          </cell>
          <cell r="T223">
            <v>1099</v>
          </cell>
          <cell r="U223" t="str">
            <v>CoForge</v>
          </cell>
          <cell r="V223">
            <v>18</v>
          </cell>
          <cell r="W223">
            <v>0</v>
          </cell>
          <cell r="X223" t="str">
            <v>USD</v>
          </cell>
          <cell r="Y223">
            <v>21</v>
          </cell>
          <cell r="Z223">
            <v>0</v>
          </cell>
          <cell r="AA223">
            <v>0</v>
          </cell>
          <cell r="AB223">
            <v>0</v>
          </cell>
          <cell r="AC223">
            <v>46127</v>
          </cell>
          <cell r="AD223">
            <v>22</v>
          </cell>
          <cell r="AE223">
            <v>46387</v>
          </cell>
          <cell r="AF223">
            <v>19.260000000000002</v>
          </cell>
          <cell r="AG223">
            <v>0</v>
          </cell>
          <cell r="AH223">
            <v>19.260000000000002</v>
          </cell>
          <cell r="AI223">
            <v>21</v>
          </cell>
          <cell r="AJ223">
            <v>0</v>
          </cell>
          <cell r="AK223">
            <v>0</v>
          </cell>
          <cell r="AL223">
            <v>1.7399999999999984</v>
          </cell>
          <cell r="AM223">
            <v>0</v>
          </cell>
          <cell r="AN223">
            <v>0.86999999999999922</v>
          </cell>
          <cell r="AO223">
            <v>0</v>
          </cell>
          <cell r="AP223">
            <v>0.86999999999999922</v>
          </cell>
          <cell r="AQ223" t="str">
            <v>US_27623</v>
          </cell>
          <cell r="AR223">
            <v>0</v>
          </cell>
          <cell r="AS223">
            <v>91</v>
          </cell>
          <cell r="AU223">
            <v>91</v>
          </cell>
          <cell r="AV223">
            <v>0</v>
          </cell>
          <cell r="AW223">
            <v>79.169999999999931</v>
          </cell>
          <cell r="AX223">
            <v>78.378299999999925</v>
          </cell>
          <cell r="AY223">
            <v>0</v>
          </cell>
          <cell r="AZ223">
            <v>79.169999999999931</v>
          </cell>
          <cell r="BA223">
            <v>78.378299999999925</v>
          </cell>
          <cell r="BB223">
            <v>79.169999999999931</v>
          </cell>
          <cell r="BC223">
            <v>0</v>
          </cell>
          <cell r="BD223">
            <v>0</v>
          </cell>
          <cell r="BE223">
            <v>0</v>
          </cell>
          <cell r="BG223">
            <v>78.378299999999925</v>
          </cell>
          <cell r="BI223">
            <v>78.378299999999925</v>
          </cell>
          <cell r="BJ223">
            <v>955.5</v>
          </cell>
          <cell r="BK223">
            <v>955.5</v>
          </cell>
          <cell r="BL223">
            <v>819</v>
          </cell>
          <cell r="BM223">
            <v>1.2600000000000002</v>
          </cell>
          <cell r="BN223">
            <v>0</v>
          </cell>
          <cell r="BO223">
            <v>114.66000000000003</v>
          </cell>
          <cell r="BP223">
            <v>933.66000000000008</v>
          </cell>
          <cell r="BQ223">
            <v>1.2600000000000002</v>
          </cell>
          <cell r="BR223">
            <v>21.839999999999975</v>
          </cell>
          <cell r="BT223">
            <v>2</v>
          </cell>
          <cell r="BU223">
            <v>1</v>
          </cell>
          <cell r="BV223" t="str">
            <v>N</v>
          </cell>
          <cell r="BW223">
            <v>0</v>
          </cell>
          <cell r="BX223">
            <v>0</v>
          </cell>
          <cell r="BY223">
            <v>2026</v>
          </cell>
          <cell r="BZ223" t="str">
            <v>-</v>
          </cell>
          <cell r="CA223" t="str">
            <v>-</v>
          </cell>
        </row>
        <row r="224">
          <cell r="A224" t="str">
            <v>Lucknow</v>
          </cell>
          <cell r="B224" t="str">
            <v>Titans</v>
          </cell>
          <cell r="C224" t="str">
            <v>Mid Level</v>
          </cell>
          <cell r="D224" t="str">
            <v>Nitin Saxena</v>
          </cell>
          <cell r="E224" t="str">
            <v>-</v>
          </cell>
          <cell r="F224" t="str">
            <v>Non-MSP</v>
          </cell>
          <cell r="G224" t="str">
            <v>Rohit Gupta</v>
          </cell>
          <cell r="H224" t="str">
            <v>Tanu Jaiswal</v>
          </cell>
          <cell r="J224" t="str">
            <v>ACH</v>
          </cell>
          <cell r="L224" t="str">
            <v>New</v>
          </cell>
          <cell r="M224">
            <v>46055</v>
          </cell>
          <cell r="N224">
            <v>147</v>
          </cell>
          <cell r="O224">
            <v>46148</v>
          </cell>
          <cell r="P224">
            <v>46420</v>
          </cell>
          <cell r="Q224" t="str">
            <v>PLC-4707</v>
          </cell>
          <cell r="R224" t="str">
            <v>Ian Benjamin Henry</v>
          </cell>
          <cell r="S224" t="str">
            <v>Split</v>
          </cell>
          <cell r="T224">
            <v>1099</v>
          </cell>
          <cell r="U224" t="str">
            <v>CoForge</v>
          </cell>
          <cell r="V224">
            <v>18</v>
          </cell>
          <cell r="W224">
            <v>0</v>
          </cell>
          <cell r="X224" t="str">
            <v>USD</v>
          </cell>
          <cell r="Y224">
            <v>21</v>
          </cell>
          <cell r="Z224">
            <v>0</v>
          </cell>
          <cell r="AA224">
            <v>0</v>
          </cell>
          <cell r="AB224">
            <v>0</v>
          </cell>
          <cell r="AC224">
            <v>46157</v>
          </cell>
          <cell r="AD224">
            <v>22</v>
          </cell>
          <cell r="AE224">
            <v>46387</v>
          </cell>
          <cell r="AF224">
            <v>19.260000000000002</v>
          </cell>
          <cell r="AG224">
            <v>0</v>
          </cell>
          <cell r="AH224">
            <v>19.260000000000002</v>
          </cell>
          <cell r="AI224">
            <v>21</v>
          </cell>
          <cell r="AJ224">
            <v>0</v>
          </cell>
          <cell r="AK224">
            <v>0</v>
          </cell>
          <cell r="AL224">
            <v>1.7399999999999984</v>
          </cell>
          <cell r="AM224">
            <v>0</v>
          </cell>
          <cell r="AN224">
            <v>0.86999999999999922</v>
          </cell>
          <cell r="AO224">
            <v>0</v>
          </cell>
          <cell r="AP224">
            <v>0.86999999999999922</v>
          </cell>
          <cell r="AQ224" t="str">
            <v>US_27734</v>
          </cell>
          <cell r="AR224">
            <v>0</v>
          </cell>
          <cell r="AS224">
            <v>21</v>
          </cell>
          <cell r="AU224">
            <v>21</v>
          </cell>
          <cell r="AV224">
            <v>0</v>
          </cell>
          <cell r="AW224">
            <v>18.269999999999982</v>
          </cell>
          <cell r="AX224">
            <v>18.087299999999981</v>
          </cell>
          <cell r="AY224">
            <v>0</v>
          </cell>
          <cell r="AZ224">
            <v>18.269999999999982</v>
          </cell>
          <cell r="BA224">
            <v>18.087299999999981</v>
          </cell>
          <cell r="BB224">
            <v>18.269999999999982</v>
          </cell>
          <cell r="BC224">
            <v>0</v>
          </cell>
          <cell r="BD224">
            <v>0</v>
          </cell>
          <cell r="BE224">
            <v>0</v>
          </cell>
          <cell r="BG224">
            <v>18.087299999999981</v>
          </cell>
          <cell r="BI224">
            <v>18.087299999999981</v>
          </cell>
          <cell r="BJ224">
            <v>220.5</v>
          </cell>
          <cell r="BK224">
            <v>220.5</v>
          </cell>
          <cell r="BL224">
            <v>189</v>
          </cell>
          <cell r="BM224">
            <v>1.2600000000000002</v>
          </cell>
          <cell r="BN224">
            <v>0</v>
          </cell>
          <cell r="BO224">
            <v>26.460000000000004</v>
          </cell>
          <cell r="BP224">
            <v>215.46</v>
          </cell>
          <cell r="BQ224">
            <v>1.2600000000000002</v>
          </cell>
          <cell r="BR224">
            <v>5.0399999999999956</v>
          </cell>
          <cell r="BT224">
            <v>2</v>
          </cell>
          <cell r="BU224">
            <v>1</v>
          </cell>
          <cell r="BV224" t="str">
            <v>N</v>
          </cell>
          <cell r="BW224">
            <v>0</v>
          </cell>
          <cell r="BX224">
            <v>0</v>
          </cell>
          <cell r="BY224">
            <v>2026</v>
          </cell>
          <cell r="BZ224" t="str">
            <v>-</v>
          </cell>
          <cell r="CA224" t="str">
            <v>-</v>
          </cell>
        </row>
        <row r="225">
          <cell r="A225" t="str">
            <v>Lucknow</v>
          </cell>
          <cell r="B225" t="str">
            <v>Mavericks</v>
          </cell>
          <cell r="C225" t="str">
            <v>Mid Level</v>
          </cell>
          <cell r="D225" t="str">
            <v>Rohit Gupta</v>
          </cell>
          <cell r="E225" t="str">
            <v>-</v>
          </cell>
          <cell r="F225" t="str">
            <v>Non-MSP</v>
          </cell>
          <cell r="G225" t="str">
            <v>Nitin Saxena</v>
          </cell>
          <cell r="H225" t="str">
            <v>Tanu Jaiswal</v>
          </cell>
          <cell r="J225" t="str">
            <v>ACH</v>
          </cell>
          <cell r="L225" t="str">
            <v>New</v>
          </cell>
          <cell r="M225">
            <v>46055</v>
          </cell>
          <cell r="N225">
            <v>147</v>
          </cell>
          <cell r="O225">
            <v>46148</v>
          </cell>
          <cell r="P225">
            <v>46420</v>
          </cell>
          <cell r="Q225" t="str">
            <v>PLC-4707</v>
          </cell>
          <cell r="R225" t="str">
            <v>Ian Benjamin Henry</v>
          </cell>
          <cell r="S225" t="str">
            <v>Split</v>
          </cell>
          <cell r="T225">
            <v>1099</v>
          </cell>
          <cell r="U225" t="str">
            <v>CoForge</v>
          </cell>
          <cell r="V225">
            <v>18</v>
          </cell>
          <cell r="W225">
            <v>0</v>
          </cell>
          <cell r="X225" t="str">
            <v>USD</v>
          </cell>
          <cell r="Y225">
            <v>21</v>
          </cell>
          <cell r="Z225">
            <v>0</v>
          </cell>
          <cell r="AA225">
            <v>0</v>
          </cell>
          <cell r="AB225">
            <v>0</v>
          </cell>
          <cell r="AC225">
            <v>46157</v>
          </cell>
          <cell r="AD225">
            <v>22</v>
          </cell>
          <cell r="AE225">
            <v>46387</v>
          </cell>
          <cell r="AF225">
            <v>19.260000000000002</v>
          </cell>
          <cell r="AG225">
            <v>0</v>
          </cell>
          <cell r="AH225">
            <v>19.260000000000002</v>
          </cell>
          <cell r="AI225">
            <v>21</v>
          </cell>
          <cell r="AJ225">
            <v>0</v>
          </cell>
          <cell r="AK225">
            <v>0</v>
          </cell>
          <cell r="AL225">
            <v>1.7399999999999984</v>
          </cell>
          <cell r="AM225">
            <v>0</v>
          </cell>
          <cell r="AN225">
            <v>0.86999999999999922</v>
          </cell>
          <cell r="AO225">
            <v>0</v>
          </cell>
          <cell r="AP225">
            <v>0.86999999999999922</v>
          </cell>
          <cell r="AQ225" t="str">
            <v>US_27734</v>
          </cell>
          <cell r="AR225">
            <v>0</v>
          </cell>
          <cell r="AS225">
            <v>21</v>
          </cell>
          <cell r="AU225">
            <v>21</v>
          </cell>
          <cell r="AV225">
            <v>0</v>
          </cell>
          <cell r="AW225">
            <v>18.269999999999982</v>
          </cell>
          <cell r="AX225">
            <v>18.087299999999981</v>
          </cell>
          <cell r="AY225">
            <v>0</v>
          </cell>
          <cell r="AZ225">
            <v>18.269999999999982</v>
          </cell>
          <cell r="BA225">
            <v>18.087299999999981</v>
          </cell>
          <cell r="BB225">
            <v>18.269999999999982</v>
          </cell>
          <cell r="BC225">
            <v>0</v>
          </cell>
          <cell r="BD225">
            <v>0</v>
          </cell>
          <cell r="BE225">
            <v>0</v>
          </cell>
          <cell r="BG225">
            <v>18.087299999999981</v>
          </cell>
          <cell r="BI225">
            <v>18.087299999999981</v>
          </cell>
          <cell r="BJ225">
            <v>220.5</v>
          </cell>
          <cell r="BK225">
            <v>220.5</v>
          </cell>
          <cell r="BL225">
            <v>189</v>
          </cell>
          <cell r="BM225">
            <v>1.2600000000000002</v>
          </cell>
          <cell r="BN225">
            <v>0</v>
          </cell>
          <cell r="BO225">
            <v>26.460000000000004</v>
          </cell>
          <cell r="BP225">
            <v>215.46</v>
          </cell>
          <cell r="BQ225">
            <v>1.2600000000000002</v>
          </cell>
          <cell r="BR225">
            <v>5.0399999999999956</v>
          </cell>
          <cell r="BT225">
            <v>2</v>
          </cell>
          <cell r="BU225">
            <v>1</v>
          </cell>
          <cell r="BV225" t="str">
            <v>N</v>
          </cell>
          <cell r="BW225">
            <v>0</v>
          </cell>
          <cell r="BX225">
            <v>0</v>
          </cell>
          <cell r="BY225">
            <v>2026</v>
          </cell>
          <cell r="BZ225" t="str">
            <v>-</v>
          </cell>
          <cell r="CA225" t="str">
            <v>-</v>
          </cell>
        </row>
        <row r="226">
          <cell r="A226" t="str">
            <v>Lucknow</v>
          </cell>
          <cell r="B226" t="str">
            <v>Mavericks</v>
          </cell>
          <cell r="C226" t="str">
            <v>Mid Level</v>
          </cell>
          <cell r="D226" t="str">
            <v>Mohammad Fakhrul</v>
          </cell>
          <cell r="E226" t="str">
            <v>-</v>
          </cell>
          <cell r="F226" t="str">
            <v>MSP</v>
          </cell>
          <cell r="H226" t="str">
            <v>Pass Through/MSP</v>
          </cell>
          <cell r="L226" t="str">
            <v>New</v>
          </cell>
          <cell r="M226">
            <v>46055</v>
          </cell>
          <cell r="N226">
            <v>147</v>
          </cell>
          <cell r="P226">
            <v>46420</v>
          </cell>
          <cell r="Q226" t="str">
            <v>PLC-Passthrough</v>
          </cell>
          <cell r="R226" t="str">
            <v>Ishandeep Singh</v>
          </cell>
          <cell r="S226" t="str">
            <v>Individual</v>
          </cell>
          <cell r="T226" t="str">
            <v>C2C Canada</v>
          </cell>
          <cell r="U226" t="str">
            <v>Cigniti</v>
          </cell>
          <cell r="V226">
            <v>88</v>
          </cell>
          <cell r="W226">
            <v>0</v>
          </cell>
          <cell r="X226" t="str">
            <v>CAD</v>
          </cell>
          <cell r="Y226">
            <v>90</v>
          </cell>
          <cell r="Z226">
            <v>0</v>
          </cell>
          <cell r="AA226">
            <v>0</v>
          </cell>
          <cell r="AB226">
            <v>0</v>
          </cell>
          <cell r="AC226">
            <v>46068</v>
          </cell>
          <cell r="AD226">
            <v>17</v>
          </cell>
          <cell r="AE226">
            <v>46387</v>
          </cell>
          <cell r="AF226">
            <v>62.48</v>
          </cell>
          <cell r="AG226">
            <v>0</v>
          </cell>
          <cell r="AH226">
            <v>62.48</v>
          </cell>
          <cell r="AI226">
            <v>63.9</v>
          </cell>
          <cell r="AJ226">
            <v>0</v>
          </cell>
          <cell r="AK226">
            <v>0</v>
          </cell>
          <cell r="AL226">
            <v>1.4200000000000017</v>
          </cell>
          <cell r="AM226">
            <v>0</v>
          </cell>
          <cell r="AN226">
            <v>1.4200000000000017</v>
          </cell>
          <cell r="AO226">
            <v>0</v>
          </cell>
          <cell r="AP226">
            <v>1.4200000000000017</v>
          </cell>
          <cell r="AQ226" t="str">
            <v>CAD_1996</v>
          </cell>
          <cell r="AR226">
            <v>0</v>
          </cell>
          <cell r="AS226">
            <v>152</v>
          </cell>
          <cell r="AU226">
            <v>152</v>
          </cell>
          <cell r="AV226">
            <v>0</v>
          </cell>
          <cell r="AW226">
            <v>215.84000000000026</v>
          </cell>
          <cell r="AX226">
            <v>215.84000000000026</v>
          </cell>
          <cell r="AY226">
            <v>0</v>
          </cell>
          <cell r="AZ226">
            <v>215.84000000000026</v>
          </cell>
          <cell r="BA226">
            <v>215.84000000000026</v>
          </cell>
          <cell r="BB226">
            <v>215.84000000000026</v>
          </cell>
          <cell r="BC226">
            <v>0</v>
          </cell>
          <cell r="BD226">
            <v>0</v>
          </cell>
          <cell r="BE226">
            <v>0</v>
          </cell>
          <cell r="BG226">
            <v>215.84000000000026</v>
          </cell>
          <cell r="BI226">
            <v>215.84000000000026</v>
          </cell>
          <cell r="BJ226">
            <v>13680</v>
          </cell>
          <cell r="BK226">
            <v>9712.7999999999993</v>
          </cell>
          <cell r="BL226">
            <v>9910.2783999999992</v>
          </cell>
          <cell r="BM226">
            <v>0</v>
          </cell>
          <cell r="BN226">
            <v>0</v>
          </cell>
          <cell r="BO226">
            <v>0</v>
          </cell>
          <cell r="BP226">
            <v>9910.2783999999992</v>
          </cell>
          <cell r="BQ226">
            <v>0</v>
          </cell>
          <cell r="BR226">
            <v>-197.47839999999997</v>
          </cell>
          <cell r="BS226" t="str">
            <v>Y</v>
          </cell>
          <cell r="BT226">
            <v>1</v>
          </cell>
          <cell r="BU226">
            <v>1</v>
          </cell>
          <cell r="BV226" t="str">
            <v>N</v>
          </cell>
          <cell r="BW226">
            <v>0</v>
          </cell>
          <cell r="BX226">
            <v>0</v>
          </cell>
          <cell r="BY226">
            <v>2026</v>
          </cell>
          <cell r="BZ226" t="str">
            <v>-</v>
          </cell>
          <cell r="CA226" t="str">
            <v>-</v>
          </cell>
        </row>
        <row r="227">
          <cell r="A227" t="str">
            <v>Lucknow</v>
          </cell>
          <cell r="B227" t="str">
            <v>Mavericks</v>
          </cell>
          <cell r="C227" t="str">
            <v>Mid Level</v>
          </cell>
          <cell r="D227" t="str">
            <v>Mohammad Fakhrul</v>
          </cell>
          <cell r="E227" t="str">
            <v>-</v>
          </cell>
          <cell r="F227" t="str">
            <v>MSP</v>
          </cell>
          <cell r="H227" t="str">
            <v>Pass Through/MSP</v>
          </cell>
          <cell r="L227" t="str">
            <v>New</v>
          </cell>
          <cell r="M227">
            <v>46055</v>
          </cell>
          <cell r="N227">
            <v>147</v>
          </cell>
          <cell r="P227">
            <v>46420</v>
          </cell>
          <cell r="Q227" t="str">
            <v>PLC-Passthrough</v>
          </cell>
          <cell r="R227" t="str">
            <v>Ishandeep Singh</v>
          </cell>
          <cell r="S227" t="str">
            <v>Individual</v>
          </cell>
          <cell r="T227" t="str">
            <v>C2C Canada</v>
          </cell>
          <cell r="U227" t="str">
            <v>Cigniti</v>
          </cell>
          <cell r="V227">
            <v>88</v>
          </cell>
          <cell r="W227">
            <v>0</v>
          </cell>
          <cell r="X227" t="str">
            <v>CAD</v>
          </cell>
          <cell r="Y227">
            <v>90</v>
          </cell>
          <cell r="Z227">
            <v>0</v>
          </cell>
          <cell r="AA227">
            <v>0</v>
          </cell>
          <cell r="AB227">
            <v>0</v>
          </cell>
          <cell r="AC227">
            <v>46096</v>
          </cell>
          <cell r="AD227">
            <v>22</v>
          </cell>
          <cell r="AE227">
            <v>46387</v>
          </cell>
          <cell r="AF227">
            <v>62.48</v>
          </cell>
          <cell r="AG227">
            <v>0</v>
          </cell>
          <cell r="AH227">
            <v>62.48</v>
          </cell>
          <cell r="AI227">
            <v>63.9</v>
          </cell>
          <cell r="AJ227">
            <v>0</v>
          </cell>
          <cell r="AK227">
            <v>0</v>
          </cell>
          <cell r="AL227">
            <v>1.4200000000000017</v>
          </cell>
          <cell r="AM227">
            <v>0</v>
          </cell>
          <cell r="AN227">
            <v>1.4200000000000017</v>
          </cell>
          <cell r="AO227">
            <v>0</v>
          </cell>
          <cell r="AP227">
            <v>1.4200000000000017</v>
          </cell>
          <cell r="AQ227" t="str">
            <v>CAD_2043</v>
          </cell>
          <cell r="AR227">
            <v>0</v>
          </cell>
          <cell r="AS227">
            <v>176</v>
          </cell>
          <cell r="AU227">
            <v>176</v>
          </cell>
          <cell r="AV227">
            <v>0</v>
          </cell>
          <cell r="AW227">
            <v>249.9200000000003</v>
          </cell>
          <cell r="AX227">
            <v>249.9200000000003</v>
          </cell>
          <cell r="AY227">
            <v>0</v>
          </cell>
          <cell r="AZ227">
            <v>249.9200000000003</v>
          </cell>
          <cell r="BA227">
            <v>249.9200000000003</v>
          </cell>
          <cell r="BB227">
            <v>249.9200000000003</v>
          </cell>
          <cell r="BC227">
            <v>0</v>
          </cell>
          <cell r="BD227">
            <v>0</v>
          </cell>
          <cell r="BE227">
            <v>0</v>
          </cell>
          <cell r="BG227">
            <v>249.9200000000003</v>
          </cell>
          <cell r="BI227">
            <v>249.9200000000003</v>
          </cell>
          <cell r="BJ227">
            <v>15840</v>
          </cell>
          <cell r="BK227">
            <v>11246.4</v>
          </cell>
          <cell r="BL227">
            <v>11475.0592</v>
          </cell>
          <cell r="BM227">
            <v>0</v>
          </cell>
          <cell r="BN227">
            <v>0</v>
          </cell>
          <cell r="BO227">
            <v>0</v>
          </cell>
          <cell r="BP227">
            <v>11475.0592</v>
          </cell>
          <cell r="BQ227">
            <v>0</v>
          </cell>
          <cell r="BR227">
            <v>-228.65920000000006</v>
          </cell>
          <cell r="BS227" t="str">
            <v>Y</v>
          </cell>
          <cell r="BT227">
            <v>1</v>
          </cell>
          <cell r="BU227">
            <v>1</v>
          </cell>
          <cell r="BV227" t="str">
            <v>N</v>
          </cell>
          <cell r="BW227">
            <v>0</v>
          </cell>
          <cell r="BX227">
            <v>0</v>
          </cell>
          <cell r="BY227">
            <v>2026</v>
          </cell>
          <cell r="BZ227" t="str">
            <v>-</v>
          </cell>
          <cell r="CA227" t="str">
            <v>-</v>
          </cell>
        </row>
        <row r="228">
          <cell r="A228" t="str">
            <v>Lucknow</v>
          </cell>
          <cell r="B228" t="str">
            <v>Mavericks</v>
          </cell>
          <cell r="C228" t="str">
            <v>Mid Level</v>
          </cell>
          <cell r="D228" t="str">
            <v>Mohammad Fakhrul</v>
          </cell>
          <cell r="E228" t="str">
            <v>-</v>
          </cell>
          <cell r="F228" t="str">
            <v>MSP</v>
          </cell>
          <cell r="H228" t="str">
            <v>Pass Through/MSP</v>
          </cell>
          <cell r="J228" t="str">
            <v>ACH</v>
          </cell>
          <cell r="L228" t="str">
            <v>New</v>
          </cell>
          <cell r="M228">
            <v>46055</v>
          </cell>
          <cell r="N228">
            <v>147</v>
          </cell>
          <cell r="P228">
            <v>46420</v>
          </cell>
          <cell r="Q228" t="str">
            <v>PLC-Passthrough</v>
          </cell>
          <cell r="R228" t="str">
            <v>Ishandeep Singh</v>
          </cell>
          <cell r="S228" t="str">
            <v>Individual</v>
          </cell>
          <cell r="T228" t="str">
            <v>C2C Canada</v>
          </cell>
          <cell r="U228" t="str">
            <v>Cigniti</v>
          </cell>
          <cell r="V228">
            <v>88</v>
          </cell>
          <cell r="W228">
            <v>0</v>
          </cell>
          <cell r="X228" t="str">
            <v>CAD</v>
          </cell>
          <cell r="Y228">
            <v>90</v>
          </cell>
          <cell r="Z228">
            <v>0</v>
          </cell>
          <cell r="AA228">
            <v>0</v>
          </cell>
          <cell r="AB228">
            <v>0</v>
          </cell>
          <cell r="AC228">
            <v>46127</v>
          </cell>
          <cell r="AD228">
            <v>22</v>
          </cell>
          <cell r="AE228">
            <v>46387</v>
          </cell>
          <cell r="AF228">
            <v>62.48</v>
          </cell>
          <cell r="AG228">
            <v>0</v>
          </cell>
          <cell r="AH228">
            <v>62.48</v>
          </cell>
          <cell r="AI228">
            <v>63.9</v>
          </cell>
          <cell r="AJ228">
            <v>0</v>
          </cell>
          <cell r="AK228">
            <v>0</v>
          </cell>
          <cell r="AL228">
            <v>1.4200000000000017</v>
          </cell>
          <cell r="AM228">
            <v>0</v>
          </cell>
          <cell r="AN228">
            <v>1.4200000000000017</v>
          </cell>
          <cell r="AO228">
            <v>0</v>
          </cell>
          <cell r="AP228">
            <v>1.4200000000000017</v>
          </cell>
          <cell r="AQ228" t="str">
            <v>CAD_2108</v>
          </cell>
          <cell r="AR228">
            <v>0</v>
          </cell>
          <cell r="AS228">
            <v>160</v>
          </cell>
          <cell r="AU228">
            <v>160</v>
          </cell>
          <cell r="AV228">
            <v>0</v>
          </cell>
          <cell r="AW228">
            <v>227.20000000000027</v>
          </cell>
          <cell r="AX228">
            <v>224.92800000000028</v>
          </cell>
          <cell r="AY228">
            <v>0</v>
          </cell>
          <cell r="AZ228">
            <v>227.20000000000027</v>
          </cell>
          <cell r="BA228">
            <v>224.92800000000028</v>
          </cell>
          <cell r="BB228">
            <v>227.20000000000027</v>
          </cell>
          <cell r="BC228">
            <v>0</v>
          </cell>
          <cell r="BD228">
            <v>0</v>
          </cell>
          <cell r="BE228">
            <v>0</v>
          </cell>
          <cell r="BG228">
            <v>224.92800000000028</v>
          </cell>
          <cell r="BI228">
            <v>224.92800000000028</v>
          </cell>
          <cell r="BJ228">
            <v>14400</v>
          </cell>
          <cell r="BK228">
            <v>10224</v>
          </cell>
          <cell r="BL228">
            <v>10431.871999999999</v>
          </cell>
          <cell r="BM228">
            <v>0</v>
          </cell>
          <cell r="BN228">
            <v>0</v>
          </cell>
          <cell r="BO228">
            <v>0</v>
          </cell>
          <cell r="BP228">
            <v>10431.871999999999</v>
          </cell>
          <cell r="BQ228">
            <v>0</v>
          </cell>
          <cell r="BR228">
            <v>-207.87199999999939</v>
          </cell>
          <cell r="BS228" t="str">
            <v>Y</v>
          </cell>
          <cell r="BT228">
            <v>2</v>
          </cell>
          <cell r="BU228">
            <v>1</v>
          </cell>
          <cell r="BV228" t="str">
            <v>N</v>
          </cell>
          <cell r="BW228">
            <v>0</v>
          </cell>
          <cell r="BX228">
            <v>0</v>
          </cell>
          <cell r="BY228">
            <v>2026</v>
          </cell>
          <cell r="BZ228" t="str">
            <v>-</v>
          </cell>
          <cell r="CA228" t="str">
            <v>-</v>
          </cell>
        </row>
        <row r="229">
          <cell r="A229" t="str">
            <v>Lucknow</v>
          </cell>
          <cell r="B229" t="str">
            <v>Mavericks</v>
          </cell>
          <cell r="C229" t="str">
            <v>Mid Level</v>
          </cell>
          <cell r="D229" t="str">
            <v>Mohammad Fakhrul</v>
          </cell>
          <cell r="E229" t="str">
            <v>-</v>
          </cell>
          <cell r="F229" t="str">
            <v>MSP</v>
          </cell>
          <cell r="H229" t="str">
            <v>Pass Through/MSP</v>
          </cell>
          <cell r="J229" t="str">
            <v>ACH</v>
          </cell>
          <cell r="L229" t="str">
            <v>New</v>
          </cell>
          <cell r="M229">
            <v>46055</v>
          </cell>
          <cell r="N229">
            <v>147</v>
          </cell>
          <cell r="P229">
            <v>46420</v>
          </cell>
          <cell r="Q229" t="str">
            <v>PLC-Passthrough</v>
          </cell>
          <cell r="R229" t="str">
            <v>Ishandeep Singh</v>
          </cell>
          <cell r="S229" t="str">
            <v>Individual</v>
          </cell>
          <cell r="T229" t="str">
            <v>C2C Canada</v>
          </cell>
          <cell r="U229" t="str">
            <v>Cigniti</v>
          </cell>
          <cell r="V229">
            <v>88</v>
          </cell>
          <cell r="W229">
            <v>0</v>
          </cell>
          <cell r="X229" t="str">
            <v>CAD</v>
          </cell>
          <cell r="Y229">
            <v>90</v>
          </cell>
          <cell r="Z229">
            <v>0</v>
          </cell>
          <cell r="AA229">
            <v>0</v>
          </cell>
          <cell r="AB229">
            <v>0</v>
          </cell>
          <cell r="AC229">
            <v>46157</v>
          </cell>
          <cell r="AD229">
            <v>22</v>
          </cell>
          <cell r="AE229">
            <v>46387</v>
          </cell>
          <cell r="AF229">
            <v>62.48</v>
          </cell>
          <cell r="AG229">
            <v>0</v>
          </cell>
          <cell r="AH229">
            <v>62.48</v>
          </cell>
          <cell r="AI229">
            <v>63.9</v>
          </cell>
          <cell r="AJ229">
            <v>0</v>
          </cell>
          <cell r="AK229">
            <v>0</v>
          </cell>
          <cell r="AL229">
            <v>1.4200000000000017</v>
          </cell>
          <cell r="AM229">
            <v>0</v>
          </cell>
          <cell r="AN229">
            <v>1.4200000000000017</v>
          </cell>
          <cell r="AO229">
            <v>0</v>
          </cell>
          <cell r="AP229">
            <v>1.4200000000000017</v>
          </cell>
          <cell r="AQ229" t="str">
            <v>CAD_2188</v>
          </cell>
          <cell r="AR229">
            <v>0</v>
          </cell>
          <cell r="AS229">
            <v>160</v>
          </cell>
          <cell r="AU229">
            <v>160</v>
          </cell>
          <cell r="AV229">
            <v>0</v>
          </cell>
          <cell r="AW229">
            <v>227.20000000000027</v>
          </cell>
          <cell r="AX229">
            <v>224.92800000000028</v>
          </cell>
          <cell r="AY229">
            <v>0</v>
          </cell>
          <cell r="AZ229">
            <v>227.20000000000027</v>
          </cell>
          <cell r="BA229">
            <v>224.92800000000028</v>
          </cell>
          <cell r="BB229">
            <v>227.20000000000027</v>
          </cell>
          <cell r="BC229">
            <v>0</v>
          </cell>
          <cell r="BD229">
            <v>0</v>
          </cell>
          <cell r="BE229">
            <v>0</v>
          </cell>
          <cell r="BG229">
            <v>224.92800000000028</v>
          </cell>
          <cell r="BI229">
            <v>224.92800000000028</v>
          </cell>
          <cell r="BJ229">
            <v>14400</v>
          </cell>
          <cell r="BK229">
            <v>10224</v>
          </cell>
          <cell r="BL229">
            <v>10431.871999999999</v>
          </cell>
          <cell r="BM229">
            <v>0</v>
          </cell>
          <cell r="BN229">
            <v>0</v>
          </cell>
          <cell r="BO229">
            <v>0</v>
          </cell>
          <cell r="BP229">
            <v>10431.871999999999</v>
          </cell>
          <cell r="BQ229">
            <v>0</v>
          </cell>
          <cell r="BR229">
            <v>-207.87199999999939</v>
          </cell>
          <cell r="BT229">
            <v>2</v>
          </cell>
          <cell r="BU229">
            <v>1</v>
          </cell>
          <cell r="BV229" t="str">
            <v>N</v>
          </cell>
          <cell r="BW229">
            <v>0</v>
          </cell>
          <cell r="BX229">
            <v>0</v>
          </cell>
          <cell r="BY229">
            <v>2026</v>
          </cell>
          <cell r="BZ229" t="str">
            <v>-</v>
          </cell>
          <cell r="CA229" t="str">
            <v>-</v>
          </cell>
        </row>
        <row r="230">
          <cell r="A230" t="str">
            <v>Lucknow</v>
          </cell>
          <cell r="B230" t="str">
            <v>Mavericks</v>
          </cell>
          <cell r="C230" t="str">
            <v>Mid Level</v>
          </cell>
          <cell r="D230" t="str">
            <v>Rohit Gupta</v>
          </cell>
          <cell r="E230" t="str">
            <v>Vivek Yadav</v>
          </cell>
          <cell r="F230" t="str">
            <v>MSP</v>
          </cell>
          <cell r="H230" t="str">
            <v>Pass Through</v>
          </cell>
          <cell r="L230" t="str">
            <v>New</v>
          </cell>
          <cell r="M230">
            <v>46034</v>
          </cell>
          <cell r="N230">
            <v>168</v>
          </cell>
          <cell r="P230">
            <v>46399</v>
          </cell>
          <cell r="Q230" t="str">
            <v>PLC-Passthrough</v>
          </cell>
          <cell r="R230" t="str">
            <v>Jagadish Patro</v>
          </cell>
          <cell r="S230" t="str">
            <v>Individual</v>
          </cell>
          <cell r="T230" t="str">
            <v>C2C Canada</v>
          </cell>
          <cell r="U230" t="str">
            <v>CoForge</v>
          </cell>
          <cell r="V230">
            <v>94</v>
          </cell>
          <cell r="W230">
            <v>0</v>
          </cell>
          <cell r="X230" t="str">
            <v>CAD</v>
          </cell>
          <cell r="Y230">
            <v>95</v>
          </cell>
          <cell r="Z230">
            <v>0</v>
          </cell>
          <cell r="AA230">
            <v>0</v>
          </cell>
          <cell r="AB230">
            <v>0</v>
          </cell>
          <cell r="AC230">
            <v>46037</v>
          </cell>
          <cell r="AD230">
            <v>15</v>
          </cell>
          <cell r="AE230">
            <v>46387</v>
          </cell>
          <cell r="AF230">
            <v>66.739999999999995</v>
          </cell>
          <cell r="AG230">
            <v>0</v>
          </cell>
          <cell r="AH230">
            <v>66.739999999999995</v>
          </cell>
          <cell r="AI230">
            <v>67.45</v>
          </cell>
          <cell r="AJ230">
            <v>0</v>
          </cell>
          <cell r="AK230">
            <v>0</v>
          </cell>
          <cell r="AL230">
            <v>0.71000000000000796</v>
          </cell>
          <cell r="AM230">
            <v>0</v>
          </cell>
          <cell r="AN230">
            <v>0.71000000000000796</v>
          </cell>
          <cell r="AO230">
            <v>0</v>
          </cell>
          <cell r="AP230">
            <v>0.71000000000000796</v>
          </cell>
          <cell r="AQ230" t="str">
            <v>CAD_1934</v>
          </cell>
          <cell r="AR230">
            <v>0</v>
          </cell>
          <cell r="AS230">
            <v>120</v>
          </cell>
          <cell r="AU230">
            <v>120</v>
          </cell>
          <cell r="AV230">
            <v>0</v>
          </cell>
          <cell r="AW230">
            <v>85.200000000000955</v>
          </cell>
          <cell r="AX230">
            <v>85.200000000000955</v>
          </cell>
          <cell r="AY230">
            <v>0</v>
          </cell>
          <cell r="AZ230">
            <v>85.200000000000955</v>
          </cell>
          <cell r="BA230">
            <v>85.200000000000955</v>
          </cell>
          <cell r="BB230">
            <v>85.200000000000955</v>
          </cell>
          <cell r="BC230">
            <v>0</v>
          </cell>
          <cell r="BD230">
            <v>0</v>
          </cell>
          <cell r="BE230">
            <v>0</v>
          </cell>
          <cell r="BG230">
            <v>85.200000000000955</v>
          </cell>
          <cell r="BI230">
            <v>85.200000000000955</v>
          </cell>
          <cell r="BJ230">
            <v>11400</v>
          </cell>
          <cell r="BK230">
            <v>8094</v>
          </cell>
          <cell r="BL230">
            <v>8357.3520000000008</v>
          </cell>
          <cell r="BM230">
            <v>0</v>
          </cell>
          <cell r="BN230">
            <v>0</v>
          </cell>
          <cell r="BO230">
            <v>0</v>
          </cell>
          <cell r="BP230">
            <v>8357.3520000000008</v>
          </cell>
          <cell r="BQ230">
            <v>0</v>
          </cell>
          <cell r="BR230">
            <v>-263.35200000000077</v>
          </cell>
          <cell r="BS230" t="str">
            <v>Y</v>
          </cell>
          <cell r="BT230">
            <v>1</v>
          </cell>
          <cell r="BU230">
            <v>1</v>
          </cell>
          <cell r="BV230" t="str">
            <v>Y</v>
          </cell>
          <cell r="BW230">
            <v>0</v>
          </cell>
          <cell r="BX230">
            <v>0</v>
          </cell>
          <cell r="BY230">
            <v>2026</v>
          </cell>
          <cell r="BZ230" t="str">
            <v>-</v>
          </cell>
          <cell r="CA230" t="str">
            <v>-</v>
          </cell>
        </row>
        <row r="231">
          <cell r="A231" t="str">
            <v>Lucknow</v>
          </cell>
          <cell r="B231" t="str">
            <v>Mavericks</v>
          </cell>
          <cell r="C231" t="str">
            <v>Mid Level</v>
          </cell>
          <cell r="D231" t="str">
            <v>Rohit Gupta</v>
          </cell>
          <cell r="E231" t="str">
            <v>Vivek Yadav</v>
          </cell>
          <cell r="F231" t="str">
            <v>MSP</v>
          </cell>
          <cell r="H231" t="str">
            <v>Pass Through</v>
          </cell>
          <cell r="L231" t="str">
            <v>New</v>
          </cell>
          <cell r="M231">
            <v>46034</v>
          </cell>
          <cell r="N231">
            <v>168</v>
          </cell>
          <cell r="P231">
            <v>46399</v>
          </cell>
          <cell r="Q231" t="str">
            <v>PLC-Passthrough</v>
          </cell>
          <cell r="R231" t="str">
            <v>Jagadish Patro</v>
          </cell>
          <cell r="S231" t="str">
            <v>Individual</v>
          </cell>
          <cell r="T231" t="str">
            <v>C2C Canada</v>
          </cell>
          <cell r="U231" t="str">
            <v>CoForge</v>
          </cell>
          <cell r="V231">
            <v>94</v>
          </cell>
          <cell r="W231">
            <v>0</v>
          </cell>
          <cell r="X231" t="str">
            <v>CAD</v>
          </cell>
          <cell r="Y231">
            <v>95</v>
          </cell>
          <cell r="Z231">
            <v>0</v>
          </cell>
          <cell r="AA231">
            <v>0</v>
          </cell>
          <cell r="AB231">
            <v>0</v>
          </cell>
          <cell r="AC231">
            <v>46068</v>
          </cell>
          <cell r="AD231">
            <v>20</v>
          </cell>
          <cell r="AE231">
            <v>46387</v>
          </cell>
          <cell r="AF231">
            <v>66.739999999999995</v>
          </cell>
          <cell r="AG231">
            <v>0</v>
          </cell>
          <cell r="AH231">
            <v>66.739999999999995</v>
          </cell>
          <cell r="AI231">
            <v>67.45</v>
          </cell>
          <cell r="AJ231">
            <v>0</v>
          </cell>
          <cell r="AK231">
            <v>0</v>
          </cell>
          <cell r="AL231">
            <v>0.71000000000000796</v>
          </cell>
          <cell r="AM231">
            <v>0</v>
          </cell>
          <cell r="AN231">
            <v>0.71000000000000796</v>
          </cell>
          <cell r="AO231">
            <v>0</v>
          </cell>
          <cell r="AP231">
            <v>0.71000000000000796</v>
          </cell>
          <cell r="AQ231" t="str">
            <v>CAD_1951</v>
          </cell>
          <cell r="AR231">
            <v>0</v>
          </cell>
          <cell r="AS231">
            <v>152</v>
          </cell>
          <cell r="AU231">
            <v>152</v>
          </cell>
          <cell r="AV231">
            <v>0</v>
          </cell>
          <cell r="AW231">
            <v>107.92000000000121</v>
          </cell>
          <cell r="AX231">
            <v>107.92000000000121</v>
          </cell>
          <cell r="AY231">
            <v>0</v>
          </cell>
          <cell r="AZ231">
            <v>107.92000000000121</v>
          </cell>
          <cell r="BA231">
            <v>107.92000000000121</v>
          </cell>
          <cell r="BB231">
            <v>107.92000000000121</v>
          </cell>
          <cell r="BC231">
            <v>0</v>
          </cell>
          <cell r="BD231">
            <v>0</v>
          </cell>
          <cell r="BE231">
            <v>0</v>
          </cell>
          <cell r="BG231">
            <v>107.92000000000121</v>
          </cell>
          <cell r="BI231">
            <v>107.92000000000121</v>
          </cell>
          <cell r="BJ231">
            <v>14440</v>
          </cell>
          <cell r="BK231">
            <v>10252.4</v>
          </cell>
          <cell r="BL231">
            <v>10585.9792</v>
          </cell>
          <cell r="BM231">
            <v>0</v>
          </cell>
          <cell r="BN231">
            <v>0</v>
          </cell>
          <cell r="BO231">
            <v>0</v>
          </cell>
          <cell r="BP231">
            <v>10585.9792</v>
          </cell>
          <cell r="BQ231">
            <v>0</v>
          </cell>
          <cell r="BR231">
            <v>-333.57920000000013</v>
          </cell>
          <cell r="BS231" t="str">
            <v>Y</v>
          </cell>
          <cell r="BT231">
            <v>1</v>
          </cell>
          <cell r="BU231">
            <v>1</v>
          </cell>
          <cell r="BV231" t="str">
            <v>Y</v>
          </cell>
          <cell r="BW231">
            <v>0</v>
          </cell>
          <cell r="BX231">
            <v>0</v>
          </cell>
          <cell r="BY231">
            <v>2026</v>
          </cell>
          <cell r="BZ231" t="str">
            <v>-</v>
          </cell>
          <cell r="CA231" t="str">
            <v>-</v>
          </cell>
        </row>
        <row r="232">
          <cell r="A232" t="str">
            <v>Lucknow</v>
          </cell>
          <cell r="B232" t="str">
            <v>Mavericks</v>
          </cell>
          <cell r="C232" t="str">
            <v>Mid Level</v>
          </cell>
          <cell r="D232" t="str">
            <v>Rohit Gupta</v>
          </cell>
          <cell r="E232" t="str">
            <v>Vivek Yadav</v>
          </cell>
          <cell r="F232" t="str">
            <v>MSP</v>
          </cell>
          <cell r="H232" t="str">
            <v>Pass Through</v>
          </cell>
          <cell r="L232" t="str">
            <v>New</v>
          </cell>
          <cell r="M232">
            <v>46034</v>
          </cell>
          <cell r="N232">
            <v>168</v>
          </cell>
          <cell r="P232">
            <v>46399</v>
          </cell>
          <cell r="Q232" t="str">
            <v>PLC-Passthrough</v>
          </cell>
          <cell r="R232" t="str">
            <v>Jagadish Patro</v>
          </cell>
          <cell r="S232" t="str">
            <v>Individual</v>
          </cell>
          <cell r="T232" t="str">
            <v>C2C Canada</v>
          </cell>
          <cell r="U232" t="str">
            <v>CoForge</v>
          </cell>
          <cell r="V232">
            <v>94</v>
          </cell>
          <cell r="W232">
            <v>0</v>
          </cell>
          <cell r="X232" t="str">
            <v>CAD</v>
          </cell>
          <cell r="Y232">
            <v>95</v>
          </cell>
          <cell r="Z232">
            <v>0</v>
          </cell>
          <cell r="AA232">
            <v>0</v>
          </cell>
          <cell r="AB232">
            <v>0</v>
          </cell>
          <cell r="AC232">
            <v>46096</v>
          </cell>
          <cell r="AD232">
            <v>22</v>
          </cell>
          <cell r="AE232">
            <v>46387</v>
          </cell>
          <cell r="AF232">
            <v>66.739999999999995</v>
          </cell>
          <cell r="AG232">
            <v>0</v>
          </cell>
          <cell r="AH232">
            <v>66.739999999999995</v>
          </cell>
          <cell r="AI232">
            <v>67.45</v>
          </cell>
          <cell r="AJ232">
            <v>0</v>
          </cell>
          <cell r="AK232">
            <v>0</v>
          </cell>
          <cell r="AL232">
            <v>0.71000000000000796</v>
          </cell>
          <cell r="AM232">
            <v>0</v>
          </cell>
          <cell r="AN232">
            <v>0.71000000000000796</v>
          </cell>
          <cell r="AO232">
            <v>0</v>
          </cell>
          <cell r="AP232">
            <v>0.71000000000000796</v>
          </cell>
          <cell r="AQ232" t="str">
            <v>CAD_2008</v>
          </cell>
          <cell r="AR232">
            <v>0</v>
          </cell>
          <cell r="AS232">
            <v>176</v>
          </cell>
          <cell r="AU232">
            <v>176</v>
          </cell>
          <cell r="AV232">
            <v>0</v>
          </cell>
          <cell r="AW232">
            <v>124.9600000000014</v>
          </cell>
          <cell r="AX232">
            <v>124.9600000000014</v>
          </cell>
          <cell r="AY232">
            <v>0</v>
          </cell>
          <cell r="AZ232">
            <v>124.9600000000014</v>
          </cell>
          <cell r="BA232">
            <v>124.9600000000014</v>
          </cell>
          <cell r="BB232">
            <v>124.9600000000014</v>
          </cell>
          <cell r="BC232">
            <v>0</v>
          </cell>
          <cell r="BD232">
            <v>0</v>
          </cell>
          <cell r="BE232">
            <v>0</v>
          </cell>
          <cell r="BG232">
            <v>124.9600000000014</v>
          </cell>
          <cell r="BI232">
            <v>124.9600000000014</v>
          </cell>
          <cell r="BJ232">
            <v>16720</v>
          </cell>
          <cell r="BK232">
            <v>11871.2</v>
          </cell>
          <cell r="BL232">
            <v>12257.4496</v>
          </cell>
          <cell r="BM232">
            <v>0</v>
          </cell>
          <cell r="BN232">
            <v>0</v>
          </cell>
          <cell r="BO232">
            <v>0</v>
          </cell>
          <cell r="BP232">
            <v>12257.4496</v>
          </cell>
          <cell r="BQ232">
            <v>0</v>
          </cell>
          <cell r="BR232">
            <v>-386.24959999999919</v>
          </cell>
          <cell r="BS232" t="str">
            <v>Y</v>
          </cell>
          <cell r="BT232">
            <v>1</v>
          </cell>
          <cell r="BU232">
            <v>1</v>
          </cell>
          <cell r="BV232" t="str">
            <v>Y</v>
          </cell>
          <cell r="BW232">
            <v>0</v>
          </cell>
          <cell r="BX232">
            <v>0</v>
          </cell>
          <cell r="BY232">
            <v>2026</v>
          </cell>
          <cell r="BZ232" t="str">
            <v>-</v>
          </cell>
          <cell r="CA232" t="str">
            <v>-</v>
          </cell>
        </row>
        <row r="233">
          <cell r="A233" t="str">
            <v>Lucknow</v>
          </cell>
          <cell r="B233" t="str">
            <v>Mavericks</v>
          </cell>
          <cell r="C233" t="str">
            <v>Mid Level</v>
          </cell>
          <cell r="D233" t="str">
            <v>Rohit Gupta</v>
          </cell>
          <cell r="E233" t="str">
            <v>Vivek Yadav</v>
          </cell>
          <cell r="F233" t="str">
            <v>MSP</v>
          </cell>
          <cell r="H233" t="str">
            <v>Pass Through</v>
          </cell>
          <cell r="J233" t="str">
            <v>ACH</v>
          </cell>
          <cell r="L233" t="str">
            <v>New</v>
          </cell>
          <cell r="M233">
            <v>46034</v>
          </cell>
          <cell r="N233">
            <v>168</v>
          </cell>
          <cell r="P233">
            <v>46399</v>
          </cell>
          <cell r="Q233" t="str">
            <v>PLC-Passthrough</v>
          </cell>
          <cell r="R233" t="str">
            <v>Jagadish Patro</v>
          </cell>
          <cell r="S233" t="str">
            <v>Individual</v>
          </cell>
          <cell r="T233" t="str">
            <v>C2C Canada</v>
          </cell>
          <cell r="U233" t="str">
            <v>CoForge</v>
          </cell>
          <cell r="V233">
            <v>94</v>
          </cell>
          <cell r="W233">
            <v>0</v>
          </cell>
          <cell r="X233" t="str">
            <v>CAD</v>
          </cell>
          <cell r="Y233">
            <v>95</v>
          </cell>
          <cell r="Z233">
            <v>0</v>
          </cell>
          <cell r="AA233">
            <v>0</v>
          </cell>
          <cell r="AB233">
            <v>0</v>
          </cell>
          <cell r="AC233">
            <v>46127</v>
          </cell>
          <cell r="AD233">
            <v>22</v>
          </cell>
          <cell r="AE233">
            <v>46387</v>
          </cell>
          <cell r="AF233">
            <v>66.739999999999995</v>
          </cell>
          <cell r="AG233">
            <v>0</v>
          </cell>
          <cell r="AH233">
            <v>66.739999999999995</v>
          </cell>
          <cell r="AI233">
            <v>67.45</v>
          </cell>
          <cell r="AJ233">
            <v>0</v>
          </cell>
          <cell r="AK233">
            <v>0</v>
          </cell>
          <cell r="AL233">
            <v>0.71000000000000796</v>
          </cell>
          <cell r="AM233">
            <v>0</v>
          </cell>
          <cell r="AN233">
            <v>0.71000000000000796</v>
          </cell>
          <cell r="AO233">
            <v>0</v>
          </cell>
          <cell r="AP233">
            <v>0.71000000000000796</v>
          </cell>
          <cell r="AQ233" t="str">
            <v>CAD_2098</v>
          </cell>
          <cell r="AR233">
            <v>0</v>
          </cell>
          <cell r="AS233">
            <v>168</v>
          </cell>
          <cell r="AU233">
            <v>168</v>
          </cell>
          <cell r="AV233">
            <v>0</v>
          </cell>
          <cell r="AW233">
            <v>119.28000000000134</v>
          </cell>
          <cell r="AX233">
            <v>118.08720000000132</v>
          </cell>
          <cell r="AY233">
            <v>0</v>
          </cell>
          <cell r="AZ233">
            <v>119.28000000000134</v>
          </cell>
          <cell r="BA233">
            <v>118.08720000000132</v>
          </cell>
          <cell r="BB233">
            <v>119.28000000000134</v>
          </cell>
          <cell r="BC233">
            <v>0</v>
          </cell>
          <cell r="BD233">
            <v>0</v>
          </cell>
          <cell r="BE233">
            <v>0</v>
          </cell>
          <cell r="BG233">
            <v>118.08720000000132</v>
          </cell>
          <cell r="BI233">
            <v>118.08720000000132</v>
          </cell>
          <cell r="BJ233">
            <v>15960</v>
          </cell>
          <cell r="BK233">
            <v>11331.6</v>
          </cell>
          <cell r="BL233">
            <v>11700.292799999999</v>
          </cell>
          <cell r="BM233">
            <v>0</v>
          </cell>
          <cell r="BN233">
            <v>0</v>
          </cell>
          <cell r="BO233">
            <v>0</v>
          </cell>
          <cell r="BP233">
            <v>11700.292799999999</v>
          </cell>
          <cell r="BQ233">
            <v>0</v>
          </cell>
          <cell r="BR233">
            <v>-368.6927999999989</v>
          </cell>
          <cell r="BS233" t="str">
            <v>Y</v>
          </cell>
          <cell r="BT233">
            <v>2</v>
          </cell>
          <cell r="BU233">
            <v>1</v>
          </cell>
          <cell r="BV233" t="str">
            <v>Y</v>
          </cell>
          <cell r="BW233">
            <v>0</v>
          </cell>
          <cell r="BX233">
            <v>0</v>
          </cell>
          <cell r="BY233">
            <v>2026</v>
          </cell>
          <cell r="BZ233" t="str">
            <v>-</v>
          </cell>
          <cell r="CA233" t="str">
            <v>-</v>
          </cell>
        </row>
        <row r="234">
          <cell r="A234" t="str">
            <v>Lucknow</v>
          </cell>
          <cell r="B234" t="str">
            <v>Mavericks</v>
          </cell>
          <cell r="C234" t="str">
            <v>Mid Level</v>
          </cell>
          <cell r="D234" t="str">
            <v>Rohit Gupta</v>
          </cell>
          <cell r="E234" t="str">
            <v>Vivek Yadav</v>
          </cell>
          <cell r="F234" t="str">
            <v>MSP</v>
          </cell>
          <cell r="H234" t="str">
            <v>Pass Through</v>
          </cell>
          <cell r="J234" t="str">
            <v>ACH</v>
          </cell>
          <cell r="L234" t="str">
            <v>New</v>
          </cell>
          <cell r="M234">
            <v>46034</v>
          </cell>
          <cell r="N234">
            <v>168</v>
          </cell>
          <cell r="P234">
            <v>46399</v>
          </cell>
          <cell r="Q234" t="str">
            <v>PLC-Passthrough</v>
          </cell>
          <cell r="R234" t="str">
            <v>Jagadish Patro</v>
          </cell>
          <cell r="S234" t="str">
            <v>Individual</v>
          </cell>
          <cell r="T234" t="str">
            <v>C2C Canada</v>
          </cell>
          <cell r="U234" t="str">
            <v>CoForge</v>
          </cell>
          <cell r="V234">
            <v>94</v>
          </cell>
          <cell r="W234">
            <v>0</v>
          </cell>
          <cell r="X234" t="str">
            <v>CAD</v>
          </cell>
          <cell r="Y234">
            <v>95</v>
          </cell>
          <cell r="Z234">
            <v>0</v>
          </cell>
          <cell r="AA234">
            <v>0</v>
          </cell>
          <cell r="AB234">
            <v>0</v>
          </cell>
          <cell r="AC234">
            <v>46157</v>
          </cell>
          <cell r="AD234">
            <v>22</v>
          </cell>
          <cell r="AE234">
            <v>46387</v>
          </cell>
          <cell r="AF234">
            <v>66.739999999999995</v>
          </cell>
          <cell r="AG234">
            <v>0</v>
          </cell>
          <cell r="AH234">
            <v>66.739999999999995</v>
          </cell>
          <cell r="AI234">
            <v>67.45</v>
          </cell>
          <cell r="AJ234">
            <v>0</v>
          </cell>
          <cell r="AK234">
            <v>0</v>
          </cell>
          <cell r="AL234">
            <v>0.71000000000000796</v>
          </cell>
          <cell r="AM234">
            <v>0</v>
          </cell>
          <cell r="AN234">
            <v>0.71000000000000796</v>
          </cell>
          <cell r="AO234">
            <v>0</v>
          </cell>
          <cell r="AP234">
            <v>0.71000000000000796</v>
          </cell>
          <cell r="AQ234" t="str">
            <v>CAD_2151</v>
          </cell>
          <cell r="AR234">
            <v>0</v>
          </cell>
          <cell r="AS234">
            <v>160</v>
          </cell>
          <cell r="AU234">
            <v>160</v>
          </cell>
          <cell r="AV234">
            <v>0</v>
          </cell>
          <cell r="AW234">
            <v>113.60000000000127</v>
          </cell>
          <cell r="AX234">
            <v>112.46400000000126</v>
          </cell>
          <cell r="AY234">
            <v>0</v>
          </cell>
          <cell r="AZ234">
            <v>113.60000000000127</v>
          </cell>
          <cell r="BA234">
            <v>112.46400000000126</v>
          </cell>
          <cell r="BB234">
            <v>113.60000000000127</v>
          </cell>
          <cell r="BC234">
            <v>0</v>
          </cell>
          <cell r="BD234">
            <v>0</v>
          </cell>
          <cell r="BE234">
            <v>0</v>
          </cell>
          <cell r="BG234">
            <v>112.46400000000126</v>
          </cell>
          <cell r="BI234">
            <v>112.46400000000126</v>
          </cell>
          <cell r="BJ234">
            <v>15200</v>
          </cell>
          <cell r="BK234">
            <v>10792</v>
          </cell>
          <cell r="BL234">
            <v>11143.136</v>
          </cell>
          <cell r="BM234">
            <v>0</v>
          </cell>
          <cell r="BN234">
            <v>0</v>
          </cell>
          <cell r="BO234">
            <v>0</v>
          </cell>
          <cell r="BP234">
            <v>11143.136</v>
          </cell>
          <cell r="BQ234">
            <v>0</v>
          </cell>
          <cell r="BR234">
            <v>-351.13600000000042</v>
          </cell>
          <cell r="BT234">
            <v>2</v>
          </cell>
          <cell r="BU234">
            <v>1</v>
          </cell>
          <cell r="BV234" t="str">
            <v>Y</v>
          </cell>
          <cell r="BW234">
            <v>0</v>
          </cell>
          <cell r="BX234">
            <v>0</v>
          </cell>
          <cell r="BY234">
            <v>2026</v>
          </cell>
          <cell r="BZ234" t="str">
            <v>-</v>
          </cell>
          <cell r="CA234" t="str">
            <v>-</v>
          </cell>
        </row>
        <row r="235">
          <cell r="A235" t="str">
            <v>Lucknow</v>
          </cell>
          <cell r="B235" t="str">
            <v>Mavericks</v>
          </cell>
          <cell r="C235" t="str">
            <v>Mid Level</v>
          </cell>
          <cell r="D235" t="str">
            <v>Rohit Gupta</v>
          </cell>
          <cell r="E235" t="str">
            <v>-</v>
          </cell>
          <cell r="F235" t="str">
            <v>Non-MSP</v>
          </cell>
          <cell r="H235" t="str">
            <v>Saif Ahmad Ansari</v>
          </cell>
          <cell r="L235" t="str">
            <v>New</v>
          </cell>
          <cell r="M235">
            <v>46083</v>
          </cell>
          <cell r="N235">
            <v>119</v>
          </cell>
          <cell r="P235">
            <v>46448</v>
          </cell>
          <cell r="Q235" t="str">
            <v>PLC-4700</v>
          </cell>
          <cell r="R235" t="str">
            <v>Jagan Kurma</v>
          </cell>
          <cell r="S235" t="str">
            <v>Individual</v>
          </cell>
          <cell r="T235" t="str">
            <v>C2C</v>
          </cell>
          <cell r="U235" t="str">
            <v>CoForge</v>
          </cell>
          <cell r="V235">
            <v>67</v>
          </cell>
          <cell r="W235">
            <v>0</v>
          </cell>
          <cell r="X235" t="str">
            <v>USD</v>
          </cell>
          <cell r="Y235">
            <v>78</v>
          </cell>
          <cell r="Z235">
            <v>0</v>
          </cell>
          <cell r="AA235">
            <v>0</v>
          </cell>
          <cell r="AB235">
            <v>0</v>
          </cell>
          <cell r="AC235">
            <v>46096</v>
          </cell>
          <cell r="AD235">
            <v>22</v>
          </cell>
          <cell r="AE235">
            <v>46387</v>
          </cell>
          <cell r="AF235">
            <v>67</v>
          </cell>
          <cell r="AG235">
            <v>0</v>
          </cell>
          <cell r="AH235">
            <v>67</v>
          </cell>
          <cell r="AI235">
            <v>78</v>
          </cell>
          <cell r="AJ235">
            <v>0</v>
          </cell>
          <cell r="AK235">
            <v>0</v>
          </cell>
          <cell r="AL235">
            <v>11</v>
          </cell>
          <cell r="AM235">
            <v>0</v>
          </cell>
          <cell r="AN235">
            <v>11</v>
          </cell>
          <cell r="AO235">
            <v>0</v>
          </cell>
          <cell r="AP235">
            <v>11</v>
          </cell>
          <cell r="AQ235" t="str">
            <v>US_27416</v>
          </cell>
          <cell r="AR235">
            <v>0</v>
          </cell>
          <cell r="AS235">
            <v>176</v>
          </cell>
          <cell r="AU235">
            <v>176</v>
          </cell>
          <cell r="AV235">
            <v>0</v>
          </cell>
          <cell r="AW235">
            <v>1936</v>
          </cell>
          <cell r="AX235">
            <v>1936</v>
          </cell>
          <cell r="AY235">
            <v>0</v>
          </cell>
          <cell r="AZ235">
            <v>1936</v>
          </cell>
          <cell r="BA235">
            <v>1936</v>
          </cell>
          <cell r="BB235">
            <v>1936</v>
          </cell>
          <cell r="BC235">
            <v>0</v>
          </cell>
          <cell r="BD235">
            <v>0</v>
          </cell>
          <cell r="BE235">
            <v>0</v>
          </cell>
          <cell r="BG235">
            <v>1936</v>
          </cell>
          <cell r="BI235">
            <v>1936</v>
          </cell>
          <cell r="BJ235">
            <v>13728</v>
          </cell>
          <cell r="BK235">
            <v>13728</v>
          </cell>
          <cell r="BL235">
            <v>11792</v>
          </cell>
          <cell r="BM235">
            <v>0</v>
          </cell>
          <cell r="BN235">
            <v>0</v>
          </cell>
          <cell r="BO235">
            <v>0</v>
          </cell>
          <cell r="BP235">
            <v>11792</v>
          </cell>
          <cell r="BQ235">
            <v>0</v>
          </cell>
          <cell r="BR235">
            <v>1936</v>
          </cell>
          <cell r="BT235">
            <v>1</v>
          </cell>
          <cell r="BU235">
            <v>1</v>
          </cell>
          <cell r="BV235" t="str">
            <v>N</v>
          </cell>
          <cell r="BW235">
            <v>0</v>
          </cell>
          <cell r="BX235">
            <v>0</v>
          </cell>
          <cell r="BY235">
            <v>2026</v>
          </cell>
          <cell r="BZ235" t="str">
            <v>-</v>
          </cell>
          <cell r="CA235" t="str">
            <v>-</v>
          </cell>
        </row>
        <row r="236">
          <cell r="A236" t="str">
            <v>Lucknow</v>
          </cell>
          <cell r="B236" t="str">
            <v>Mavericks</v>
          </cell>
          <cell r="C236" t="str">
            <v>Mid Level</v>
          </cell>
          <cell r="D236" t="str">
            <v>Rohit Gupta</v>
          </cell>
          <cell r="E236" t="str">
            <v>-</v>
          </cell>
          <cell r="F236" t="str">
            <v>Non-MSP</v>
          </cell>
          <cell r="H236" t="str">
            <v>Saif Ahmad Ansari</v>
          </cell>
          <cell r="J236" t="str">
            <v>ACH</v>
          </cell>
          <cell r="L236" t="str">
            <v>New</v>
          </cell>
          <cell r="M236">
            <v>46083</v>
          </cell>
          <cell r="N236">
            <v>119</v>
          </cell>
          <cell r="P236">
            <v>46448</v>
          </cell>
          <cell r="Q236" t="str">
            <v>PLC-4700</v>
          </cell>
          <cell r="R236" t="str">
            <v>Jagan Kurma</v>
          </cell>
          <cell r="S236" t="str">
            <v>Individual</v>
          </cell>
          <cell r="T236" t="str">
            <v>C2C</v>
          </cell>
          <cell r="U236" t="str">
            <v>CoForge</v>
          </cell>
          <cell r="V236">
            <v>67</v>
          </cell>
          <cell r="W236">
            <v>0</v>
          </cell>
          <cell r="X236" t="str">
            <v>USD</v>
          </cell>
          <cell r="Y236">
            <v>78</v>
          </cell>
          <cell r="Z236">
            <v>0</v>
          </cell>
          <cell r="AA236">
            <v>0</v>
          </cell>
          <cell r="AB236">
            <v>0</v>
          </cell>
          <cell r="AC236">
            <v>46127</v>
          </cell>
          <cell r="AD236">
            <v>22</v>
          </cell>
          <cell r="AE236">
            <v>46387</v>
          </cell>
          <cell r="AF236">
            <v>67</v>
          </cell>
          <cell r="AG236">
            <v>0</v>
          </cell>
          <cell r="AH236">
            <v>67</v>
          </cell>
          <cell r="AI236">
            <v>78</v>
          </cell>
          <cell r="AJ236">
            <v>0</v>
          </cell>
          <cell r="AK236">
            <v>0</v>
          </cell>
          <cell r="AL236">
            <v>11</v>
          </cell>
          <cell r="AM236">
            <v>0</v>
          </cell>
          <cell r="AN236">
            <v>11</v>
          </cell>
          <cell r="AO236">
            <v>0</v>
          </cell>
          <cell r="AP236">
            <v>11</v>
          </cell>
          <cell r="AQ236" t="str">
            <v>US_27647</v>
          </cell>
          <cell r="AR236">
            <v>0</v>
          </cell>
          <cell r="AS236">
            <v>176</v>
          </cell>
          <cell r="AU236">
            <v>176</v>
          </cell>
          <cell r="AV236">
            <v>0</v>
          </cell>
          <cell r="AW236">
            <v>1936</v>
          </cell>
          <cell r="AX236">
            <v>1916.6399999999999</v>
          </cell>
          <cell r="AY236">
            <v>0</v>
          </cell>
          <cell r="AZ236">
            <v>1936</v>
          </cell>
          <cell r="BA236">
            <v>1916.6399999999999</v>
          </cell>
          <cell r="BB236">
            <v>1936</v>
          </cell>
          <cell r="BC236">
            <v>0</v>
          </cell>
          <cell r="BD236">
            <v>0</v>
          </cell>
          <cell r="BE236">
            <v>0</v>
          </cell>
          <cell r="BG236">
            <v>1916.6399999999999</v>
          </cell>
          <cell r="BI236">
            <v>1916.6399999999999</v>
          </cell>
          <cell r="BJ236">
            <v>13728</v>
          </cell>
          <cell r="BK236">
            <v>13728</v>
          </cell>
          <cell r="BL236">
            <v>11792</v>
          </cell>
          <cell r="BM236">
            <v>0</v>
          </cell>
          <cell r="BN236">
            <v>0</v>
          </cell>
          <cell r="BO236">
            <v>0</v>
          </cell>
          <cell r="BP236">
            <v>11792</v>
          </cell>
          <cell r="BQ236">
            <v>0</v>
          </cell>
          <cell r="BR236">
            <v>1936</v>
          </cell>
          <cell r="BT236">
            <v>2</v>
          </cell>
          <cell r="BU236">
            <v>1</v>
          </cell>
          <cell r="BV236" t="str">
            <v>N</v>
          </cell>
          <cell r="BW236">
            <v>0</v>
          </cell>
          <cell r="BX236">
            <v>0</v>
          </cell>
          <cell r="BY236">
            <v>2026</v>
          </cell>
          <cell r="BZ236" t="str">
            <v>-</v>
          </cell>
          <cell r="CA236" t="str">
            <v>-</v>
          </cell>
        </row>
        <row r="237">
          <cell r="A237" t="str">
            <v>Lucknow</v>
          </cell>
          <cell r="B237" t="str">
            <v>Mavericks</v>
          </cell>
          <cell r="C237" t="str">
            <v>Mid Level</v>
          </cell>
          <cell r="D237" t="str">
            <v>Rohit Gupta</v>
          </cell>
          <cell r="E237" t="str">
            <v>-</v>
          </cell>
          <cell r="F237" t="str">
            <v>Non-MSP</v>
          </cell>
          <cell r="H237" t="str">
            <v>Saif Ahmad Ansari</v>
          </cell>
          <cell r="J237" t="str">
            <v>ACH</v>
          </cell>
          <cell r="L237" t="str">
            <v>New</v>
          </cell>
          <cell r="M237">
            <v>46083</v>
          </cell>
          <cell r="N237">
            <v>119</v>
          </cell>
          <cell r="P237">
            <v>46448</v>
          </cell>
          <cell r="Q237" t="str">
            <v>PLC-4700</v>
          </cell>
          <cell r="R237" t="str">
            <v>Jagan Kurma</v>
          </cell>
          <cell r="S237" t="str">
            <v>Individual</v>
          </cell>
          <cell r="T237" t="str">
            <v>C2C</v>
          </cell>
          <cell r="U237" t="str">
            <v>CoForge</v>
          </cell>
          <cell r="V237">
            <v>67</v>
          </cell>
          <cell r="W237">
            <v>0</v>
          </cell>
          <cell r="X237" t="str">
            <v>USD</v>
          </cell>
          <cell r="Y237">
            <v>78</v>
          </cell>
          <cell r="Z237">
            <v>0</v>
          </cell>
          <cell r="AA237">
            <v>0</v>
          </cell>
          <cell r="AB237">
            <v>0</v>
          </cell>
          <cell r="AC237">
            <v>46157</v>
          </cell>
          <cell r="AD237">
            <v>22</v>
          </cell>
          <cell r="AE237">
            <v>46387</v>
          </cell>
          <cell r="AF237">
            <v>67</v>
          </cell>
          <cell r="AG237">
            <v>0</v>
          </cell>
          <cell r="AH237">
            <v>67</v>
          </cell>
          <cell r="AI237">
            <v>78</v>
          </cell>
          <cell r="AJ237">
            <v>0</v>
          </cell>
          <cell r="AK237">
            <v>0</v>
          </cell>
          <cell r="AL237">
            <v>11</v>
          </cell>
          <cell r="AM237">
            <v>0</v>
          </cell>
          <cell r="AN237">
            <v>11</v>
          </cell>
          <cell r="AO237">
            <v>0</v>
          </cell>
          <cell r="AP237">
            <v>11</v>
          </cell>
          <cell r="AU237">
            <v>176</v>
          </cell>
          <cell r="BB237">
            <v>1936</v>
          </cell>
          <cell r="BC237">
            <v>0</v>
          </cell>
          <cell r="BD237">
            <v>0</v>
          </cell>
          <cell r="BE237">
            <v>0</v>
          </cell>
          <cell r="BK237">
            <v>13728</v>
          </cell>
          <cell r="BL237">
            <v>11792</v>
          </cell>
          <cell r="BM237">
            <v>0</v>
          </cell>
          <cell r="BN237">
            <v>0</v>
          </cell>
          <cell r="BO237">
            <v>0</v>
          </cell>
          <cell r="BP237">
            <v>11792</v>
          </cell>
          <cell r="BQ237">
            <v>0</v>
          </cell>
          <cell r="BR237">
            <v>1936</v>
          </cell>
          <cell r="BT237">
            <v>2</v>
          </cell>
          <cell r="BU237">
            <v>1</v>
          </cell>
          <cell r="BV237" t="str">
            <v>N</v>
          </cell>
          <cell r="BW237">
            <v>0</v>
          </cell>
          <cell r="BX237">
            <v>0</v>
          </cell>
          <cell r="BY237">
            <v>2026</v>
          </cell>
          <cell r="BZ237" t="str">
            <v>-</v>
          </cell>
          <cell r="CA237" t="str">
            <v>-</v>
          </cell>
        </row>
        <row r="238">
          <cell r="A238" t="str">
            <v>Lucknow</v>
          </cell>
          <cell r="B238" t="str">
            <v>Mavericks</v>
          </cell>
          <cell r="C238" t="str">
            <v>Mid Level</v>
          </cell>
          <cell r="D238" t="str">
            <v>Mohammad Fakhrul</v>
          </cell>
          <cell r="E238" t="str">
            <v>-</v>
          </cell>
          <cell r="F238" t="str">
            <v>MSP</v>
          </cell>
          <cell r="H238" t="str">
            <v>Pass Through/MSP</v>
          </cell>
          <cell r="L238" t="str">
            <v>New</v>
          </cell>
          <cell r="M238">
            <v>46082</v>
          </cell>
          <cell r="N238">
            <v>120</v>
          </cell>
          <cell r="P238">
            <v>46447</v>
          </cell>
          <cell r="Q238" t="str">
            <v>PLC-Passthrough</v>
          </cell>
          <cell r="R238" t="str">
            <v>Jagan Mohan Reddy</v>
          </cell>
          <cell r="S238" t="str">
            <v>Individual</v>
          </cell>
          <cell r="T238" t="str">
            <v>C2C</v>
          </cell>
          <cell r="U238" t="str">
            <v>Cigniti</v>
          </cell>
          <cell r="V238">
            <v>76</v>
          </cell>
          <cell r="W238">
            <v>0</v>
          </cell>
          <cell r="X238" t="str">
            <v>USD</v>
          </cell>
          <cell r="Y238">
            <v>76</v>
          </cell>
          <cell r="Z238">
            <v>0</v>
          </cell>
          <cell r="AA238">
            <v>0</v>
          </cell>
          <cell r="AB238">
            <v>0</v>
          </cell>
          <cell r="AC238">
            <v>46096</v>
          </cell>
          <cell r="AD238">
            <v>22</v>
          </cell>
          <cell r="AE238">
            <v>46387</v>
          </cell>
          <cell r="AF238">
            <v>76</v>
          </cell>
          <cell r="AG238">
            <v>0</v>
          </cell>
          <cell r="AH238">
            <v>76</v>
          </cell>
          <cell r="AI238">
            <v>76</v>
          </cell>
          <cell r="AJ238">
            <v>0</v>
          </cell>
          <cell r="AK238">
            <v>0</v>
          </cell>
          <cell r="AL238">
            <v>0</v>
          </cell>
          <cell r="AM238">
            <v>0</v>
          </cell>
          <cell r="AN238">
            <v>0</v>
          </cell>
          <cell r="AO238">
            <v>0</v>
          </cell>
          <cell r="AP238">
            <v>0</v>
          </cell>
          <cell r="AQ238" t="str">
            <v>US_CMSP_00554</v>
          </cell>
          <cell r="AR238">
            <v>0</v>
          </cell>
          <cell r="AS238">
            <v>176</v>
          </cell>
          <cell r="AU238">
            <v>176</v>
          </cell>
          <cell r="AV238">
            <v>0</v>
          </cell>
          <cell r="AW238">
            <v>0</v>
          </cell>
          <cell r="AX238">
            <v>0</v>
          </cell>
          <cell r="AY238">
            <v>0</v>
          </cell>
          <cell r="AZ238">
            <v>0</v>
          </cell>
          <cell r="BA238">
            <v>0</v>
          </cell>
          <cell r="BB238">
            <v>0</v>
          </cell>
          <cell r="BC238">
            <v>0</v>
          </cell>
          <cell r="BD238">
            <v>0</v>
          </cell>
          <cell r="BE238">
            <v>0</v>
          </cell>
          <cell r="BG238">
            <v>0</v>
          </cell>
          <cell r="BI238">
            <v>0</v>
          </cell>
          <cell r="BJ238">
            <v>13376</v>
          </cell>
          <cell r="BK238">
            <v>13376</v>
          </cell>
          <cell r="BL238">
            <v>13376</v>
          </cell>
          <cell r="BM238">
            <v>0</v>
          </cell>
          <cell r="BN238">
            <v>0</v>
          </cell>
          <cell r="BO238">
            <v>0</v>
          </cell>
          <cell r="BP238">
            <v>13376</v>
          </cell>
          <cell r="BQ238">
            <v>0</v>
          </cell>
          <cell r="BR238">
            <v>0</v>
          </cell>
          <cell r="BS238" t="str">
            <v>Y</v>
          </cell>
          <cell r="BT238">
            <v>1</v>
          </cell>
          <cell r="BU238">
            <v>1</v>
          </cell>
          <cell r="BV238" t="str">
            <v>N</v>
          </cell>
          <cell r="BW238">
            <v>0</v>
          </cell>
          <cell r="BX238">
            <v>0</v>
          </cell>
          <cell r="BY238">
            <v>2026</v>
          </cell>
          <cell r="BZ238" t="str">
            <v>-</v>
          </cell>
          <cell r="CA238" t="str">
            <v>-</v>
          </cell>
        </row>
        <row r="239">
          <cell r="A239" t="str">
            <v>Lucknow</v>
          </cell>
          <cell r="B239" t="str">
            <v>Mavericks</v>
          </cell>
          <cell r="C239" t="str">
            <v>Mid Level</v>
          </cell>
          <cell r="D239" t="str">
            <v>Mohammad Fakhrul</v>
          </cell>
          <cell r="E239" t="str">
            <v>-</v>
          </cell>
          <cell r="F239" t="str">
            <v>MSP</v>
          </cell>
          <cell r="H239" t="str">
            <v>Pass Through/MSP</v>
          </cell>
          <cell r="J239" t="str">
            <v>ACH</v>
          </cell>
          <cell r="L239" t="str">
            <v>New</v>
          </cell>
          <cell r="M239">
            <v>46082</v>
          </cell>
          <cell r="N239">
            <v>120</v>
          </cell>
          <cell r="P239">
            <v>46447</v>
          </cell>
          <cell r="Q239" t="str">
            <v>PLC-Passthrough</v>
          </cell>
          <cell r="R239" t="str">
            <v>Jagan Mohan Reddy</v>
          </cell>
          <cell r="S239" t="str">
            <v>Individual</v>
          </cell>
          <cell r="T239" t="str">
            <v>C2C</v>
          </cell>
          <cell r="U239" t="str">
            <v>Cigniti</v>
          </cell>
          <cell r="V239">
            <v>76</v>
          </cell>
          <cell r="W239">
            <v>0</v>
          </cell>
          <cell r="X239" t="str">
            <v>USD</v>
          </cell>
          <cell r="Y239">
            <v>76</v>
          </cell>
          <cell r="Z239">
            <v>0</v>
          </cell>
          <cell r="AA239">
            <v>0</v>
          </cell>
          <cell r="AB239">
            <v>0</v>
          </cell>
          <cell r="AC239">
            <v>46127</v>
          </cell>
          <cell r="AD239">
            <v>22</v>
          </cell>
          <cell r="AE239">
            <v>46387</v>
          </cell>
          <cell r="AF239">
            <v>76</v>
          </cell>
          <cell r="AG239">
            <v>0</v>
          </cell>
          <cell r="AH239">
            <v>76</v>
          </cell>
          <cell r="AI239">
            <v>76</v>
          </cell>
          <cell r="AJ239">
            <v>0</v>
          </cell>
          <cell r="AK239">
            <v>0</v>
          </cell>
          <cell r="AL239">
            <v>0</v>
          </cell>
          <cell r="AM239">
            <v>0</v>
          </cell>
          <cell r="AN239">
            <v>0</v>
          </cell>
          <cell r="AO239">
            <v>0</v>
          </cell>
          <cell r="AP239">
            <v>0</v>
          </cell>
          <cell r="AQ239" t="str">
            <v>US_CMSP_00701</v>
          </cell>
          <cell r="AR239">
            <v>0</v>
          </cell>
          <cell r="AS239">
            <v>176</v>
          </cell>
          <cell r="AU239">
            <v>176</v>
          </cell>
          <cell r="AV239">
            <v>0</v>
          </cell>
          <cell r="AW239">
            <v>0</v>
          </cell>
          <cell r="AX239">
            <v>0</v>
          </cell>
          <cell r="AY239">
            <v>0</v>
          </cell>
          <cell r="AZ239">
            <v>0</v>
          </cell>
          <cell r="BA239">
            <v>0</v>
          </cell>
          <cell r="BB239">
            <v>0</v>
          </cell>
          <cell r="BC239">
            <v>0</v>
          </cell>
          <cell r="BD239">
            <v>0</v>
          </cell>
          <cell r="BE239">
            <v>0</v>
          </cell>
          <cell r="BG239">
            <v>0</v>
          </cell>
          <cell r="BI239">
            <v>0</v>
          </cell>
          <cell r="BJ239">
            <v>13376</v>
          </cell>
          <cell r="BK239">
            <v>13376</v>
          </cell>
          <cell r="BL239">
            <v>13376</v>
          </cell>
          <cell r="BM239">
            <v>0</v>
          </cell>
          <cell r="BN239">
            <v>0</v>
          </cell>
          <cell r="BO239">
            <v>0</v>
          </cell>
          <cell r="BP239">
            <v>13376</v>
          </cell>
          <cell r="BQ239">
            <v>0</v>
          </cell>
          <cell r="BR239">
            <v>0</v>
          </cell>
          <cell r="BT239">
            <v>2</v>
          </cell>
          <cell r="BU239">
            <v>1</v>
          </cell>
          <cell r="BV239" t="str">
            <v>N</v>
          </cell>
          <cell r="BW239">
            <v>0</v>
          </cell>
          <cell r="BX239">
            <v>0</v>
          </cell>
          <cell r="BY239">
            <v>2026</v>
          </cell>
          <cell r="BZ239" t="str">
            <v>-</v>
          </cell>
          <cell r="CA239" t="str">
            <v>-</v>
          </cell>
        </row>
        <row r="240">
          <cell r="A240" t="str">
            <v>Lucknow</v>
          </cell>
          <cell r="B240" t="str">
            <v>Mavericks</v>
          </cell>
          <cell r="C240" t="str">
            <v>Mid Level</v>
          </cell>
          <cell r="D240" t="str">
            <v>Mohammad Fakhrul</v>
          </cell>
          <cell r="E240" t="str">
            <v>-</v>
          </cell>
          <cell r="F240" t="str">
            <v>MSP</v>
          </cell>
          <cell r="H240" t="str">
            <v>Pass Through/MSP</v>
          </cell>
          <cell r="J240" t="str">
            <v>ACH</v>
          </cell>
          <cell r="L240" t="str">
            <v>New</v>
          </cell>
          <cell r="M240">
            <v>46082</v>
          </cell>
          <cell r="N240">
            <v>120</v>
          </cell>
          <cell r="P240">
            <v>46447</v>
          </cell>
          <cell r="Q240" t="str">
            <v>PLC-Passthrough</v>
          </cell>
          <cell r="R240" t="str">
            <v>Jagan Mohan Reddy</v>
          </cell>
          <cell r="S240" t="str">
            <v>Individual</v>
          </cell>
          <cell r="T240" t="str">
            <v>C2C</v>
          </cell>
          <cell r="U240" t="str">
            <v>Cigniti</v>
          </cell>
          <cell r="V240">
            <v>76</v>
          </cell>
          <cell r="W240">
            <v>0</v>
          </cell>
          <cell r="X240" t="str">
            <v>USD</v>
          </cell>
          <cell r="Y240">
            <v>76</v>
          </cell>
          <cell r="Z240">
            <v>0</v>
          </cell>
          <cell r="AA240">
            <v>0</v>
          </cell>
          <cell r="AB240">
            <v>0</v>
          </cell>
          <cell r="AC240">
            <v>46157</v>
          </cell>
          <cell r="AD240">
            <v>22</v>
          </cell>
          <cell r="AE240">
            <v>46387</v>
          </cell>
          <cell r="AF240">
            <v>76</v>
          </cell>
          <cell r="AG240">
            <v>0</v>
          </cell>
          <cell r="AH240">
            <v>76</v>
          </cell>
          <cell r="AI240">
            <v>76</v>
          </cell>
          <cell r="AJ240">
            <v>0</v>
          </cell>
          <cell r="AK240">
            <v>0</v>
          </cell>
          <cell r="AL240">
            <v>0</v>
          </cell>
          <cell r="AM240">
            <v>0</v>
          </cell>
          <cell r="AN240">
            <v>0</v>
          </cell>
          <cell r="AO240">
            <v>0</v>
          </cell>
          <cell r="AP240">
            <v>0</v>
          </cell>
          <cell r="AQ240" t="str">
            <v>US_CMSP_00861</v>
          </cell>
          <cell r="AR240">
            <v>0</v>
          </cell>
          <cell r="AS240">
            <v>160</v>
          </cell>
          <cell r="AU240">
            <v>160</v>
          </cell>
          <cell r="AV240">
            <v>0</v>
          </cell>
          <cell r="AW240">
            <v>0</v>
          </cell>
          <cell r="AX240">
            <v>0</v>
          </cell>
          <cell r="AY240">
            <v>0</v>
          </cell>
          <cell r="AZ240">
            <v>0</v>
          </cell>
          <cell r="BA240">
            <v>0</v>
          </cell>
          <cell r="BB240">
            <v>0</v>
          </cell>
          <cell r="BC240">
            <v>0</v>
          </cell>
          <cell r="BD240">
            <v>0</v>
          </cell>
          <cell r="BE240">
            <v>0</v>
          </cell>
          <cell r="BG240">
            <v>0</v>
          </cell>
          <cell r="BI240">
            <v>0</v>
          </cell>
          <cell r="BJ240">
            <v>12160</v>
          </cell>
          <cell r="BK240">
            <v>12160</v>
          </cell>
          <cell r="BL240">
            <v>12160</v>
          </cell>
          <cell r="BM240">
            <v>0</v>
          </cell>
          <cell r="BN240">
            <v>0</v>
          </cell>
          <cell r="BO240">
            <v>0</v>
          </cell>
          <cell r="BP240">
            <v>12160</v>
          </cell>
          <cell r="BQ240">
            <v>0</v>
          </cell>
          <cell r="BR240">
            <v>0</v>
          </cell>
          <cell r="BT240">
            <v>2</v>
          </cell>
          <cell r="BU240">
            <v>1</v>
          </cell>
          <cell r="BV240" t="str">
            <v>N</v>
          </cell>
          <cell r="BW240">
            <v>0</v>
          </cell>
          <cell r="BX240">
            <v>0</v>
          </cell>
          <cell r="BY240">
            <v>2026</v>
          </cell>
          <cell r="BZ240" t="str">
            <v>-</v>
          </cell>
          <cell r="CA240" t="str">
            <v>-</v>
          </cell>
        </row>
        <row r="241">
          <cell r="A241" t="str">
            <v>Noida</v>
          </cell>
          <cell r="B241" t="str">
            <v>Noida IT</v>
          </cell>
          <cell r="C241" t="str">
            <v>Mid Level</v>
          </cell>
          <cell r="D241" t="str">
            <v>Abdul Rahman</v>
          </cell>
          <cell r="E241" t="str">
            <v>-</v>
          </cell>
          <cell r="F241" t="str">
            <v>Non-MSP</v>
          </cell>
          <cell r="H241" t="str">
            <v xml:space="preserve">Vishali Kundal </v>
          </cell>
          <cell r="L241" t="str">
            <v>New</v>
          </cell>
          <cell r="M241">
            <v>46090</v>
          </cell>
          <cell r="N241">
            <v>112</v>
          </cell>
          <cell r="O241">
            <v>46120</v>
          </cell>
          <cell r="P241">
            <v>46455</v>
          </cell>
          <cell r="Q241" t="str">
            <v>PLC-4763</v>
          </cell>
          <cell r="R241" t="str">
            <v>Jahnavi Lingineni</v>
          </cell>
          <cell r="S241" t="str">
            <v>Individual</v>
          </cell>
          <cell r="T241" t="str">
            <v>C2C</v>
          </cell>
          <cell r="U241" t="str">
            <v>Xebia</v>
          </cell>
          <cell r="V241">
            <v>60</v>
          </cell>
          <cell r="W241">
            <v>0</v>
          </cell>
          <cell r="X241" t="str">
            <v>USD</v>
          </cell>
          <cell r="Y241">
            <v>67</v>
          </cell>
          <cell r="Z241">
            <v>0</v>
          </cell>
          <cell r="AA241">
            <v>0</v>
          </cell>
          <cell r="AB241">
            <v>0</v>
          </cell>
          <cell r="AC241">
            <v>46096</v>
          </cell>
          <cell r="AD241">
            <v>17</v>
          </cell>
          <cell r="AE241">
            <v>46387</v>
          </cell>
          <cell r="AF241">
            <v>60</v>
          </cell>
          <cell r="AG241">
            <v>0</v>
          </cell>
          <cell r="AH241">
            <v>60</v>
          </cell>
          <cell r="AI241">
            <v>67</v>
          </cell>
          <cell r="AJ241">
            <v>0</v>
          </cell>
          <cell r="AK241">
            <v>0</v>
          </cell>
          <cell r="AL241">
            <v>7</v>
          </cell>
          <cell r="AM241">
            <v>0</v>
          </cell>
          <cell r="AN241">
            <v>7</v>
          </cell>
          <cell r="AO241">
            <v>0</v>
          </cell>
          <cell r="AP241">
            <v>7</v>
          </cell>
          <cell r="AQ241" t="str">
            <v>US_27427</v>
          </cell>
          <cell r="AR241">
            <v>0</v>
          </cell>
          <cell r="AS241">
            <v>136</v>
          </cell>
          <cell r="AU241">
            <v>136</v>
          </cell>
          <cell r="AV241">
            <v>0</v>
          </cell>
          <cell r="AW241">
            <v>952</v>
          </cell>
          <cell r="AX241">
            <v>952</v>
          </cell>
          <cell r="AY241">
            <v>0</v>
          </cell>
          <cell r="AZ241">
            <v>952</v>
          </cell>
          <cell r="BA241">
            <v>952</v>
          </cell>
          <cell r="BB241">
            <v>952</v>
          </cell>
          <cell r="BC241">
            <v>0</v>
          </cell>
          <cell r="BD241">
            <v>0</v>
          </cell>
          <cell r="BE241">
            <v>0</v>
          </cell>
          <cell r="BG241">
            <v>952</v>
          </cell>
          <cell r="BI241">
            <v>952</v>
          </cell>
          <cell r="BJ241">
            <v>9112</v>
          </cell>
          <cell r="BK241">
            <v>9112</v>
          </cell>
          <cell r="BL241">
            <v>8160</v>
          </cell>
          <cell r="BM241">
            <v>0</v>
          </cell>
          <cell r="BN241">
            <v>0</v>
          </cell>
          <cell r="BO241">
            <v>0</v>
          </cell>
          <cell r="BP241">
            <v>8160</v>
          </cell>
          <cell r="BQ241">
            <v>0</v>
          </cell>
          <cell r="BR241">
            <v>952</v>
          </cell>
          <cell r="BT241">
            <v>1</v>
          </cell>
          <cell r="BU241">
            <v>1</v>
          </cell>
          <cell r="BV241" t="str">
            <v>N</v>
          </cell>
          <cell r="BW241">
            <v>0</v>
          </cell>
          <cell r="BX241">
            <v>0</v>
          </cell>
          <cell r="BY241">
            <v>2026</v>
          </cell>
          <cell r="BZ241" t="str">
            <v>-</v>
          </cell>
          <cell r="CA241" t="str">
            <v>-</v>
          </cell>
        </row>
        <row r="242">
          <cell r="A242" t="str">
            <v>Noida</v>
          </cell>
          <cell r="B242" t="str">
            <v>Noida IT</v>
          </cell>
          <cell r="C242" t="str">
            <v>Mid Level</v>
          </cell>
          <cell r="D242" t="str">
            <v>Abdul Rahman</v>
          </cell>
          <cell r="E242" t="str">
            <v>-</v>
          </cell>
          <cell r="F242" t="str">
            <v>Non-MSP</v>
          </cell>
          <cell r="H242" t="str">
            <v xml:space="preserve">Vishali Kundal </v>
          </cell>
          <cell r="J242" t="str">
            <v>ACH</v>
          </cell>
          <cell r="L242" t="str">
            <v>New</v>
          </cell>
          <cell r="M242">
            <v>46090</v>
          </cell>
          <cell r="N242">
            <v>112</v>
          </cell>
          <cell r="O242">
            <v>46120</v>
          </cell>
          <cell r="P242">
            <v>46455</v>
          </cell>
          <cell r="Q242" t="str">
            <v>PLC-4763</v>
          </cell>
          <cell r="R242" t="str">
            <v>Jahnavi Lingineni</v>
          </cell>
          <cell r="S242" t="str">
            <v>Individual</v>
          </cell>
          <cell r="T242" t="str">
            <v>C2C</v>
          </cell>
          <cell r="U242" t="str">
            <v>Xebia</v>
          </cell>
          <cell r="V242">
            <v>60</v>
          </cell>
          <cell r="W242">
            <v>0</v>
          </cell>
          <cell r="X242" t="str">
            <v>USD</v>
          </cell>
          <cell r="Y242">
            <v>67</v>
          </cell>
          <cell r="Z242">
            <v>0</v>
          </cell>
          <cell r="AA242">
            <v>0</v>
          </cell>
          <cell r="AB242">
            <v>0</v>
          </cell>
          <cell r="AC242">
            <v>46127</v>
          </cell>
          <cell r="AD242">
            <v>22</v>
          </cell>
          <cell r="AE242">
            <v>46387</v>
          </cell>
          <cell r="AF242">
            <v>60</v>
          </cell>
          <cell r="AG242">
            <v>0</v>
          </cell>
          <cell r="AH242">
            <v>60</v>
          </cell>
          <cell r="AI242">
            <v>67</v>
          </cell>
          <cell r="AJ242">
            <v>0</v>
          </cell>
          <cell r="AK242">
            <v>0</v>
          </cell>
          <cell r="AL242">
            <v>7</v>
          </cell>
          <cell r="AM242">
            <v>0</v>
          </cell>
          <cell r="AN242">
            <v>7</v>
          </cell>
          <cell r="AO242">
            <v>0</v>
          </cell>
          <cell r="AP242">
            <v>7</v>
          </cell>
          <cell r="AQ242" t="str">
            <v>US_27449</v>
          </cell>
          <cell r="AR242">
            <v>0</v>
          </cell>
          <cell r="AS242">
            <v>40</v>
          </cell>
          <cell r="AU242">
            <v>40</v>
          </cell>
          <cell r="AV242">
            <v>0</v>
          </cell>
          <cell r="AW242">
            <v>280</v>
          </cell>
          <cell r="AX242">
            <v>277.2</v>
          </cell>
          <cell r="AY242">
            <v>0</v>
          </cell>
          <cell r="AZ242">
            <v>280</v>
          </cell>
          <cell r="BA242">
            <v>277.2</v>
          </cell>
          <cell r="BB242">
            <v>280</v>
          </cell>
          <cell r="BC242">
            <v>0</v>
          </cell>
          <cell r="BD242">
            <v>0</v>
          </cell>
          <cell r="BE242">
            <v>0</v>
          </cell>
          <cell r="BG242">
            <v>277.2</v>
          </cell>
          <cell r="BI242">
            <v>277.2</v>
          </cell>
          <cell r="BJ242">
            <v>2680</v>
          </cell>
          <cell r="BK242">
            <v>2680</v>
          </cell>
          <cell r="BL242">
            <v>2400</v>
          </cell>
          <cell r="BM242">
            <v>0</v>
          </cell>
          <cell r="BN242">
            <v>0</v>
          </cell>
          <cell r="BO242">
            <v>0</v>
          </cell>
          <cell r="BP242">
            <v>2400</v>
          </cell>
          <cell r="BQ242">
            <v>0</v>
          </cell>
          <cell r="BR242">
            <v>280</v>
          </cell>
          <cell r="BT242">
            <v>2</v>
          </cell>
          <cell r="BU242">
            <v>1</v>
          </cell>
          <cell r="BV242" t="str">
            <v>N</v>
          </cell>
          <cell r="BW242">
            <v>0</v>
          </cell>
          <cell r="BX242">
            <v>0</v>
          </cell>
          <cell r="BY242">
            <v>2026</v>
          </cell>
          <cell r="BZ242" t="str">
            <v>-</v>
          </cell>
          <cell r="CA242" t="str">
            <v>-</v>
          </cell>
        </row>
        <row r="243">
          <cell r="A243" t="str">
            <v>Lucknow</v>
          </cell>
          <cell r="B243" t="str">
            <v>Mavericks</v>
          </cell>
          <cell r="C243" t="str">
            <v>Mid Level</v>
          </cell>
          <cell r="D243" t="str">
            <v>Mohammad Fakhrul</v>
          </cell>
          <cell r="E243" t="str">
            <v>-</v>
          </cell>
          <cell r="F243" t="str">
            <v>MSP</v>
          </cell>
          <cell r="H243" t="str">
            <v>Pass Through/MSP</v>
          </cell>
          <cell r="J243" t="str">
            <v>ACH</v>
          </cell>
          <cell r="L243" t="str">
            <v>New</v>
          </cell>
          <cell r="M243">
            <v>46112</v>
          </cell>
          <cell r="N243">
            <v>90</v>
          </cell>
          <cell r="P243">
            <v>46477</v>
          </cell>
          <cell r="Q243" t="str">
            <v>PLC-Passthrough</v>
          </cell>
          <cell r="R243" t="str">
            <v>Jaipal Kuchi</v>
          </cell>
          <cell r="S243" t="str">
            <v>Individual</v>
          </cell>
          <cell r="T243" t="str">
            <v>C2C</v>
          </cell>
          <cell r="U243" t="str">
            <v>CoForge</v>
          </cell>
          <cell r="V243">
            <v>74</v>
          </cell>
          <cell r="W243">
            <v>0</v>
          </cell>
          <cell r="X243" t="str">
            <v>USD</v>
          </cell>
          <cell r="Y243">
            <v>75</v>
          </cell>
          <cell r="Z243">
            <v>0</v>
          </cell>
          <cell r="AA243">
            <v>0</v>
          </cell>
          <cell r="AB243">
            <v>0</v>
          </cell>
          <cell r="AC243">
            <v>46096</v>
          </cell>
          <cell r="AD243">
            <v>1</v>
          </cell>
          <cell r="AE243">
            <v>46387</v>
          </cell>
          <cell r="AF243">
            <v>74</v>
          </cell>
          <cell r="AG243">
            <v>0</v>
          </cell>
          <cell r="AH243">
            <v>74</v>
          </cell>
          <cell r="AI243">
            <v>75</v>
          </cell>
          <cell r="AJ243">
            <v>0</v>
          </cell>
          <cell r="AK243">
            <v>0</v>
          </cell>
          <cell r="AL243">
            <v>1</v>
          </cell>
          <cell r="AM243">
            <v>0</v>
          </cell>
          <cell r="AN243">
            <v>1</v>
          </cell>
          <cell r="AO243">
            <v>0</v>
          </cell>
          <cell r="AP243">
            <v>1</v>
          </cell>
          <cell r="AQ243" t="str">
            <v>US_CMSP_00589</v>
          </cell>
          <cell r="AR243">
            <v>0</v>
          </cell>
          <cell r="AS243">
            <v>8</v>
          </cell>
          <cell r="AU243">
            <v>8</v>
          </cell>
          <cell r="AV243">
            <v>0</v>
          </cell>
          <cell r="AW243">
            <v>8</v>
          </cell>
          <cell r="AX243">
            <v>7.92</v>
          </cell>
          <cell r="AY243">
            <v>0</v>
          </cell>
          <cell r="AZ243">
            <v>8</v>
          </cell>
          <cell r="BA243">
            <v>7.92</v>
          </cell>
          <cell r="BB243">
            <v>8</v>
          </cell>
          <cell r="BC243">
            <v>0</v>
          </cell>
          <cell r="BD243">
            <v>0</v>
          </cell>
          <cell r="BE243">
            <v>0</v>
          </cell>
          <cell r="BG243">
            <v>7.92</v>
          </cell>
          <cell r="BI243">
            <v>0</v>
          </cell>
          <cell r="BJ243">
            <v>600</v>
          </cell>
          <cell r="BK243">
            <v>600</v>
          </cell>
          <cell r="BL243">
            <v>592</v>
          </cell>
          <cell r="BM243">
            <v>0</v>
          </cell>
          <cell r="BN243">
            <v>0</v>
          </cell>
          <cell r="BO243">
            <v>0</v>
          </cell>
          <cell r="BP243">
            <v>592</v>
          </cell>
          <cell r="BQ243">
            <v>0</v>
          </cell>
          <cell r="BR243">
            <v>8</v>
          </cell>
          <cell r="BS243" t="str">
            <v>Y</v>
          </cell>
          <cell r="BT243">
            <v>1</v>
          </cell>
          <cell r="BU243">
            <v>1</v>
          </cell>
          <cell r="BV243" t="str">
            <v>N</v>
          </cell>
          <cell r="BW243">
            <v>0</v>
          </cell>
          <cell r="BX243">
            <v>0</v>
          </cell>
          <cell r="BY243">
            <v>2026</v>
          </cell>
          <cell r="BZ243" t="str">
            <v>-</v>
          </cell>
          <cell r="CA243" t="str">
            <v>-</v>
          </cell>
        </row>
        <row r="244">
          <cell r="A244" t="str">
            <v>Lucknow</v>
          </cell>
          <cell r="B244" t="str">
            <v>Mavericks</v>
          </cell>
          <cell r="C244" t="str">
            <v>Mid Level</v>
          </cell>
          <cell r="D244" t="str">
            <v>Mohammad Fakhrul</v>
          </cell>
          <cell r="E244" t="str">
            <v>-</v>
          </cell>
          <cell r="F244" t="str">
            <v>MSP</v>
          </cell>
          <cell r="H244" t="str">
            <v>Pass Through/MSP</v>
          </cell>
          <cell r="J244" t="str">
            <v>ACH</v>
          </cell>
          <cell r="L244" t="str">
            <v>New</v>
          </cell>
          <cell r="M244">
            <v>46112</v>
          </cell>
          <cell r="N244">
            <v>90</v>
          </cell>
          <cell r="P244">
            <v>46477</v>
          </cell>
          <cell r="Q244" t="str">
            <v>PLC-Passthrough</v>
          </cell>
          <cell r="R244" t="str">
            <v>Jaipal Kuchi</v>
          </cell>
          <cell r="S244" t="str">
            <v>Individual</v>
          </cell>
          <cell r="T244" t="str">
            <v>C2C</v>
          </cell>
          <cell r="U244" t="str">
            <v>CoForge</v>
          </cell>
          <cell r="V244">
            <v>74</v>
          </cell>
          <cell r="W244">
            <v>0</v>
          </cell>
          <cell r="X244" t="str">
            <v>USD</v>
          </cell>
          <cell r="Y244">
            <v>75</v>
          </cell>
          <cell r="Z244">
            <v>0</v>
          </cell>
          <cell r="AA244">
            <v>0</v>
          </cell>
          <cell r="AB244">
            <v>0</v>
          </cell>
          <cell r="AC244">
            <v>46127</v>
          </cell>
          <cell r="AD244">
            <v>22</v>
          </cell>
          <cell r="AE244">
            <v>46387</v>
          </cell>
          <cell r="AF244">
            <v>74</v>
          </cell>
          <cell r="AG244">
            <v>0</v>
          </cell>
          <cell r="AH244">
            <v>74</v>
          </cell>
          <cell r="AI244">
            <v>75</v>
          </cell>
          <cell r="AJ244">
            <v>0</v>
          </cell>
          <cell r="AK244">
            <v>0</v>
          </cell>
          <cell r="AL244">
            <v>1</v>
          </cell>
          <cell r="AM244">
            <v>0</v>
          </cell>
          <cell r="AN244">
            <v>1</v>
          </cell>
          <cell r="AO244">
            <v>0</v>
          </cell>
          <cell r="AP244">
            <v>1</v>
          </cell>
          <cell r="AQ244" t="str">
            <v>US_CMSP_00730</v>
          </cell>
          <cell r="AR244">
            <v>0</v>
          </cell>
          <cell r="AS244">
            <v>163.32999999999998</v>
          </cell>
          <cell r="AU244">
            <v>163.32999999999998</v>
          </cell>
          <cell r="AV244">
            <v>0</v>
          </cell>
          <cell r="AW244">
            <v>163.32999999999998</v>
          </cell>
          <cell r="AX244">
            <v>161.69669999999999</v>
          </cell>
          <cell r="AY244">
            <v>0</v>
          </cell>
          <cell r="AZ244">
            <v>163.32999999999998</v>
          </cell>
          <cell r="BA244">
            <v>161.69669999999999</v>
          </cell>
          <cell r="BB244">
            <v>163.32999999999998</v>
          </cell>
          <cell r="BC244">
            <v>0</v>
          </cell>
          <cell r="BD244">
            <v>0</v>
          </cell>
          <cell r="BE244">
            <v>0</v>
          </cell>
          <cell r="BG244">
            <v>161.69669999999999</v>
          </cell>
          <cell r="BI244">
            <v>0</v>
          </cell>
          <cell r="BJ244">
            <v>12249.749999999998</v>
          </cell>
          <cell r="BK244">
            <v>12249.749999999998</v>
          </cell>
          <cell r="BL244">
            <v>12086.419999999998</v>
          </cell>
          <cell r="BM244">
            <v>0</v>
          </cell>
          <cell r="BN244">
            <v>0</v>
          </cell>
          <cell r="BO244">
            <v>0</v>
          </cell>
          <cell r="BP244">
            <v>12086.419999999998</v>
          </cell>
          <cell r="BQ244">
            <v>0</v>
          </cell>
          <cell r="BR244">
            <v>163.32999999999993</v>
          </cell>
          <cell r="BT244">
            <v>2</v>
          </cell>
          <cell r="BU244">
            <v>1</v>
          </cell>
          <cell r="BV244" t="str">
            <v>N</v>
          </cell>
          <cell r="BW244">
            <v>0</v>
          </cell>
          <cell r="BX244">
            <v>0</v>
          </cell>
          <cell r="BY244">
            <v>2026</v>
          </cell>
          <cell r="BZ244" t="str">
            <v>-</v>
          </cell>
          <cell r="CA244" t="str">
            <v>-</v>
          </cell>
        </row>
        <row r="245">
          <cell r="A245" t="str">
            <v>Lucknow</v>
          </cell>
          <cell r="B245" t="str">
            <v>Mavericks</v>
          </cell>
          <cell r="C245" t="str">
            <v>Mid Level</v>
          </cell>
          <cell r="D245" t="str">
            <v>Mohammad Fakhrul</v>
          </cell>
          <cell r="E245" t="str">
            <v>-</v>
          </cell>
          <cell r="F245" t="str">
            <v>MSP</v>
          </cell>
          <cell r="H245" t="str">
            <v>Pass Through/MSP</v>
          </cell>
          <cell r="J245" t="str">
            <v>ACH</v>
          </cell>
          <cell r="L245" t="str">
            <v>New</v>
          </cell>
          <cell r="M245">
            <v>46112</v>
          </cell>
          <cell r="N245">
            <v>90</v>
          </cell>
          <cell r="P245">
            <v>46477</v>
          </cell>
          <cell r="Q245" t="str">
            <v>PLC-Passthrough</v>
          </cell>
          <cell r="R245" t="str">
            <v>Jaipal Kuchi</v>
          </cell>
          <cell r="S245" t="str">
            <v>Individual</v>
          </cell>
          <cell r="T245" t="str">
            <v>C2C</v>
          </cell>
          <cell r="U245" t="str">
            <v>CoForge</v>
          </cell>
          <cell r="V245">
            <v>74</v>
          </cell>
          <cell r="W245">
            <v>0</v>
          </cell>
          <cell r="X245" t="str">
            <v>USD</v>
          </cell>
          <cell r="Y245">
            <v>75</v>
          </cell>
          <cell r="Z245">
            <v>0</v>
          </cell>
          <cell r="AA245">
            <v>0</v>
          </cell>
          <cell r="AB245">
            <v>0</v>
          </cell>
          <cell r="AC245">
            <v>46157</v>
          </cell>
          <cell r="AD245">
            <v>22</v>
          </cell>
          <cell r="AE245">
            <v>46387</v>
          </cell>
          <cell r="AF245">
            <v>74</v>
          </cell>
          <cell r="AG245">
            <v>0</v>
          </cell>
          <cell r="AH245">
            <v>74</v>
          </cell>
          <cell r="AI245">
            <v>75</v>
          </cell>
          <cell r="AJ245">
            <v>0</v>
          </cell>
          <cell r="AK245">
            <v>0</v>
          </cell>
          <cell r="AL245">
            <v>1</v>
          </cell>
          <cell r="AM245">
            <v>0</v>
          </cell>
          <cell r="AN245">
            <v>1</v>
          </cell>
          <cell r="AO245">
            <v>0</v>
          </cell>
          <cell r="AP245">
            <v>1</v>
          </cell>
          <cell r="AQ245" t="str">
            <v>US_CMSP_00872</v>
          </cell>
          <cell r="AR245">
            <v>0</v>
          </cell>
          <cell r="AS245">
            <v>163.32999999999998</v>
          </cell>
          <cell r="AU245">
            <v>163.32999999999998</v>
          </cell>
          <cell r="AV245">
            <v>0</v>
          </cell>
          <cell r="AW245">
            <v>163.32999999999998</v>
          </cell>
          <cell r="AX245">
            <v>161.69669999999999</v>
          </cell>
          <cell r="AY245">
            <v>0</v>
          </cell>
          <cell r="AZ245">
            <v>163.32999999999998</v>
          </cell>
          <cell r="BA245">
            <v>161.69669999999999</v>
          </cell>
          <cell r="BB245">
            <v>163.32999999999998</v>
          </cell>
          <cell r="BC245">
            <v>0</v>
          </cell>
          <cell r="BD245">
            <v>0</v>
          </cell>
          <cell r="BE245">
            <v>0</v>
          </cell>
          <cell r="BG245">
            <v>161.69669999999999</v>
          </cell>
          <cell r="BI245">
            <v>0</v>
          </cell>
          <cell r="BJ245">
            <v>12249.749999999998</v>
          </cell>
          <cell r="BK245">
            <v>12249.749999999998</v>
          </cell>
          <cell r="BL245">
            <v>12086.419999999998</v>
          </cell>
          <cell r="BM245">
            <v>0</v>
          </cell>
          <cell r="BN245">
            <v>0</v>
          </cell>
          <cell r="BO245">
            <v>0</v>
          </cell>
          <cell r="BP245">
            <v>12086.419999999998</v>
          </cell>
          <cell r="BQ245">
            <v>0</v>
          </cell>
          <cell r="BR245">
            <v>163.32999999999993</v>
          </cell>
          <cell r="BT245">
            <v>2</v>
          </cell>
          <cell r="BU245">
            <v>1</v>
          </cell>
          <cell r="BV245" t="str">
            <v>N</v>
          </cell>
          <cell r="BW245">
            <v>0</v>
          </cell>
          <cell r="BX245">
            <v>0</v>
          </cell>
          <cell r="BY245">
            <v>2026</v>
          </cell>
          <cell r="BZ245" t="str">
            <v>-</v>
          </cell>
          <cell r="CA245" t="str">
            <v>-</v>
          </cell>
        </row>
        <row r="246">
          <cell r="A246" t="str">
            <v>Lucknow</v>
          </cell>
          <cell r="B246" t="str">
            <v>Rpo</v>
          </cell>
          <cell r="C246" t="str">
            <v>Mid Level</v>
          </cell>
          <cell r="D246" t="str">
            <v>Ankit Pandey</v>
          </cell>
          <cell r="E246" t="str">
            <v>-</v>
          </cell>
          <cell r="F246" t="str">
            <v>Non-MSP</v>
          </cell>
          <cell r="H246" t="str">
            <v>Rishabh Singh RPO</v>
          </cell>
          <cell r="K246" t="str">
            <v>Sagar Chandani</v>
          </cell>
          <cell r="L246" t="str">
            <v>New</v>
          </cell>
          <cell r="M246">
            <v>46104</v>
          </cell>
          <cell r="N246">
            <v>98</v>
          </cell>
          <cell r="P246">
            <v>46469</v>
          </cell>
          <cell r="Q246" t="str">
            <v>PLC-4799</v>
          </cell>
          <cell r="R246" t="str">
            <v>Jan Bryan Martirez</v>
          </cell>
          <cell r="S246" t="str">
            <v>Individual</v>
          </cell>
          <cell r="T246" t="str">
            <v>FTE</v>
          </cell>
          <cell r="U246" t="str">
            <v>Myridius</v>
          </cell>
          <cell r="V246">
            <v>0</v>
          </cell>
          <cell r="W246">
            <v>0</v>
          </cell>
          <cell r="X246" t="str">
            <v>USD</v>
          </cell>
          <cell r="Y246">
            <v>5000</v>
          </cell>
          <cell r="Z246">
            <v>0</v>
          </cell>
          <cell r="AA246">
            <v>0</v>
          </cell>
          <cell r="AB246">
            <v>0</v>
          </cell>
          <cell r="AC246">
            <v>46096</v>
          </cell>
          <cell r="AD246">
            <v>1</v>
          </cell>
          <cell r="AE246">
            <v>46387</v>
          </cell>
          <cell r="AF246">
            <v>0</v>
          </cell>
          <cell r="AG246">
            <v>0</v>
          </cell>
          <cell r="AH246">
            <v>0</v>
          </cell>
          <cell r="AI246">
            <v>5000</v>
          </cell>
          <cell r="AJ246">
            <v>0</v>
          </cell>
          <cell r="AK246">
            <v>0</v>
          </cell>
          <cell r="AL246">
            <v>5000</v>
          </cell>
          <cell r="AM246">
            <v>0</v>
          </cell>
          <cell r="AN246">
            <v>5000</v>
          </cell>
          <cell r="AO246">
            <v>0</v>
          </cell>
          <cell r="AP246">
            <v>5000</v>
          </cell>
          <cell r="AQ246" t="str">
            <v>US_272011</v>
          </cell>
          <cell r="AR246">
            <v>0</v>
          </cell>
          <cell r="AS246">
            <v>1</v>
          </cell>
          <cell r="AU246">
            <v>1</v>
          </cell>
          <cell r="AV246">
            <v>0</v>
          </cell>
          <cell r="AW246">
            <v>5000</v>
          </cell>
          <cell r="AX246">
            <v>5000</v>
          </cell>
          <cell r="AY246">
            <v>0</v>
          </cell>
          <cell r="AZ246">
            <v>5000</v>
          </cell>
          <cell r="BA246">
            <v>5000</v>
          </cell>
          <cell r="BB246">
            <v>5000</v>
          </cell>
          <cell r="BC246">
            <v>0</v>
          </cell>
          <cell r="BD246">
            <v>0</v>
          </cell>
          <cell r="BE246">
            <v>0</v>
          </cell>
          <cell r="BG246">
            <v>5000</v>
          </cell>
          <cell r="BI246">
            <v>5000</v>
          </cell>
          <cell r="BJ246">
            <v>5000</v>
          </cell>
          <cell r="BK246">
            <v>5000</v>
          </cell>
          <cell r="BL246">
            <v>0</v>
          </cell>
          <cell r="BM246">
            <v>0</v>
          </cell>
          <cell r="BN246">
            <v>0</v>
          </cell>
          <cell r="BO246">
            <v>0</v>
          </cell>
          <cell r="BP246">
            <v>0</v>
          </cell>
          <cell r="BQ246">
            <v>0</v>
          </cell>
          <cell r="BR246">
            <v>5000</v>
          </cell>
          <cell r="BS246" t="str">
            <v>Y</v>
          </cell>
          <cell r="BT246">
            <v>1</v>
          </cell>
          <cell r="BU246">
            <v>1</v>
          </cell>
          <cell r="BV246" t="str">
            <v>N</v>
          </cell>
          <cell r="BW246">
            <v>0</v>
          </cell>
          <cell r="BX246">
            <v>0</v>
          </cell>
          <cell r="BY246">
            <v>2026</v>
          </cell>
          <cell r="BZ246" t="str">
            <v>-</v>
          </cell>
          <cell r="CA246" t="str">
            <v>-</v>
          </cell>
        </row>
        <row r="247">
          <cell r="A247" t="str">
            <v>Lucknow</v>
          </cell>
          <cell r="B247" t="str">
            <v>Mavericks</v>
          </cell>
          <cell r="C247" t="str">
            <v>Mid Level</v>
          </cell>
          <cell r="D247" t="str">
            <v>Mohammad Fakhrul</v>
          </cell>
          <cell r="F247" t="str">
            <v>MSP</v>
          </cell>
          <cell r="H247" t="str">
            <v>Pass Through</v>
          </cell>
          <cell r="J247" t="str">
            <v>ACH</v>
          </cell>
          <cell r="L247" t="str">
            <v>New</v>
          </cell>
          <cell r="M247">
            <v>46146</v>
          </cell>
          <cell r="N247">
            <v>56</v>
          </cell>
          <cell r="P247">
            <v>46511</v>
          </cell>
          <cell r="R247" t="str">
            <v>Jaskaran Singh</v>
          </cell>
          <cell r="S247" t="str">
            <v>Individual</v>
          </cell>
          <cell r="T247" t="str">
            <v>C2C</v>
          </cell>
          <cell r="U247" t="str">
            <v>CoForge</v>
          </cell>
          <cell r="V247">
            <v>153</v>
          </cell>
          <cell r="W247">
            <v>0</v>
          </cell>
          <cell r="X247" t="str">
            <v>USD</v>
          </cell>
          <cell r="Y247">
            <v>155</v>
          </cell>
          <cell r="Z247">
            <v>0</v>
          </cell>
          <cell r="AA247">
            <v>0</v>
          </cell>
          <cell r="AB247">
            <v>0</v>
          </cell>
          <cell r="AC247">
            <v>46157</v>
          </cell>
          <cell r="AD247">
            <v>20</v>
          </cell>
          <cell r="AE247">
            <v>46387</v>
          </cell>
          <cell r="AF247">
            <v>153</v>
          </cell>
          <cell r="AG247">
            <v>0</v>
          </cell>
          <cell r="AH247">
            <v>153</v>
          </cell>
          <cell r="AI247">
            <v>155</v>
          </cell>
          <cell r="AJ247">
            <v>0</v>
          </cell>
          <cell r="AK247">
            <v>0</v>
          </cell>
          <cell r="AL247">
            <v>2</v>
          </cell>
          <cell r="AM247">
            <v>0</v>
          </cell>
          <cell r="AN247">
            <v>2</v>
          </cell>
          <cell r="AO247">
            <v>0</v>
          </cell>
          <cell r="AP247">
            <v>2</v>
          </cell>
          <cell r="AQ247" t="str">
            <v>US_CMSP_00888</v>
          </cell>
          <cell r="AR247">
            <v>0</v>
          </cell>
          <cell r="AS247">
            <v>76</v>
          </cell>
          <cell r="AU247">
            <v>76</v>
          </cell>
          <cell r="AV247">
            <v>0</v>
          </cell>
          <cell r="AW247">
            <v>152</v>
          </cell>
          <cell r="AX247">
            <v>150.47999999999999</v>
          </cell>
          <cell r="AY247">
            <v>0</v>
          </cell>
          <cell r="AZ247">
            <v>152</v>
          </cell>
          <cell r="BA247">
            <v>150.47999999999999</v>
          </cell>
          <cell r="BB247">
            <v>152</v>
          </cell>
          <cell r="BC247">
            <v>0</v>
          </cell>
          <cell r="BD247">
            <v>0</v>
          </cell>
          <cell r="BE247">
            <v>0</v>
          </cell>
          <cell r="BG247">
            <v>150.47999999999999</v>
          </cell>
          <cell r="BI247">
            <v>0</v>
          </cell>
          <cell r="BJ247">
            <v>11780</v>
          </cell>
          <cell r="BK247">
            <v>11780</v>
          </cell>
          <cell r="BL247">
            <v>11628</v>
          </cell>
          <cell r="BM247">
            <v>0</v>
          </cell>
          <cell r="BN247">
            <v>0</v>
          </cell>
          <cell r="BO247">
            <v>0</v>
          </cell>
          <cell r="BP247">
            <v>11628</v>
          </cell>
          <cell r="BQ247">
            <v>0</v>
          </cell>
          <cell r="BR247">
            <v>152</v>
          </cell>
          <cell r="BT247">
            <v>2</v>
          </cell>
          <cell r="BU247">
            <v>2</v>
          </cell>
          <cell r="BV247" t="str">
            <v>Y</v>
          </cell>
          <cell r="BW247">
            <v>0</v>
          </cell>
          <cell r="BX247">
            <v>0</v>
          </cell>
          <cell r="BY247">
            <v>2026</v>
          </cell>
          <cell r="BZ247" t="str">
            <v>-</v>
          </cell>
          <cell r="CA247" t="str">
            <v>-</v>
          </cell>
        </row>
        <row r="248">
          <cell r="A248" t="str">
            <v>Lucknow</v>
          </cell>
          <cell r="B248" t="str">
            <v>Mavericks</v>
          </cell>
          <cell r="C248" t="str">
            <v>Mid Level</v>
          </cell>
          <cell r="D248" t="str">
            <v>Kashif Nabi</v>
          </cell>
          <cell r="E248" t="str">
            <v>Mohammad Tariq</v>
          </cell>
          <cell r="F248" t="str">
            <v>Non-MSP</v>
          </cell>
          <cell r="H248" t="str">
            <v>Arpit Gupta</v>
          </cell>
          <cell r="L248" t="str">
            <v>New</v>
          </cell>
          <cell r="M248">
            <v>46038</v>
          </cell>
          <cell r="N248">
            <v>164</v>
          </cell>
          <cell r="O248">
            <v>46094</v>
          </cell>
          <cell r="P248">
            <v>46403</v>
          </cell>
          <cell r="Q248" t="str">
            <v>PLC-4469</v>
          </cell>
          <cell r="R248" t="str">
            <v>Jatin Mohan Arora</v>
          </cell>
          <cell r="S248" t="str">
            <v>Individual</v>
          </cell>
          <cell r="T248" t="str">
            <v>C2C Canada</v>
          </cell>
          <cell r="U248" t="str">
            <v>Genpact</v>
          </cell>
          <cell r="V248">
            <v>85</v>
          </cell>
          <cell r="W248">
            <v>0</v>
          </cell>
          <cell r="X248" t="str">
            <v>CAD</v>
          </cell>
          <cell r="Y248">
            <v>105</v>
          </cell>
          <cell r="Z248">
            <v>0</v>
          </cell>
          <cell r="AA248">
            <v>0</v>
          </cell>
          <cell r="AB248">
            <v>0</v>
          </cell>
          <cell r="AC248">
            <v>46037</v>
          </cell>
          <cell r="AD248">
            <v>11</v>
          </cell>
          <cell r="AE248">
            <v>46387</v>
          </cell>
          <cell r="AF248">
            <v>60.349999999999994</v>
          </cell>
          <cell r="AG248">
            <v>0</v>
          </cell>
          <cell r="AH248">
            <v>60.349999999999994</v>
          </cell>
          <cell r="AI248">
            <v>74.55</v>
          </cell>
          <cell r="AJ248">
            <v>0</v>
          </cell>
          <cell r="AK248">
            <v>0</v>
          </cell>
          <cell r="AL248">
            <v>14.200000000000003</v>
          </cell>
          <cell r="AM248">
            <v>0</v>
          </cell>
          <cell r="AN248">
            <v>14.200000000000003</v>
          </cell>
          <cell r="AO248">
            <v>0</v>
          </cell>
          <cell r="AP248">
            <v>14.200000000000003</v>
          </cell>
          <cell r="AQ248" t="str">
            <v>CAD_1939</v>
          </cell>
          <cell r="AR248">
            <v>0</v>
          </cell>
          <cell r="AS248">
            <v>88</v>
          </cell>
          <cell r="AU248">
            <v>88</v>
          </cell>
          <cell r="AV248">
            <v>0</v>
          </cell>
          <cell r="AW248">
            <v>1249.6000000000004</v>
          </cell>
          <cell r="AX248">
            <v>1249.6000000000004</v>
          </cell>
          <cell r="AY248">
            <v>0</v>
          </cell>
          <cell r="AZ248">
            <v>1249.6000000000004</v>
          </cell>
          <cell r="BA248">
            <v>1249.6000000000004</v>
          </cell>
          <cell r="BB248">
            <v>1249.6000000000004</v>
          </cell>
          <cell r="BC248">
            <v>0</v>
          </cell>
          <cell r="BD248">
            <v>0</v>
          </cell>
          <cell r="BE248">
            <v>0</v>
          </cell>
          <cell r="BG248">
            <v>1249.6000000000004</v>
          </cell>
          <cell r="BI248">
            <v>1249.6000000000004</v>
          </cell>
          <cell r="BJ248">
            <v>9240</v>
          </cell>
          <cell r="BK248">
            <v>6560.4</v>
          </cell>
          <cell r="BL248">
            <v>5541.9319999999998</v>
          </cell>
          <cell r="BM248">
            <v>0</v>
          </cell>
          <cell r="BN248">
            <v>0</v>
          </cell>
          <cell r="BO248">
            <v>0</v>
          </cell>
          <cell r="BP248">
            <v>5541.9319999999998</v>
          </cell>
          <cell r="BQ248">
            <v>0</v>
          </cell>
          <cell r="BR248">
            <v>1018.4679999999998</v>
          </cell>
          <cell r="BS248" t="str">
            <v>Y</v>
          </cell>
          <cell r="BT248">
            <v>1</v>
          </cell>
          <cell r="BU248">
            <v>1</v>
          </cell>
          <cell r="BV248" t="str">
            <v>N</v>
          </cell>
          <cell r="BW248">
            <v>0</v>
          </cell>
          <cell r="BX248">
            <v>0</v>
          </cell>
          <cell r="BY248">
            <v>2026</v>
          </cell>
          <cell r="BZ248" t="str">
            <v>-</v>
          </cell>
          <cell r="CA248" t="str">
            <v>-</v>
          </cell>
        </row>
        <row r="249">
          <cell r="A249" t="str">
            <v>Lucknow</v>
          </cell>
          <cell r="B249" t="str">
            <v>Mavericks</v>
          </cell>
          <cell r="C249" t="str">
            <v>Mid Level</v>
          </cell>
          <cell r="D249" t="str">
            <v>Kashif Nabi</v>
          </cell>
          <cell r="E249" t="str">
            <v>Mohammad Tariq</v>
          </cell>
          <cell r="F249" t="str">
            <v>Non-MSP</v>
          </cell>
          <cell r="H249" t="str">
            <v>Arpit Gupta</v>
          </cell>
          <cell r="L249" t="str">
            <v>New</v>
          </cell>
          <cell r="M249">
            <v>46038</v>
          </cell>
          <cell r="N249">
            <v>164</v>
          </cell>
          <cell r="O249">
            <v>46094</v>
          </cell>
          <cell r="P249">
            <v>46403</v>
          </cell>
          <cell r="Q249" t="str">
            <v>PLC-4469</v>
          </cell>
          <cell r="R249" t="str">
            <v>Jatin Mohan Arora</v>
          </cell>
          <cell r="S249" t="str">
            <v>Individual</v>
          </cell>
          <cell r="T249" t="str">
            <v>C2C Canada</v>
          </cell>
          <cell r="U249" t="str">
            <v>Genpact</v>
          </cell>
          <cell r="V249">
            <v>85</v>
          </cell>
          <cell r="W249">
            <v>0</v>
          </cell>
          <cell r="X249" t="str">
            <v>CAD</v>
          </cell>
          <cell r="Y249">
            <v>105</v>
          </cell>
          <cell r="Z249">
            <v>0</v>
          </cell>
          <cell r="AA249">
            <v>0</v>
          </cell>
          <cell r="AB249">
            <v>0</v>
          </cell>
          <cell r="AC249">
            <v>46068</v>
          </cell>
          <cell r="AD249">
            <v>20</v>
          </cell>
          <cell r="AE249">
            <v>46387</v>
          </cell>
          <cell r="AF249">
            <v>60.349999999999994</v>
          </cell>
          <cell r="AG249">
            <v>0</v>
          </cell>
          <cell r="AH249">
            <v>60.349999999999994</v>
          </cell>
          <cell r="AI249">
            <v>74.55</v>
          </cell>
          <cell r="AJ249">
            <v>0</v>
          </cell>
          <cell r="AK249">
            <v>0</v>
          </cell>
          <cell r="AL249">
            <v>14.200000000000003</v>
          </cell>
          <cell r="AM249">
            <v>0</v>
          </cell>
          <cell r="AN249">
            <v>14.200000000000003</v>
          </cell>
          <cell r="AO249">
            <v>0</v>
          </cell>
          <cell r="AP249">
            <v>14.200000000000003</v>
          </cell>
          <cell r="AQ249" t="str">
            <v>CAD_1969</v>
          </cell>
          <cell r="AR249">
            <v>0</v>
          </cell>
          <cell r="AS249">
            <v>152</v>
          </cell>
          <cell r="AU249">
            <v>152</v>
          </cell>
          <cell r="AV249">
            <v>0</v>
          </cell>
          <cell r="AW249">
            <v>2158.4000000000005</v>
          </cell>
          <cell r="AX249">
            <v>2158.4000000000005</v>
          </cell>
          <cell r="AY249">
            <v>0</v>
          </cell>
          <cell r="AZ249">
            <v>2158.4000000000005</v>
          </cell>
          <cell r="BA249">
            <v>2158.4000000000005</v>
          </cell>
          <cell r="BB249">
            <v>2158.4000000000005</v>
          </cell>
          <cell r="BC249">
            <v>0</v>
          </cell>
          <cell r="BD249">
            <v>0</v>
          </cell>
          <cell r="BE249">
            <v>0</v>
          </cell>
          <cell r="BG249">
            <v>2158.4000000000005</v>
          </cell>
          <cell r="BI249">
            <v>2158.4000000000005</v>
          </cell>
          <cell r="BJ249">
            <v>15960</v>
          </cell>
          <cell r="BK249">
            <v>11331.6</v>
          </cell>
          <cell r="BL249">
            <v>9572.4279999999999</v>
          </cell>
          <cell r="BM249">
            <v>0</v>
          </cell>
          <cell r="BN249">
            <v>0</v>
          </cell>
          <cell r="BO249">
            <v>0</v>
          </cell>
          <cell r="BP249">
            <v>9572.4279999999999</v>
          </cell>
          <cell r="BQ249">
            <v>0</v>
          </cell>
          <cell r="BR249">
            <v>1759.1720000000005</v>
          </cell>
          <cell r="BS249" t="str">
            <v>Y</v>
          </cell>
          <cell r="BT249">
            <v>1</v>
          </cell>
          <cell r="BU249">
            <v>1</v>
          </cell>
          <cell r="BV249" t="str">
            <v>N</v>
          </cell>
          <cell r="BW249">
            <v>0</v>
          </cell>
          <cell r="BX249">
            <v>0</v>
          </cell>
          <cell r="BY249">
            <v>2026</v>
          </cell>
          <cell r="BZ249" t="str">
            <v>-</v>
          </cell>
          <cell r="CA249" t="str">
            <v>-</v>
          </cell>
        </row>
        <row r="250">
          <cell r="A250" t="str">
            <v>Lucknow</v>
          </cell>
          <cell r="B250" t="str">
            <v>Mavericks</v>
          </cell>
          <cell r="C250" t="str">
            <v>Mid Level</v>
          </cell>
          <cell r="D250" t="str">
            <v>Kashif Nabi</v>
          </cell>
          <cell r="E250" t="str">
            <v>Mohammad Tariq</v>
          </cell>
          <cell r="F250" t="str">
            <v>Non-MSP</v>
          </cell>
          <cell r="H250" t="str">
            <v>Arpit Gupta</v>
          </cell>
          <cell r="L250" t="str">
            <v>New</v>
          </cell>
          <cell r="M250">
            <v>46038</v>
          </cell>
          <cell r="N250">
            <v>164</v>
          </cell>
          <cell r="O250">
            <v>46094</v>
          </cell>
          <cell r="P250">
            <v>46403</v>
          </cell>
          <cell r="Q250" t="str">
            <v>PLC-4469</v>
          </cell>
          <cell r="R250" t="str">
            <v>Jatin Mohan Arora</v>
          </cell>
          <cell r="S250" t="str">
            <v>Individual</v>
          </cell>
          <cell r="T250" t="str">
            <v>C2C Canada</v>
          </cell>
          <cell r="U250" t="str">
            <v>Genpact</v>
          </cell>
          <cell r="V250">
            <v>85</v>
          </cell>
          <cell r="W250">
            <v>0</v>
          </cell>
          <cell r="X250" t="str">
            <v>CAD</v>
          </cell>
          <cell r="Y250">
            <v>105</v>
          </cell>
          <cell r="Z250">
            <v>0</v>
          </cell>
          <cell r="AA250">
            <v>0</v>
          </cell>
          <cell r="AB250">
            <v>0</v>
          </cell>
          <cell r="AC250">
            <v>46096</v>
          </cell>
          <cell r="AD250">
            <v>22</v>
          </cell>
          <cell r="AE250">
            <v>46387</v>
          </cell>
          <cell r="AF250">
            <v>60.349999999999994</v>
          </cell>
          <cell r="AG250">
            <v>0</v>
          </cell>
          <cell r="AH250">
            <v>60.349999999999994</v>
          </cell>
          <cell r="AI250">
            <v>74.55</v>
          </cell>
          <cell r="AJ250">
            <v>0</v>
          </cell>
          <cell r="AK250">
            <v>0</v>
          </cell>
          <cell r="AL250">
            <v>14.200000000000003</v>
          </cell>
          <cell r="AM250">
            <v>0</v>
          </cell>
          <cell r="AN250">
            <v>14.200000000000003</v>
          </cell>
          <cell r="AO250">
            <v>0</v>
          </cell>
          <cell r="AP250">
            <v>14.200000000000003</v>
          </cell>
          <cell r="AQ250" t="str">
            <v>CAD_2055</v>
          </cell>
          <cell r="AR250">
            <v>0</v>
          </cell>
          <cell r="AS250">
            <v>80</v>
          </cell>
          <cell r="AU250">
            <v>80</v>
          </cell>
          <cell r="AV250">
            <v>0</v>
          </cell>
          <cell r="AW250">
            <v>1136.0000000000002</v>
          </cell>
          <cell r="AX250">
            <v>1136.0000000000002</v>
          </cell>
          <cell r="AY250">
            <v>0</v>
          </cell>
          <cell r="AZ250">
            <v>1136.0000000000002</v>
          </cell>
          <cell r="BA250">
            <v>1136.0000000000002</v>
          </cell>
          <cell r="BB250">
            <v>1136.0000000000002</v>
          </cell>
          <cell r="BC250">
            <v>0</v>
          </cell>
          <cell r="BD250">
            <v>0</v>
          </cell>
          <cell r="BE250">
            <v>0</v>
          </cell>
          <cell r="BG250">
            <v>1136.0000000000002</v>
          </cell>
          <cell r="BI250">
            <v>1136.0000000000002</v>
          </cell>
          <cell r="BJ250">
            <v>8400</v>
          </cell>
          <cell r="BK250">
            <v>5964</v>
          </cell>
          <cell r="BL250">
            <v>5038.12</v>
          </cell>
          <cell r="BM250">
            <v>0</v>
          </cell>
          <cell r="BN250">
            <v>0</v>
          </cell>
          <cell r="BO250">
            <v>0</v>
          </cell>
          <cell r="BP250">
            <v>5038.12</v>
          </cell>
          <cell r="BQ250">
            <v>0</v>
          </cell>
          <cell r="BR250">
            <v>925.88000000000011</v>
          </cell>
          <cell r="BS250" t="str">
            <v>Y</v>
          </cell>
          <cell r="BT250">
            <v>1</v>
          </cell>
          <cell r="BU250">
            <v>1</v>
          </cell>
          <cell r="BV250" t="str">
            <v>N</v>
          </cell>
          <cell r="BW250">
            <v>0</v>
          </cell>
          <cell r="BX250">
            <v>0</v>
          </cell>
          <cell r="BY250">
            <v>2026</v>
          </cell>
          <cell r="BZ250" t="str">
            <v>-</v>
          </cell>
          <cell r="CA250" t="str">
            <v>-</v>
          </cell>
        </row>
        <row r="251">
          <cell r="A251" t="str">
            <v>Lucknow</v>
          </cell>
          <cell r="B251" t="str">
            <v>Mavericks</v>
          </cell>
          <cell r="C251" t="str">
            <v>Mid Level</v>
          </cell>
          <cell r="D251" t="str">
            <v>Mohammad Fakhrul</v>
          </cell>
          <cell r="E251" t="str">
            <v>-</v>
          </cell>
          <cell r="F251" t="str">
            <v>MSP</v>
          </cell>
          <cell r="H251" t="str">
            <v>Pass Through/MSP</v>
          </cell>
          <cell r="L251" t="str">
            <v>New</v>
          </cell>
          <cell r="M251">
            <v>46093</v>
          </cell>
          <cell r="N251">
            <v>109</v>
          </cell>
          <cell r="P251">
            <v>46458</v>
          </cell>
          <cell r="Q251" t="str">
            <v>PLC-Passthrough</v>
          </cell>
          <cell r="R251" t="str">
            <v>Jaya Chandra Vytla</v>
          </cell>
          <cell r="S251" t="str">
            <v>Individual</v>
          </cell>
          <cell r="T251" t="str">
            <v>C2C</v>
          </cell>
          <cell r="U251" t="str">
            <v>CoForge</v>
          </cell>
          <cell r="V251">
            <v>85</v>
          </cell>
          <cell r="W251">
            <v>0</v>
          </cell>
          <cell r="X251" t="str">
            <v>USD</v>
          </cell>
          <cell r="Y251">
            <v>86</v>
          </cell>
          <cell r="Z251">
            <v>0</v>
          </cell>
          <cell r="AA251">
            <v>0</v>
          </cell>
          <cell r="AB251">
            <v>0</v>
          </cell>
          <cell r="AC251">
            <v>46096</v>
          </cell>
          <cell r="AD251">
            <v>14</v>
          </cell>
          <cell r="AE251">
            <v>46387</v>
          </cell>
          <cell r="AF251">
            <v>85</v>
          </cell>
          <cell r="AG251">
            <v>0</v>
          </cell>
          <cell r="AH251">
            <v>85</v>
          </cell>
          <cell r="AI251">
            <v>86</v>
          </cell>
          <cell r="AJ251">
            <v>0</v>
          </cell>
          <cell r="AK251">
            <v>0</v>
          </cell>
          <cell r="AL251">
            <v>1</v>
          </cell>
          <cell r="AM251">
            <v>0</v>
          </cell>
          <cell r="AN251">
            <v>1</v>
          </cell>
          <cell r="AO251">
            <v>0</v>
          </cell>
          <cell r="AP251">
            <v>1</v>
          </cell>
          <cell r="AQ251" t="str">
            <v>US_CMSP_00582</v>
          </cell>
          <cell r="AR251">
            <v>0</v>
          </cell>
          <cell r="AS251">
            <v>96</v>
          </cell>
          <cell r="AU251">
            <v>96</v>
          </cell>
          <cell r="AV251">
            <v>0</v>
          </cell>
          <cell r="AW251">
            <v>96</v>
          </cell>
          <cell r="AX251">
            <v>96</v>
          </cell>
          <cell r="AY251">
            <v>0</v>
          </cell>
          <cell r="AZ251">
            <v>96</v>
          </cell>
          <cell r="BA251">
            <v>96</v>
          </cell>
          <cell r="BB251">
            <v>96</v>
          </cell>
          <cell r="BC251">
            <v>0</v>
          </cell>
          <cell r="BD251">
            <v>0</v>
          </cell>
          <cell r="BE251">
            <v>0</v>
          </cell>
          <cell r="BG251">
            <v>96</v>
          </cell>
          <cell r="BI251">
            <v>96</v>
          </cell>
          <cell r="BJ251">
            <v>8256</v>
          </cell>
          <cell r="BK251">
            <v>8256</v>
          </cell>
          <cell r="BL251">
            <v>8160</v>
          </cell>
          <cell r="BM251">
            <v>0</v>
          </cell>
          <cell r="BN251">
            <v>0</v>
          </cell>
          <cell r="BO251">
            <v>0</v>
          </cell>
          <cell r="BP251">
            <v>8160</v>
          </cell>
          <cell r="BQ251">
            <v>0</v>
          </cell>
          <cell r="BR251">
            <v>96</v>
          </cell>
          <cell r="BS251" t="str">
            <v>Y</v>
          </cell>
          <cell r="BT251">
            <v>1</v>
          </cell>
          <cell r="BU251">
            <v>1</v>
          </cell>
          <cell r="BV251" t="str">
            <v>N</v>
          </cell>
          <cell r="BW251">
            <v>0</v>
          </cell>
          <cell r="BX251">
            <v>0</v>
          </cell>
          <cell r="BY251">
            <v>2026</v>
          </cell>
          <cell r="BZ251" t="str">
            <v>-</v>
          </cell>
          <cell r="CA251" t="str">
            <v>-</v>
          </cell>
        </row>
        <row r="252">
          <cell r="A252" t="str">
            <v>Lucknow</v>
          </cell>
          <cell r="B252" t="str">
            <v>Mavericks</v>
          </cell>
          <cell r="C252" t="str">
            <v>Mid Level</v>
          </cell>
          <cell r="D252" t="str">
            <v>Mohammad Fakhrul</v>
          </cell>
          <cell r="E252" t="str">
            <v>-</v>
          </cell>
          <cell r="F252" t="str">
            <v>MSP</v>
          </cell>
          <cell r="H252" t="str">
            <v>Pass Through/MSP</v>
          </cell>
          <cell r="J252" t="str">
            <v>ACH</v>
          </cell>
          <cell r="L252" t="str">
            <v>New</v>
          </cell>
          <cell r="M252">
            <v>46093</v>
          </cell>
          <cell r="N252">
            <v>109</v>
          </cell>
          <cell r="P252">
            <v>46458</v>
          </cell>
          <cell r="Q252" t="str">
            <v>PLC-Passthrough</v>
          </cell>
          <cell r="R252" t="str">
            <v>Jaya Chandra Vytla</v>
          </cell>
          <cell r="S252" t="str">
            <v>Individual</v>
          </cell>
          <cell r="T252" t="str">
            <v>C2C</v>
          </cell>
          <cell r="U252" t="str">
            <v>CoForge</v>
          </cell>
          <cell r="V252">
            <v>85</v>
          </cell>
          <cell r="W252">
            <v>0</v>
          </cell>
          <cell r="X252" t="str">
            <v>USD</v>
          </cell>
          <cell r="Y252">
            <v>86</v>
          </cell>
          <cell r="Z252">
            <v>0</v>
          </cell>
          <cell r="AA252">
            <v>0</v>
          </cell>
          <cell r="AB252">
            <v>0</v>
          </cell>
          <cell r="AC252">
            <v>46127</v>
          </cell>
          <cell r="AD252">
            <v>22</v>
          </cell>
          <cell r="AE252">
            <v>46387</v>
          </cell>
          <cell r="AF252">
            <v>85</v>
          </cell>
          <cell r="AG252">
            <v>0</v>
          </cell>
          <cell r="AH252">
            <v>85</v>
          </cell>
          <cell r="AI252">
            <v>86</v>
          </cell>
          <cell r="AJ252">
            <v>0</v>
          </cell>
          <cell r="AK252">
            <v>0</v>
          </cell>
          <cell r="AL252">
            <v>1</v>
          </cell>
          <cell r="AM252">
            <v>0</v>
          </cell>
          <cell r="AN252">
            <v>1</v>
          </cell>
          <cell r="AO252">
            <v>0</v>
          </cell>
          <cell r="AP252">
            <v>1</v>
          </cell>
          <cell r="AQ252" t="str">
            <v>US_CMSP_00723</v>
          </cell>
          <cell r="AR252">
            <v>0</v>
          </cell>
          <cell r="AS252">
            <v>176</v>
          </cell>
          <cell r="AU252">
            <v>176</v>
          </cell>
          <cell r="AV252">
            <v>0</v>
          </cell>
          <cell r="AW252">
            <v>176</v>
          </cell>
          <cell r="AX252">
            <v>174.24</v>
          </cell>
          <cell r="AY252">
            <v>0</v>
          </cell>
          <cell r="AZ252">
            <v>176</v>
          </cell>
          <cell r="BA252">
            <v>174.24</v>
          </cell>
          <cell r="BB252">
            <v>176</v>
          </cell>
          <cell r="BC252">
            <v>0</v>
          </cell>
          <cell r="BD252">
            <v>0</v>
          </cell>
          <cell r="BE252">
            <v>0</v>
          </cell>
          <cell r="BG252">
            <v>174.24</v>
          </cell>
          <cell r="BI252">
            <v>174.24</v>
          </cell>
          <cell r="BJ252">
            <v>15136</v>
          </cell>
          <cell r="BK252">
            <v>15136</v>
          </cell>
          <cell r="BL252">
            <v>14960</v>
          </cell>
          <cell r="BM252">
            <v>0</v>
          </cell>
          <cell r="BN252">
            <v>0</v>
          </cell>
          <cell r="BO252">
            <v>0</v>
          </cell>
          <cell r="BP252">
            <v>14960</v>
          </cell>
          <cell r="BQ252">
            <v>0</v>
          </cell>
          <cell r="BR252">
            <v>176</v>
          </cell>
          <cell r="BT252">
            <v>2</v>
          </cell>
          <cell r="BU252">
            <v>1</v>
          </cell>
          <cell r="BV252" t="str">
            <v>N</v>
          </cell>
          <cell r="BW252">
            <v>0</v>
          </cell>
          <cell r="BX252">
            <v>0</v>
          </cell>
          <cell r="BY252">
            <v>2026</v>
          </cell>
          <cell r="BZ252" t="str">
            <v>-</v>
          </cell>
          <cell r="CA252" t="str">
            <v>-</v>
          </cell>
        </row>
        <row r="253">
          <cell r="A253" t="str">
            <v>Lucknow</v>
          </cell>
          <cell r="B253" t="str">
            <v>Mavericks</v>
          </cell>
          <cell r="C253" t="str">
            <v>Mid Level</v>
          </cell>
          <cell r="D253" t="str">
            <v>Mohammad Fakhrul</v>
          </cell>
          <cell r="E253" t="str">
            <v>-</v>
          </cell>
          <cell r="F253" t="str">
            <v>MSP</v>
          </cell>
          <cell r="H253" t="str">
            <v>Pass Through/MSP</v>
          </cell>
          <cell r="J253" t="str">
            <v>ACH</v>
          </cell>
          <cell r="L253" t="str">
            <v>New</v>
          </cell>
          <cell r="M253">
            <v>46093</v>
          </cell>
          <cell r="N253">
            <v>109</v>
          </cell>
          <cell r="P253">
            <v>46458</v>
          </cell>
          <cell r="Q253" t="str">
            <v>PLC-Passthrough</v>
          </cell>
          <cell r="R253" t="str">
            <v>Jaya Chandra Vytla</v>
          </cell>
          <cell r="S253" t="str">
            <v>Individual</v>
          </cell>
          <cell r="T253" t="str">
            <v>C2C</v>
          </cell>
          <cell r="U253" t="str">
            <v>CoForge</v>
          </cell>
          <cell r="V253">
            <v>85</v>
          </cell>
          <cell r="W253">
            <v>0</v>
          </cell>
          <cell r="X253" t="str">
            <v>USD</v>
          </cell>
          <cell r="Y253">
            <v>86</v>
          </cell>
          <cell r="Z253">
            <v>0</v>
          </cell>
          <cell r="AA253">
            <v>0</v>
          </cell>
          <cell r="AB253">
            <v>0</v>
          </cell>
          <cell r="AC253">
            <v>46157</v>
          </cell>
          <cell r="AD253">
            <v>22</v>
          </cell>
          <cell r="AE253">
            <v>46387</v>
          </cell>
          <cell r="AF253">
            <v>85</v>
          </cell>
          <cell r="AG253">
            <v>0</v>
          </cell>
          <cell r="AH253">
            <v>85</v>
          </cell>
          <cell r="AI253">
            <v>86</v>
          </cell>
          <cell r="AJ253">
            <v>0</v>
          </cell>
          <cell r="AK253">
            <v>0</v>
          </cell>
          <cell r="AL253">
            <v>1</v>
          </cell>
          <cell r="AM253">
            <v>0</v>
          </cell>
          <cell r="AN253">
            <v>1</v>
          </cell>
          <cell r="AO253">
            <v>0</v>
          </cell>
          <cell r="AP253">
            <v>1</v>
          </cell>
          <cell r="AQ253" t="str">
            <v>US_CMSP_00767</v>
          </cell>
          <cell r="AR253">
            <v>0</v>
          </cell>
          <cell r="AS253">
            <v>168</v>
          </cell>
          <cell r="AU253">
            <v>168</v>
          </cell>
          <cell r="AV253">
            <v>0</v>
          </cell>
          <cell r="AW253">
            <v>168</v>
          </cell>
          <cell r="AX253">
            <v>166.32</v>
          </cell>
          <cell r="AY253">
            <v>0</v>
          </cell>
          <cell r="AZ253">
            <v>168</v>
          </cell>
          <cell r="BA253">
            <v>166.32</v>
          </cell>
          <cell r="BB253">
            <v>168</v>
          </cell>
          <cell r="BC253">
            <v>0</v>
          </cell>
          <cell r="BD253">
            <v>0</v>
          </cell>
          <cell r="BE253">
            <v>0</v>
          </cell>
          <cell r="BG253">
            <v>166.32</v>
          </cell>
          <cell r="BI253">
            <v>166.32</v>
          </cell>
          <cell r="BJ253">
            <v>14448</v>
          </cell>
          <cell r="BK253">
            <v>14448</v>
          </cell>
          <cell r="BL253">
            <v>14280</v>
          </cell>
          <cell r="BM253">
            <v>0</v>
          </cell>
          <cell r="BN253">
            <v>0</v>
          </cell>
          <cell r="BO253">
            <v>0</v>
          </cell>
          <cell r="BP253">
            <v>14280</v>
          </cell>
          <cell r="BQ253">
            <v>0</v>
          </cell>
          <cell r="BR253">
            <v>168</v>
          </cell>
          <cell r="BT253">
            <v>2</v>
          </cell>
          <cell r="BU253">
            <v>1</v>
          </cell>
          <cell r="BV253" t="str">
            <v>N</v>
          </cell>
          <cell r="BW253">
            <v>0</v>
          </cell>
          <cell r="BX253">
            <v>0</v>
          </cell>
          <cell r="BY253">
            <v>2026</v>
          </cell>
          <cell r="BZ253" t="str">
            <v>-</v>
          </cell>
          <cell r="CA253" t="str">
            <v>-</v>
          </cell>
        </row>
        <row r="254">
          <cell r="A254" t="str">
            <v>Lucknow</v>
          </cell>
          <cell r="B254" t="str">
            <v>Trust</v>
          </cell>
          <cell r="C254" t="str">
            <v>Mid Level</v>
          </cell>
          <cell r="D254" t="str">
            <v>Harsh Agarwal</v>
          </cell>
          <cell r="E254" t="str">
            <v>-</v>
          </cell>
          <cell r="F254" t="str">
            <v>Non-MSP</v>
          </cell>
          <cell r="H254" t="str">
            <v>Sana Zohra</v>
          </cell>
          <cell r="L254" t="str">
            <v>New</v>
          </cell>
          <cell r="M254">
            <v>46139</v>
          </cell>
          <cell r="N254">
            <v>63</v>
          </cell>
          <cell r="P254">
            <v>46504</v>
          </cell>
          <cell r="Q254" t="str">
            <v>PLC-4816</v>
          </cell>
          <cell r="R254" t="str">
            <v>Jean Baptiste Habyarimana</v>
          </cell>
          <cell r="S254" t="str">
            <v>Individual</v>
          </cell>
          <cell r="T254" t="str">
            <v>FTE</v>
          </cell>
          <cell r="U254" t="str">
            <v>Infosys</v>
          </cell>
          <cell r="V254">
            <v>0</v>
          </cell>
          <cell r="W254">
            <v>0</v>
          </cell>
          <cell r="X254" t="str">
            <v>USD</v>
          </cell>
          <cell r="Y254">
            <v>3500</v>
          </cell>
          <cell r="Z254">
            <v>0</v>
          </cell>
          <cell r="AA254">
            <v>0</v>
          </cell>
          <cell r="AB254">
            <v>0</v>
          </cell>
          <cell r="AC254">
            <v>46127</v>
          </cell>
          <cell r="AD254">
            <v>1</v>
          </cell>
          <cell r="AE254">
            <v>46387</v>
          </cell>
          <cell r="AF254">
            <v>0</v>
          </cell>
          <cell r="AG254">
            <v>0</v>
          </cell>
          <cell r="AH254">
            <v>0</v>
          </cell>
          <cell r="AI254">
            <v>3500</v>
          </cell>
          <cell r="AJ254">
            <v>0</v>
          </cell>
          <cell r="AK254">
            <v>0</v>
          </cell>
          <cell r="AL254">
            <v>3500</v>
          </cell>
          <cell r="AM254">
            <v>0</v>
          </cell>
          <cell r="AN254">
            <v>3500</v>
          </cell>
          <cell r="AO254">
            <v>0</v>
          </cell>
          <cell r="AP254">
            <v>3500</v>
          </cell>
          <cell r="AU254">
            <v>1</v>
          </cell>
          <cell r="BB254">
            <v>3500</v>
          </cell>
          <cell r="BC254">
            <v>0</v>
          </cell>
          <cell r="BD254">
            <v>0</v>
          </cell>
          <cell r="BE254">
            <v>0</v>
          </cell>
          <cell r="BF254">
            <v>39</v>
          </cell>
          <cell r="BI254">
            <v>0</v>
          </cell>
          <cell r="BK254">
            <v>3500</v>
          </cell>
          <cell r="BL254">
            <v>0</v>
          </cell>
          <cell r="BM254">
            <v>0</v>
          </cell>
          <cell r="BN254">
            <v>0</v>
          </cell>
          <cell r="BO254">
            <v>0</v>
          </cell>
          <cell r="BP254">
            <v>0</v>
          </cell>
          <cell r="BQ254">
            <v>0</v>
          </cell>
          <cell r="BR254">
            <v>3500</v>
          </cell>
          <cell r="BT254">
            <v>2</v>
          </cell>
          <cell r="BU254">
            <v>2</v>
          </cell>
          <cell r="BV254" t="str">
            <v>Y</v>
          </cell>
          <cell r="BW254">
            <v>0</v>
          </cell>
          <cell r="BX254">
            <v>0</v>
          </cell>
          <cell r="BY254">
            <v>2026</v>
          </cell>
          <cell r="BZ254" t="str">
            <v>-</v>
          </cell>
          <cell r="CA254" t="str">
            <v>-</v>
          </cell>
        </row>
        <row r="255">
          <cell r="A255" t="str">
            <v>Lucknow</v>
          </cell>
          <cell r="B255" t="str">
            <v>Mavericks</v>
          </cell>
          <cell r="C255" t="str">
            <v>Mid Level</v>
          </cell>
          <cell r="D255" t="str">
            <v>Mohammad Fakhrul</v>
          </cell>
          <cell r="E255" t="str">
            <v>-</v>
          </cell>
          <cell r="F255" t="str">
            <v>MSP</v>
          </cell>
          <cell r="H255" t="str">
            <v>Pass Through/MSP</v>
          </cell>
          <cell r="L255" t="str">
            <v>New</v>
          </cell>
          <cell r="M255">
            <v>46098</v>
          </cell>
          <cell r="N255">
            <v>104</v>
          </cell>
          <cell r="P255">
            <v>46463</v>
          </cell>
          <cell r="Q255" t="str">
            <v>PLC-Passthrough</v>
          </cell>
          <cell r="R255" t="str">
            <v>Jecenia Dejesus</v>
          </cell>
          <cell r="S255" t="str">
            <v>Individual</v>
          </cell>
          <cell r="T255" t="str">
            <v>C2C</v>
          </cell>
          <cell r="U255" t="str">
            <v>Cigniti</v>
          </cell>
          <cell r="V255">
            <v>43</v>
          </cell>
          <cell r="W255">
            <v>0</v>
          </cell>
          <cell r="X255" t="str">
            <v>USD</v>
          </cell>
          <cell r="Y255">
            <v>45</v>
          </cell>
          <cell r="Z255">
            <v>0</v>
          </cell>
          <cell r="AA255">
            <v>0</v>
          </cell>
          <cell r="AB255">
            <v>0</v>
          </cell>
          <cell r="AC255">
            <v>46096</v>
          </cell>
          <cell r="AD255">
            <v>11</v>
          </cell>
          <cell r="AE255">
            <v>46387</v>
          </cell>
          <cell r="AF255">
            <v>43</v>
          </cell>
          <cell r="AG255">
            <v>0</v>
          </cell>
          <cell r="AH255">
            <v>43</v>
          </cell>
          <cell r="AI255">
            <v>45</v>
          </cell>
          <cell r="AJ255">
            <v>0</v>
          </cell>
          <cell r="AK255">
            <v>0</v>
          </cell>
          <cell r="AL255">
            <v>2</v>
          </cell>
          <cell r="AM255">
            <v>0</v>
          </cell>
          <cell r="AN255">
            <v>2</v>
          </cell>
          <cell r="AO255">
            <v>0</v>
          </cell>
          <cell r="AP255">
            <v>2</v>
          </cell>
          <cell r="AQ255" t="str">
            <v>US_CMSP_00577</v>
          </cell>
          <cell r="AR255">
            <v>0</v>
          </cell>
          <cell r="AS255">
            <v>88</v>
          </cell>
          <cell r="AU255">
            <v>88</v>
          </cell>
          <cell r="AV255">
            <v>0</v>
          </cell>
          <cell r="AW255">
            <v>176</v>
          </cell>
          <cell r="AX255">
            <v>176</v>
          </cell>
          <cell r="AY255">
            <v>0</v>
          </cell>
          <cell r="AZ255">
            <v>176</v>
          </cell>
          <cell r="BA255">
            <v>176</v>
          </cell>
          <cell r="BB255">
            <v>176</v>
          </cell>
          <cell r="BC255">
            <v>0</v>
          </cell>
          <cell r="BD255">
            <v>0</v>
          </cell>
          <cell r="BE255">
            <v>0</v>
          </cell>
          <cell r="BG255">
            <v>176</v>
          </cell>
          <cell r="BI255">
            <v>176</v>
          </cell>
          <cell r="BJ255">
            <v>3960</v>
          </cell>
          <cell r="BK255">
            <v>3960</v>
          </cell>
          <cell r="BL255">
            <v>3784</v>
          </cell>
          <cell r="BM255">
            <v>0</v>
          </cell>
          <cell r="BN255">
            <v>0</v>
          </cell>
          <cell r="BO255">
            <v>0</v>
          </cell>
          <cell r="BP255">
            <v>3784</v>
          </cell>
          <cell r="BQ255">
            <v>0</v>
          </cell>
          <cell r="BR255">
            <v>176</v>
          </cell>
          <cell r="BS255" t="str">
            <v>Y</v>
          </cell>
          <cell r="BT255">
            <v>1</v>
          </cell>
          <cell r="BU255">
            <v>1</v>
          </cell>
          <cell r="BV255" t="str">
            <v>N</v>
          </cell>
          <cell r="BW255">
            <v>0</v>
          </cell>
          <cell r="BX255">
            <v>0</v>
          </cell>
          <cell r="BY255">
            <v>2026</v>
          </cell>
          <cell r="BZ255" t="str">
            <v>-</v>
          </cell>
          <cell r="CA255" t="str">
            <v>-</v>
          </cell>
        </row>
        <row r="256">
          <cell r="A256" t="str">
            <v>Lucknow</v>
          </cell>
          <cell r="B256" t="str">
            <v>Mavericks</v>
          </cell>
          <cell r="C256" t="str">
            <v>Mid Level</v>
          </cell>
          <cell r="D256" t="str">
            <v>Mohammad Fakhrul</v>
          </cell>
          <cell r="E256" t="str">
            <v>-</v>
          </cell>
          <cell r="F256" t="str">
            <v>MSP</v>
          </cell>
          <cell r="H256" t="str">
            <v>Pass Through/MSP</v>
          </cell>
          <cell r="J256" t="str">
            <v>ACH</v>
          </cell>
          <cell r="L256" t="str">
            <v>New</v>
          </cell>
          <cell r="M256">
            <v>46098</v>
          </cell>
          <cell r="N256">
            <v>104</v>
          </cell>
          <cell r="P256">
            <v>46463</v>
          </cell>
          <cell r="Q256" t="str">
            <v>PLC-Passthrough</v>
          </cell>
          <cell r="R256" t="str">
            <v>Jecenia Dejesus</v>
          </cell>
          <cell r="S256" t="str">
            <v>Individual</v>
          </cell>
          <cell r="T256" t="str">
            <v>C2C</v>
          </cell>
          <cell r="U256" t="str">
            <v>Cigniti</v>
          </cell>
          <cell r="V256">
            <v>43</v>
          </cell>
          <cell r="W256">
            <v>0</v>
          </cell>
          <cell r="X256" t="str">
            <v>USD</v>
          </cell>
          <cell r="Y256">
            <v>45</v>
          </cell>
          <cell r="Z256">
            <v>0</v>
          </cell>
          <cell r="AA256">
            <v>0</v>
          </cell>
          <cell r="AB256">
            <v>0</v>
          </cell>
          <cell r="AC256">
            <v>46127</v>
          </cell>
          <cell r="AD256">
            <v>22</v>
          </cell>
          <cell r="AE256">
            <v>46387</v>
          </cell>
          <cell r="AF256">
            <v>43</v>
          </cell>
          <cell r="AG256">
            <v>0</v>
          </cell>
          <cell r="AH256">
            <v>43</v>
          </cell>
          <cell r="AI256">
            <v>45</v>
          </cell>
          <cell r="AJ256">
            <v>0</v>
          </cell>
          <cell r="AK256">
            <v>0</v>
          </cell>
          <cell r="AL256">
            <v>2</v>
          </cell>
          <cell r="AM256">
            <v>0</v>
          </cell>
          <cell r="AN256">
            <v>2</v>
          </cell>
          <cell r="AO256">
            <v>0</v>
          </cell>
          <cell r="AP256">
            <v>2</v>
          </cell>
          <cell r="AQ256" t="str">
            <v>US_CMSP_00718</v>
          </cell>
          <cell r="AR256">
            <v>0</v>
          </cell>
          <cell r="AS256">
            <v>176</v>
          </cell>
          <cell r="AU256">
            <v>176</v>
          </cell>
          <cell r="AV256">
            <v>0</v>
          </cell>
          <cell r="AW256">
            <v>352</v>
          </cell>
          <cell r="AX256">
            <v>348.48</v>
          </cell>
          <cell r="AY256">
            <v>0</v>
          </cell>
          <cell r="AZ256">
            <v>352</v>
          </cell>
          <cell r="BA256">
            <v>348.48</v>
          </cell>
          <cell r="BB256">
            <v>352</v>
          </cell>
          <cell r="BC256">
            <v>0</v>
          </cell>
          <cell r="BD256">
            <v>0</v>
          </cell>
          <cell r="BE256">
            <v>0</v>
          </cell>
          <cell r="BG256">
            <v>348.48</v>
          </cell>
          <cell r="BI256">
            <v>348.48</v>
          </cell>
          <cell r="BJ256">
            <v>7920</v>
          </cell>
          <cell r="BK256">
            <v>7920</v>
          </cell>
          <cell r="BL256">
            <v>7568</v>
          </cell>
          <cell r="BM256">
            <v>0</v>
          </cell>
          <cell r="BN256">
            <v>0</v>
          </cell>
          <cell r="BO256">
            <v>0</v>
          </cell>
          <cell r="BP256">
            <v>7568</v>
          </cell>
          <cell r="BQ256">
            <v>0</v>
          </cell>
          <cell r="BR256">
            <v>352</v>
          </cell>
          <cell r="BT256">
            <v>2</v>
          </cell>
          <cell r="BU256">
            <v>1</v>
          </cell>
          <cell r="BV256" t="str">
            <v>N</v>
          </cell>
          <cell r="BW256">
            <v>0</v>
          </cell>
          <cell r="BX256">
            <v>0</v>
          </cell>
          <cell r="BY256">
            <v>2026</v>
          </cell>
          <cell r="BZ256" t="str">
            <v>-</v>
          </cell>
          <cell r="CA256" t="str">
            <v>-</v>
          </cell>
        </row>
        <row r="257">
          <cell r="A257" t="str">
            <v>Lucknow</v>
          </cell>
          <cell r="B257" t="str">
            <v>Mavericks</v>
          </cell>
          <cell r="C257" t="str">
            <v>Mid Level</v>
          </cell>
          <cell r="D257" t="str">
            <v>Mohammad Fakhrul</v>
          </cell>
          <cell r="E257" t="str">
            <v>-</v>
          </cell>
          <cell r="F257" t="str">
            <v>MSP</v>
          </cell>
          <cell r="H257" t="str">
            <v>Pass Through/MSP</v>
          </cell>
          <cell r="J257" t="str">
            <v>ACH</v>
          </cell>
          <cell r="L257" t="str">
            <v>New</v>
          </cell>
          <cell r="M257">
            <v>46098</v>
          </cell>
          <cell r="N257">
            <v>104</v>
          </cell>
          <cell r="P257">
            <v>46463</v>
          </cell>
          <cell r="Q257" t="str">
            <v>PLC-Passthrough</v>
          </cell>
          <cell r="R257" t="str">
            <v>Jecenia Dejesus</v>
          </cell>
          <cell r="S257" t="str">
            <v>Individual</v>
          </cell>
          <cell r="T257" t="str">
            <v>C2C</v>
          </cell>
          <cell r="U257" t="str">
            <v>Cigniti</v>
          </cell>
          <cell r="V257">
            <v>43</v>
          </cell>
          <cell r="W257">
            <v>0</v>
          </cell>
          <cell r="X257" t="str">
            <v>USD</v>
          </cell>
          <cell r="Y257">
            <v>45</v>
          </cell>
          <cell r="Z257">
            <v>0</v>
          </cell>
          <cell r="AA257">
            <v>0</v>
          </cell>
          <cell r="AB257">
            <v>0</v>
          </cell>
          <cell r="AC257">
            <v>46157</v>
          </cell>
          <cell r="AD257">
            <v>22</v>
          </cell>
          <cell r="AE257">
            <v>46387</v>
          </cell>
          <cell r="AF257">
            <v>43</v>
          </cell>
          <cell r="AG257">
            <v>0</v>
          </cell>
          <cell r="AH257">
            <v>43</v>
          </cell>
          <cell r="AI257">
            <v>45</v>
          </cell>
          <cell r="AJ257">
            <v>0</v>
          </cell>
          <cell r="AK257">
            <v>0</v>
          </cell>
          <cell r="AL257">
            <v>2</v>
          </cell>
          <cell r="AM257">
            <v>0</v>
          </cell>
          <cell r="AN257">
            <v>2</v>
          </cell>
          <cell r="AO257">
            <v>0</v>
          </cell>
          <cell r="AP257">
            <v>2</v>
          </cell>
          <cell r="AQ257" t="str">
            <v>US_CMSP_00763`</v>
          </cell>
          <cell r="AR257">
            <v>0</v>
          </cell>
          <cell r="AS257">
            <v>152</v>
          </cell>
          <cell r="AU257">
            <v>152</v>
          </cell>
          <cell r="AV257">
            <v>0</v>
          </cell>
          <cell r="AW257">
            <v>304</v>
          </cell>
          <cell r="AX257">
            <v>300.95999999999998</v>
          </cell>
          <cell r="AY257">
            <v>0</v>
          </cell>
          <cell r="AZ257">
            <v>304</v>
          </cell>
          <cell r="BA257">
            <v>300.95999999999998</v>
          </cell>
          <cell r="BB257">
            <v>304</v>
          </cell>
          <cell r="BC257">
            <v>0</v>
          </cell>
          <cell r="BD257">
            <v>0</v>
          </cell>
          <cell r="BE257">
            <v>0</v>
          </cell>
          <cell r="BG257">
            <v>300.95999999999998</v>
          </cell>
          <cell r="BI257">
            <v>300.95999999999998</v>
          </cell>
          <cell r="BJ257">
            <v>6840</v>
          </cell>
          <cell r="BK257">
            <v>6840</v>
          </cell>
          <cell r="BL257">
            <v>6536</v>
          </cell>
          <cell r="BM257">
            <v>0</v>
          </cell>
          <cell r="BN257">
            <v>0</v>
          </cell>
          <cell r="BO257">
            <v>0</v>
          </cell>
          <cell r="BP257">
            <v>6536</v>
          </cell>
          <cell r="BQ257">
            <v>0</v>
          </cell>
          <cell r="BR257">
            <v>304</v>
          </cell>
          <cell r="BT257">
            <v>2</v>
          </cell>
          <cell r="BU257">
            <v>1</v>
          </cell>
          <cell r="BV257" t="str">
            <v>N</v>
          </cell>
          <cell r="BW257">
            <v>0</v>
          </cell>
          <cell r="BX257">
            <v>0</v>
          </cell>
          <cell r="BY257">
            <v>2026</v>
          </cell>
          <cell r="BZ257" t="str">
            <v>-</v>
          </cell>
          <cell r="CA257" t="str">
            <v>-</v>
          </cell>
        </row>
        <row r="258">
          <cell r="A258" t="str">
            <v>Lucknow</v>
          </cell>
          <cell r="B258" t="str">
            <v>Titans</v>
          </cell>
          <cell r="C258" t="str">
            <v>Mid Level</v>
          </cell>
          <cell r="D258" t="str">
            <v>Noor Beg</v>
          </cell>
          <cell r="E258" t="str">
            <v>-</v>
          </cell>
          <cell r="F258" t="str">
            <v>Non-MSP</v>
          </cell>
          <cell r="H258" t="str">
            <v>Pass Through</v>
          </cell>
          <cell r="L258" t="str">
            <v>New</v>
          </cell>
          <cell r="M258">
            <v>46042</v>
          </cell>
          <cell r="N258">
            <v>160</v>
          </cell>
          <cell r="O258">
            <v>46100</v>
          </cell>
          <cell r="P258">
            <v>46407</v>
          </cell>
          <cell r="Q258" t="str">
            <v>PLC-Passthrough</v>
          </cell>
          <cell r="R258" t="str">
            <v>Jeffrey David Cook</v>
          </cell>
          <cell r="S258" t="str">
            <v>Individual</v>
          </cell>
          <cell r="T258" t="str">
            <v>C2C</v>
          </cell>
          <cell r="U258" t="str">
            <v>Genpact</v>
          </cell>
          <cell r="V258">
            <v>110</v>
          </cell>
          <cell r="W258">
            <v>0</v>
          </cell>
          <cell r="X258" t="str">
            <v>USD</v>
          </cell>
          <cell r="Y258">
            <v>115</v>
          </cell>
          <cell r="Z258">
            <v>0</v>
          </cell>
          <cell r="AA258">
            <v>0</v>
          </cell>
          <cell r="AB258">
            <v>0</v>
          </cell>
          <cell r="AC258">
            <v>46037</v>
          </cell>
          <cell r="AD258">
            <v>8</v>
          </cell>
          <cell r="AE258">
            <v>46387</v>
          </cell>
          <cell r="AF258">
            <v>110</v>
          </cell>
          <cell r="AG258">
            <v>0</v>
          </cell>
          <cell r="AH258">
            <v>110</v>
          </cell>
          <cell r="AI258">
            <v>115</v>
          </cell>
          <cell r="AJ258">
            <v>0</v>
          </cell>
          <cell r="AK258">
            <v>0</v>
          </cell>
          <cell r="AL258">
            <v>5</v>
          </cell>
          <cell r="AM258">
            <v>0</v>
          </cell>
          <cell r="AN258">
            <v>5</v>
          </cell>
          <cell r="AO258">
            <v>0</v>
          </cell>
          <cell r="AP258">
            <v>5</v>
          </cell>
          <cell r="AQ258" t="str">
            <v>US_GB_00007</v>
          </cell>
          <cell r="AR258">
            <v>0</v>
          </cell>
          <cell r="AS258">
            <v>40</v>
          </cell>
          <cell r="AU258">
            <v>40</v>
          </cell>
          <cell r="AV258">
            <v>0</v>
          </cell>
          <cell r="AW258">
            <v>200</v>
          </cell>
          <cell r="AX258">
            <v>200</v>
          </cell>
          <cell r="AY258">
            <v>0</v>
          </cell>
          <cell r="AZ258">
            <v>200</v>
          </cell>
          <cell r="BA258">
            <v>200</v>
          </cell>
          <cell r="BB258">
            <v>200</v>
          </cell>
          <cell r="BC258">
            <v>0</v>
          </cell>
          <cell r="BD258">
            <v>0</v>
          </cell>
          <cell r="BE258">
            <v>0</v>
          </cell>
          <cell r="BG258">
            <v>200</v>
          </cell>
          <cell r="BI258">
            <v>200</v>
          </cell>
          <cell r="BJ258">
            <v>4600</v>
          </cell>
          <cell r="BK258">
            <v>4600</v>
          </cell>
          <cell r="BL258">
            <v>4400</v>
          </cell>
          <cell r="BM258">
            <v>0</v>
          </cell>
          <cell r="BN258">
            <v>0</v>
          </cell>
          <cell r="BO258">
            <v>0</v>
          </cell>
          <cell r="BP258">
            <v>4400</v>
          </cell>
          <cell r="BQ258">
            <v>0</v>
          </cell>
          <cell r="BR258">
            <v>200</v>
          </cell>
          <cell r="BS258" t="str">
            <v>Y</v>
          </cell>
          <cell r="BT258">
            <v>1</v>
          </cell>
          <cell r="BU258">
            <v>1</v>
          </cell>
          <cell r="BV258" t="str">
            <v>Y</v>
          </cell>
          <cell r="BW258">
            <v>0</v>
          </cell>
          <cell r="BX258">
            <v>0</v>
          </cell>
          <cell r="BY258">
            <v>2026</v>
          </cell>
          <cell r="BZ258" t="str">
            <v>-</v>
          </cell>
          <cell r="CA258" t="str">
            <v>-</v>
          </cell>
        </row>
        <row r="259">
          <cell r="A259" t="str">
            <v>Lucknow</v>
          </cell>
          <cell r="B259" t="str">
            <v>Titans</v>
          </cell>
          <cell r="C259" t="str">
            <v>Mid Level</v>
          </cell>
          <cell r="D259" t="str">
            <v>Noor Beg</v>
          </cell>
          <cell r="E259" t="str">
            <v>-</v>
          </cell>
          <cell r="F259" t="str">
            <v>Non-MSP</v>
          </cell>
          <cell r="H259" t="str">
            <v>Pass Through</v>
          </cell>
          <cell r="L259" t="str">
            <v>New</v>
          </cell>
          <cell r="M259">
            <v>46042</v>
          </cell>
          <cell r="N259">
            <v>160</v>
          </cell>
          <cell r="O259">
            <v>46100</v>
          </cell>
          <cell r="P259">
            <v>46407</v>
          </cell>
          <cell r="Q259" t="str">
            <v>PLC-Passthrough</v>
          </cell>
          <cell r="R259" t="str">
            <v>Jeffrey David Cook</v>
          </cell>
          <cell r="S259" t="str">
            <v>Individual</v>
          </cell>
          <cell r="T259" t="str">
            <v>C2C</v>
          </cell>
          <cell r="U259" t="str">
            <v>Genpact</v>
          </cell>
          <cell r="V259">
            <v>110</v>
          </cell>
          <cell r="W259">
            <v>0</v>
          </cell>
          <cell r="X259" t="str">
            <v>USD</v>
          </cell>
          <cell r="Y259">
            <v>115</v>
          </cell>
          <cell r="Z259">
            <v>0</v>
          </cell>
          <cell r="AA259">
            <v>0</v>
          </cell>
          <cell r="AB259">
            <v>0</v>
          </cell>
          <cell r="AC259">
            <v>46068</v>
          </cell>
          <cell r="AD259">
            <v>20</v>
          </cell>
          <cell r="AE259">
            <v>46387</v>
          </cell>
          <cell r="AF259">
            <v>110</v>
          </cell>
          <cell r="AG259">
            <v>0</v>
          </cell>
          <cell r="AH259">
            <v>110</v>
          </cell>
          <cell r="AI259">
            <v>115</v>
          </cell>
          <cell r="AJ259">
            <v>0</v>
          </cell>
          <cell r="AK259">
            <v>0</v>
          </cell>
          <cell r="AL259">
            <v>5</v>
          </cell>
          <cell r="AM259">
            <v>0</v>
          </cell>
          <cell r="AN259">
            <v>5</v>
          </cell>
          <cell r="AO259">
            <v>0</v>
          </cell>
          <cell r="AP259">
            <v>5</v>
          </cell>
          <cell r="AQ259" t="str">
            <v>US_GB_00020</v>
          </cell>
          <cell r="AR259">
            <v>0</v>
          </cell>
          <cell r="AS259">
            <v>152</v>
          </cell>
          <cell r="AU259">
            <v>152</v>
          </cell>
          <cell r="AV259">
            <v>0</v>
          </cell>
          <cell r="AW259">
            <v>760</v>
          </cell>
          <cell r="AX259">
            <v>760</v>
          </cell>
          <cell r="AY259">
            <v>0</v>
          </cell>
          <cell r="AZ259">
            <v>760</v>
          </cell>
          <cell r="BA259">
            <v>760</v>
          </cell>
          <cell r="BB259">
            <v>760</v>
          </cell>
          <cell r="BC259">
            <v>0</v>
          </cell>
          <cell r="BD259">
            <v>0</v>
          </cell>
          <cell r="BE259">
            <v>0</v>
          </cell>
          <cell r="BG259">
            <v>760</v>
          </cell>
          <cell r="BI259">
            <v>760</v>
          </cell>
          <cell r="BJ259">
            <v>17480</v>
          </cell>
          <cell r="BK259">
            <v>17480</v>
          </cell>
          <cell r="BL259">
            <v>16720</v>
          </cell>
          <cell r="BM259">
            <v>0</v>
          </cell>
          <cell r="BN259">
            <v>0</v>
          </cell>
          <cell r="BO259">
            <v>0</v>
          </cell>
          <cell r="BP259">
            <v>16720</v>
          </cell>
          <cell r="BQ259">
            <v>0</v>
          </cell>
          <cell r="BR259">
            <v>760</v>
          </cell>
          <cell r="BS259" t="str">
            <v>Y</v>
          </cell>
          <cell r="BT259">
            <v>1</v>
          </cell>
          <cell r="BU259">
            <v>1</v>
          </cell>
          <cell r="BV259" t="str">
            <v>Y</v>
          </cell>
          <cell r="BW259">
            <v>0</v>
          </cell>
          <cell r="BX259">
            <v>0</v>
          </cell>
          <cell r="BY259">
            <v>2026</v>
          </cell>
          <cell r="BZ259" t="str">
            <v>-</v>
          </cell>
          <cell r="CA259" t="str">
            <v>-</v>
          </cell>
        </row>
        <row r="260">
          <cell r="A260" t="str">
            <v>Lucknow</v>
          </cell>
          <cell r="B260" t="str">
            <v>Titans</v>
          </cell>
          <cell r="C260" t="str">
            <v>Mid Level</v>
          </cell>
          <cell r="D260" t="str">
            <v>Noor Beg</v>
          </cell>
          <cell r="E260" t="str">
            <v>-</v>
          </cell>
          <cell r="F260" t="str">
            <v>Non-MSP</v>
          </cell>
          <cell r="H260" t="str">
            <v>Pass Through</v>
          </cell>
          <cell r="L260" t="str">
            <v>New</v>
          </cell>
          <cell r="M260">
            <v>46042</v>
          </cell>
          <cell r="N260">
            <v>160</v>
          </cell>
          <cell r="O260">
            <v>46100</v>
          </cell>
          <cell r="P260">
            <v>46407</v>
          </cell>
          <cell r="Q260" t="str">
            <v>PLC-Passthrough</v>
          </cell>
          <cell r="R260" t="str">
            <v>Jeffrey David Cook</v>
          </cell>
          <cell r="S260" t="str">
            <v>Individual</v>
          </cell>
          <cell r="T260" t="str">
            <v>C2C</v>
          </cell>
          <cell r="U260" t="str">
            <v>Genpact</v>
          </cell>
          <cell r="V260">
            <v>110</v>
          </cell>
          <cell r="W260">
            <v>0</v>
          </cell>
          <cell r="X260" t="str">
            <v>USD</v>
          </cell>
          <cell r="Y260">
            <v>115</v>
          </cell>
          <cell r="Z260">
            <v>0</v>
          </cell>
          <cell r="AA260">
            <v>0</v>
          </cell>
          <cell r="AB260">
            <v>0</v>
          </cell>
          <cell r="AC260">
            <v>46096</v>
          </cell>
          <cell r="AD260">
            <v>22</v>
          </cell>
          <cell r="AE260">
            <v>46387</v>
          </cell>
          <cell r="AF260">
            <v>110</v>
          </cell>
          <cell r="AG260">
            <v>0</v>
          </cell>
          <cell r="AH260">
            <v>110</v>
          </cell>
          <cell r="AI260">
            <v>115</v>
          </cell>
          <cell r="AJ260">
            <v>0</v>
          </cell>
          <cell r="AK260">
            <v>0</v>
          </cell>
          <cell r="AL260">
            <v>5</v>
          </cell>
          <cell r="AM260">
            <v>0</v>
          </cell>
          <cell r="AN260">
            <v>5</v>
          </cell>
          <cell r="AO260">
            <v>0</v>
          </cell>
          <cell r="AP260">
            <v>5</v>
          </cell>
          <cell r="AQ260" t="str">
            <v>US_GB_00035</v>
          </cell>
          <cell r="AR260">
            <v>0</v>
          </cell>
          <cell r="AS260">
            <v>112</v>
          </cell>
          <cell r="AU260">
            <v>112</v>
          </cell>
          <cell r="AV260">
            <v>0</v>
          </cell>
          <cell r="AW260">
            <v>560</v>
          </cell>
          <cell r="AX260">
            <v>560</v>
          </cell>
          <cell r="AY260">
            <v>0</v>
          </cell>
          <cell r="AZ260">
            <v>560</v>
          </cell>
          <cell r="BA260">
            <v>560</v>
          </cell>
          <cell r="BB260">
            <v>560</v>
          </cell>
          <cell r="BC260">
            <v>0</v>
          </cell>
          <cell r="BD260">
            <v>0</v>
          </cell>
          <cell r="BE260">
            <v>0</v>
          </cell>
          <cell r="BG260">
            <v>560</v>
          </cell>
          <cell r="BI260">
            <v>560</v>
          </cell>
          <cell r="BJ260">
            <v>12880</v>
          </cell>
          <cell r="BK260">
            <v>12880</v>
          </cell>
          <cell r="BL260">
            <v>12320</v>
          </cell>
          <cell r="BM260">
            <v>0</v>
          </cell>
          <cell r="BN260">
            <v>0</v>
          </cell>
          <cell r="BO260">
            <v>0</v>
          </cell>
          <cell r="BP260">
            <v>12320</v>
          </cell>
          <cell r="BQ260">
            <v>0</v>
          </cell>
          <cell r="BR260">
            <v>560</v>
          </cell>
          <cell r="BS260" t="str">
            <v>Y</v>
          </cell>
          <cell r="BT260">
            <v>1</v>
          </cell>
          <cell r="BU260">
            <v>1</v>
          </cell>
          <cell r="BV260" t="str">
            <v>Y</v>
          </cell>
          <cell r="BW260">
            <v>0</v>
          </cell>
          <cell r="BX260">
            <v>0</v>
          </cell>
          <cell r="BY260">
            <v>2026</v>
          </cell>
          <cell r="BZ260" t="str">
            <v>-</v>
          </cell>
          <cell r="CA260" t="str">
            <v>-</v>
          </cell>
        </row>
        <row r="261">
          <cell r="A261" t="str">
            <v>Lucknow</v>
          </cell>
          <cell r="B261" t="str">
            <v>Titans</v>
          </cell>
          <cell r="C261" t="str">
            <v>Mid Level</v>
          </cell>
          <cell r="D261" t="str">
            <v>Noor Beg</v>
          </cell>
          <cell r="E261" t="str">
            <v>-</v>
          </cell>
          <cell r="F261" t="str">
            <v>Non-MSP</v>
          </cell>
          <cell r="H261" t="str">
            <v>Pass Through</v>
          </cell>
          <cell r="L261" t="str">
            <v>New</v>
          </cell>
          <cell r="M261">
            <v>46042</v>
          </cell>
          <cell r="N261">
            <v>160</v>
          </cell>
          <cell r="P261">
            <v>46407</v>
          </cell>
          <cell r="Q261" t="str">
            <v>PLC-Passthrough</v>
          </cell>
          <cell r="R261" t="str">
            <v>Jennifer Leigh Lotito</v>
          </cell>
          <cell r="S261" t="str">
            <v>Individual</v>
          </cell>
          <cell r="T261" t="str">
            <v>C2C</v>
          </cell>
          <cell r="U261" t="str">
            <v>Genpact</v>
          </cell>
          <cell r="V261">
            <v>225</v>
          </cell>
          <cell r="W261">
            <v>0</v>
          </cell>
          <cell r="X261" t="str">
            <v>USD</v>
          </cell>
          <cell r="Y261">
            <v>230</v>
          </cell>
          <cell r="Z261">
            <v>0</v>
          </cell>
          <cell r="AA261">
            <v>0</v>
          </cell>
          <cell r="AB261">
            <v>0</v>
          </cell>
          <cell r="AC261">
            <v>46037</v>
          </cell>
          <cell r="AD261">
            <v>8</v>
          </cell>
          <cell r="AE261">
            <v>46387</v>
          </cell>
          <cell r="AF261">
            <v>225</v>
          </cell>
          <cell r="AG261">
            <v>0</v>
          </cell>
          <cell r="AH261">
            <v>225</v>
          </cell>
          <cell r="AI261">
            <v>230</v>
          </cell>
          <cell r="AJ261">
            <v>0</v>
          </cell>
          <cell r="AK261">
            <v>0</v>
          </cell>
          <cell r="AL261">
            <v>5</v>
          </cell>
          <cell r="AM261">
            <v>0</v>
          </cell>
          <cell r="AN261">
            <v>5</v>
          </cell>
          <cell r="AO261">
            <v>0</v>
          </cell>
          <cell r="AP261">
            <v>5</v>
          </cell>
          <cell r="AQ261" t="str">
            <v>US_GB_00014</v>
          </cell>
          <cell r="AR261">
            <v>0</v>
          </cell>
          <cell r="AS261">
            <v>72</v>
          </cell>
          <cell r="AU261">
            <v>72</v>
          </cell>
          <cell r="AV261">
            <v>0</v>
          </cell>
          <cell r="AW261">
            <v>360</v>
          </cell>
          <cell r="AX261">
            <v>360</v>
          </cell>
          <cell r="AY261">
            <v>0</v>
          </cell>
          <cell r="AZ261">
            <v>360</v>
          </cell>
          <cell r="BA261">
            <v>360</v>
          </cell>
          <cell r="BB261">
            <v>360</v>
          </cell>
          <cell r="BC261">
            <v>0</v>
          </cell>
          <cell r="BD261">
            <v>0</v>
          </cell>
          <cell r="BE261">
            <v>0</v>
          </cell>
          <cell r="BG261">
            <v>360</v>
          </cell>
          <cell r="BI261">
            <v>360</v>
          </cell>
          <cell r="BJ261">
            <v>16560</v>
          </cell>
          <cell r="BK261">
            <v>16560</v>
          </cell>
          <cell r="BL261">
            <v>16200</v>
          </cell>
          <cell r="BM261">
            <v>0</v>
          </cell>
          <cell r="BN261">
            <v>0</v>
          </cell>
          <cell r="BO261">
            <v>0</v>
          </cell>
          <cell r="BP261">
            <v>16200</v>
          </cell>
          <cell r="BQ261">
            <v>0</v>
          </cell>
          <cell r="BR261">
            <v>360</v>
          </cell>
          <cell r="BS261" t="str">
            <v>Y</v>
          </cell>
          <cell r="BT261">
            <v>1</v>
          </cell>
          <cell r="BU261">
            <v>1</v>
          </cell>
          <cell r="BV261" t="str">
            <v>Y</v>
          </cell>
          <cell r="BW261">
            <v>0</v>
          </cell>
          <cell r="BX261">
            <v>0</v>
          </cell>
          <cell r="BY261">
            <v>2026</v>
          </cell>
          <cell r="BZ261" t="str">
            <v>-</v>
          </cell>
          <cell r="CA261" t="str">
            <v>-</v>
          </cell>
        </row>
        <row r="262">
          <cell r="A262" t="str">
            <v>Lucknow</v>
          </cell>
          <cell r="B262" t="str">
            <v>Titans</v>
          </cell>
          <cell r="C262" t="str">
            <v>Mid Level</v>
          </cell>
          <cell r="D262" t="str">
            <v>Noor Beg</v>
          </cell>
          <cell r="E262" t="str">
            <v>-</v>
          </cell>
          <cell r="F262" t="str">
            <v>Non-MSP</v>
          </cell>
          <cell r="H262" t="str">
            <v>Pass Through</v>
          </cell>
          <cell r="L262" t="str">
            <v>New</v>
          </cell>
          <cell r="M262">
            <v>46042</v>
          </cell>
          <cell r="N262">
            <v>160</v>
          </cell>
          <cell r="P262">
            <v>46407</v>
          </cell>
          <cell r="Q262" t="str">
            <v>PLC-Passthrough</v>
          </cell>
          <cell r="R262" t="str">
            <v>Jennifer Leigh Lotito</v>
          </cell>
          <cell r="S262" t="str">
            <v>Individual</v>
          </cell>
          <cell r="T262" t="str">
            <v>C2C</v>
          </cell>
          <cell r="U262" t="str">
            <v>Genpact</v>
          </cell>
          <cell r="V262">
            <v>225</v>
          </cell>
          <cell r="W262">
            <v>0</v>
          </cell>
          <cell r="X262" t="str">
            <v>USD</v>
          </cell>
          <cell r="Y262">
            <v>230</v>
          </cell>
          <cell r="Z262">
            <v>0</v>
          </cell>
          <cell r="AA262">
            <v>0</v>
          </cell>
          <cell r="AB262">
            <v>0</v>
          </cell>
          <cell r="AC262">
            <v>46068</v>
          </cell>
          <cell r="AD262">
            <v>20</v>
          </cell>
          <cell r="AE262">
            <v>46387</v>
          </cell>
          <cell r="AF262">
            <v>225</v>
          </cell>
          <cell r="AG262">
            <v>0</v>
          </cell>
          <cell r="AH262">
            <v>225</v>
          </cell>
          <cell r="AI262">
            <v>230</v>
          </cell>
          <cell r="AJ262">
            <v>0</v>
          </cell>
          <cell r="AK262">
            <v>0</v>
          </cell>
          <cell r="AL262">
            <v>5</v>
          </cell>
          <cell r="AM262">
            <v>0</v>
          </cell>
          <cell r="AN262">
            <v>5</v>
          </cell>
          <cell r="AO262">
            <v>0</v>
          </cell>
          <cell r="AP262">
            <v>5</v>
          </cell>
          <cell r="AQ262" t="str">
            <v>US_GB_00027</v>
          </cell>
          <cell r="AR262">
            <v>0</v>
          </cell>
          <cell r="AS262">
            <v>152</v>
          </cell>
          <cell r="AU262">
            <v>152</v>
          </cell>
          <cell r="AV262">
            <v>0</v>
          </cell>
          <cell r="AW262">
            <v>760</v>
          </cell>
          <cell r="AX262">
            <v>760</v>
          </cell>
          <cell r="AY262">
            <v>0</v>
          </cell>
          <cell r="AZ262">
            <v>760</v>
          </cell>
          <cell r="BA262">
            <v>760</v>
          </cell>
          <cell r="BB262">
            <v>760</v>
          </cell>
          <cell r="BC262">
            <v>0</v>
          </cell>
          <cell r="BD262">
            <v>0</v>
          </cell>
          <cell r="BE262">
            <v>0</v>
          </cell>
          <cell r="BG262">
            <v>760</v>
          </cell>
          <cell r="BI262">
            <v>760</v>
          </cell>
          <cell r="BJ262">
            <v>34960</v>
          </cell>
          <cell r="BK262">
            <v>34960</v>
          </cell>
          <cell r="BL262">
            <v>34200</v>
          </cell>
          <cell r="BM262">
            <v>0</v>
          </cell>
          <cell r="BN262">
            <v>0</v>
          </cell>
          <cell r="BO262">
            <v>0</v>
          </cell>
          <cell r="BP262">
            <v>34200</v>
          </cell>
          <cell r="BQ262">
            <v>0</v>
          </cell>
          <cell r="BR262">
            <v>760</v>
          </cell>
          <cell r="BS262" t="str">
            <v>Y</v>
          </cell>
          <cell r="BT262">
            <v>1</v>
          </cell>
          <cell r="BU262">
            <v>1</v>
          </cell>
          <cell r="BV262" t="str">
            <v>Y</v>
          </cell>
          <cell r="BW262">
            <v>0</v>
          </cell>
          <cell r="BX262">
            <v>0</v>
          </cell>
          <cell r="BY262">
            <v>2026</v>
          </cell>
          <cell r="BZ262" t="str">
            <v>-</v>
          </cell>
          <cell r="CA262" t="str">
            <v>-</v>
          </cell>
        </row>
        <row r="263">
          <cell r="A263" t="str">
            <v>Lucknow</v>
          </cell>
          <cell r="B263" t="str">
            <v>Titans</v>
          </cell>
          <cell r="C263" t="str">
            <v>Mid Level</v>
          </cell>
          <cell r="D263" t="str">
            <v>Noor Beg</v>
          </cell>
          <cell r="E263" t="str">
            <v>-</v>
          </cell>
          <cell r="F263" t="str">
            <v>Non-MSP</v>
          </cell>
          <cell r="H263" t="str">
            <v>Pass Through</v>
          </cell>
          <cell r="L263" t="str">
            <v>New</v>
          </cell>
          <cell r="M263">
            <v>46042</v>
          </cell>
          <cell r="N263">
            <v>160</v>
          </cell>
          <cell r="P263">
            <v>46407</v>
          </cell>
          <cell r="Q263" t="str">
            <v>PLC-Passthrough</v>
          </cell>
          <cell r="R263" t="str">
            <v>Jennifer Leigh Lotito</v>
          </cell>
          <cell r="S263" t="str">
            <v>Individual</v>
          </cell>
          <cell r="T263" t="str">
            <v>C2C</v>
          </cell>
          <cell r="U263" t="str">
            <v>Genpact</v>
          </cell>
          <cell r="V263">
            <v>225</v>
          </cell>
          <cell r="W263">
            <v>0</v>
          </cell>
          <cell r="X263" t="str">
            <v>USD</v>
          </cell>
          <cell r="Y263">
            <v>230</v>
          </cell>
          <cell r="Z263">
            <v>0</v>
          </cell>
          <cell r="AA263">
            <v>0</v>
          </cell>
          <cell r="AB263">
            <v>0</v>
          </cell>
          <cell r="AC263">
            <v>46096</v>
          </cell>
          <cell r="AD263">
            <v>22</v>
          </cell>
          <cell r="AE263">
            <v>46387</v>
          </cell>
          <cell r="AF263">
            <v>225</v>
          </cell>
          <cell r="AG263">
            <v>0</v>
          </cell>
          <cell r="AH263">
            <v>225</v>
          </cell>
          <cell r="AI263">
            <v>230</v>
          </cell>
          <cell r="AJ263">
            <v>0</v>
          </cell>
          <cell r="AK263">
            <v>0</v>
          </cell>
          <cell r="AL263">
            <v>5</v>
          </cell>
          <cell r="AM263">
            <v>0</v>
          </cell>
          <cell r="AN263">
            <v>5</v>
          </cell>
          <cell r="AO263">
            <v>0</v>
          </cell>
          <cell r="AP263">
            <v>5</v>
          </cell>
          <cell r="AQ263" t="str">
            <v>US_GB_00042</v>
          </cell>
          <cell r="AR263">
            <v>0</v>
          </cell>
          <cell r="AS263">
            <v>176</v>
          </cell>
          <cell r="AU263">
            <v>176</v>
          </cell>
          <cell r="AV263">
            <v>0</v>
          </cell>
          <cell r="AW263">
            <v>880</v>
          </cell>
          <cell r="AX263">
            <v>880</v>
          </cell>
          <cell r="AY263">
            <v>0</v>
          </cell>
          <cell r="AZ263">
            <v>880</v>
          </cell>
          <cell r="BA263">
            <v>880</v>
          </cell>
          <cell r="BB263">
            <v>880</v>
          </cell>
          <cell r="BC263">
            <v>0</v>
          </cell>
          <cell r="BD263">
            <v>0</v>
          </cell>
          <cell r="BE263">
            <v>0</v>
          </cell>
          <cell r="BG263">
            <v>880</v>
          </cell>
          <cell r="BI263">
            <v>880</v>
          </cell>
          <cell r="BJ263">
            <v>40480</v>
          </cell>
          <cell r="BK263">
            <v>40480</v>
          </cell>
          <cell r="BL263">
            <v>39600</v>
          </cell>
          <cell r="BM263">
            <v>0</v>
          </cell>
          <cell r="BN263">
            <v>0</v>
          </cell>
          <cell r="BO263">
            <v>0</v>
          </cell>
          <cell r="BP263">
            <v>39600</v>
          </cell>
          <cell r="BQ263">
            <v>0</v>
          </cell>
          <cell r="BR263">
            <v>880</v>
          </cell>
          <cell r="BS263" t="str">
            <v>Y</v>
          </cell>
          <cell r="BT263">
            <v>1</v>
          </cell>
          <cell r="BU263">
            <v>1</v>
          </cell>
          <cell r="BV263" t="str">
            <v>Y</v>
          </cell>
          <cell r="BW263">
            <v>0</v>
          </cell>
          <cell r="BX263">
            <v>0</v>
          </cell>
          <cell r="BY263">
            <v>2026</v>
          </cell>
          <cell r="BZ263" t="str">
            <v>-</v>
          </cell>
          <cell r="CA263" t="str">
            <v>-</v>
          </cell>
        </row>
        <row r="264">
          <cell r="A264" t="str">
            <v>Lucknow</v>
          </cell>
          <cell r="B264" t="str">
            <v>Titans</v>
          </cell>
          <cell r="C264" t="str">
            <v>Mid Level</v>
          </cell>
          <cell r="D264" t="str">
            <v>Noor Beg</v>
          </cell>
          <cell r="E264" t="str">
            <v>-</v>
          </cell>
          <cell r="F264" t="str">
            <v>Non-MSP</v>
          </cell>
          <cell r="H264" t="str">
            <v>Pass Through</v>
          </cell>
          <cell r="J264" t="str">
            <v>ACH</v>
          </cell>
          <cell r="L264" t="str">
            <v>New</v>
          </cell>
          <cell r="M264">
            <v>46042</v>
          </cell>
          <cell r="N264">
            <v>160</v>
          </cell>
          <cell r="P264">
            <v>46407</v>
          </cell>
          <cell r="Q264" t="str">
            <v>PLC-Passthrough</v>
          </cell>
          <cell r="R264" t="str">
            <v>Jennifer Leigh Lotito</v>
          </cell>
          <cell r="S264" t="str">
            <v>Individual</v>
          </cell>
          <cell r="T264" t="str">
            <v>C2C</v>
          </cell>
          <cell r="U264" t="str">
            <v>Genpact</v>
          </cell>
          <cell r="V264">
            <v>225</v>
          </cell>
          <cell r="W264">
            <v>0</v>
          </cell>
          <cell r="X264" t="str">
            <v>USD</v>
          </cell>
          <cell r="Y264">
            <v>230</v>
          </cell>
          <cell r="Z264">
            <v>0</v>
          </cell>
          <cell r="AA264">
            <v>0</v>
          </cell>
          <cell r="AB264">
            <v>0</v>
          </cell>
          <cell r="AC264">
            <v>46127</v>
          </cell>
          <cell r="AD264">
            <v>22</v>
          </cell>
          <cell r="AE264">
            <v>46387</v>
          </cell>
          <cell r="AF264">
            <v>225</v>
          </cell>
          <cell r="AG264">
            <v>0</v>
          </cell>
          <cell r="AH264">
            <v>225</v>
          </cell>
          <cell r="AI264">
            <v>230</v>
          </cell>
          <cell r="AJ264">
            <v>0</v>
          </cell>
          <cell r="AK264">
            <v>0</v>
          </cell>
          <cell r="AL264">
            <v>5</v>
          </cell>
          <cell r="AM264">
            <v>0</v>
          </cell>
          <cell r="AN264">
            <v>5</v>
          </cell>
          <cell r="AO264">
            <v>0</v>
          </cell>
          <cell r="AP264">
            <v>5</v>
          </cell>
          <cell r="AQ264" t="str">
            <v>US_GB_00048</v>
          </cell>
          <cell r="AR264">
            <v>0</v>
          </cell>
          <cell r="AS264">
            <v>176</v>
          </cell>
          <cell r="AU264">
            <v>176</v>
          </cell>
          <cell r="AV264">
            <v>0</v>
          </cell>
          <cell r="AW264">
            <v>880</v>
          </cell>
          <cell r="AX264">
            <v>871.2</v>
          </cell>
          <cell r="AY264">
            <v>0</v>
          </cell>
          <cell r="AZ264">
            <v>880</v>
          </cell>
          <cell r="BA264">
            <v>871.2</v>
          </cell>
          <cell r="BB264">
            <v>880</v>
          </cell>
          <cell r="BC264">
            <v>0</v>
          </cell>
          <cell r="BD264">
            <v>0</v>
          </cell>
          <cell r="BE264">
            <v>0</v>
          </cell>
          <cell r="BG264">
            <v>871.2</v>
          </cell>
          <cell r="BI264">
            <v>871.2</v>
          </cell>
          <cell r="BJ264">
            <v>40480</v>
          </cell>
          <cell r="BK264">
            <v>40480</v>
          </cell>
          <cell r="BL264">
            <v>39600</v>
          </cell>
          <cell r="BM264">
            <v>0</v>
          </cell>
          <cell r="BN264">
            <v>0</v>
          </cell>
          <cell r="BO264">
            <v>0</v>
          </cell>
          <cell r="BP264">
            <v>39600</v>
          </cell>
          <cell r="BQ264">
            <v>0</v>
          </cell>
          <cell r="BR264">
            <v>880</v>
          </cell>
          <cell r="BT264">
            <v>2</v>
          </cell>
          <cell r="BU264">
            <v>1</v>
          </cell>
          <cell r="BV264" t="str">
            <v>Y</v>
          </cell>
          <cell r="BW264">
            <v>0</v>
          </cell>
          <cell r="BX264">
            <v>0</v>
          </cell>
          <cell r="BY264">
            <v>2026</v>
          </cell>
          <cell r="BZ264" t="str">
            <v>-</v>
          </cell>
          <cell r="CA264" t="str">
            <v>-</v>
          </cell>
        </row>
        <row r="265">
          <cell r="A265" t="str">
            <v>Lucknow</v>
          </cell>
          <cell r="B265" t="str">
            <v>Titans</v>
          </cell>
          <cell r="C265" t="str">
            <v>Mid Level</v>
          </cell>
          <cell r="D265" t="str">
            <v>Noor Beg</v>
          </cell>
          <cell r="E265" t="str">
            <v>-</v>
          </cell>
          <cell r="F265" t="str">
            <v>Non-MSP</v>
          </cell>
          <cell r="H265" t="str">
            <v>Pass Through</v>
          </cell>
          <cell r="J265" t="str">
            <v>ACH</v>
          </cell>
          <cell r="L265" t="str">
            <v>New</v>
          </cell>
          <cell r="M265">
            <v>46042</v>
          </cell>
          <cell r="N265">
            <v>160</v>
          </cell>
          <cell r="P265">
            <v>46407</v>
          </cell>
          <cell r="Q265" t="str">
            <v>PLC-Passthrough</v>
          </cell>
          <cell r="R265" t="str">
            <v>Jennifer Leigh Lotito</v>
          </cell>
          <cell r="S265" t="str">
            <v>Individual</v>
          </cell>
          <cell r="T265" t="str">
            <v>C2C</v>
          </cell>
          <cell r="U265" t="str">
            <v>Genpact</v>
          </cell>
          <cell r="V265">
            <v>225</v>
          </cell>
          <cell r="W265">
            <v>0</v>
          </cell>
          <cell r="X265" t="str">
            <v>USD</v>
          </cell>
          <cell r="Y265">
            <v>230</v>
          </cell>
          <cell r="Z265">
            <v>0</v>
          </cell>
          <cell r="AA265">
            <v>0</v>
          </cell>
          <cell r="AB265">
            <v>0</v>
          </cell>
          <cell r="AC265">
            <v>46157</v>
          </cell>
          <cell r="AD265">
            <v>22</v>
          </cell>
          <cell r="AE265">
            <v>46387</v>
          </cell>
          <cell r="AF265">
            <v>225</v>
          </cell>
          <cell r="AG265">
            <v>0</v>
          </cell>
          <cell r="AH265">
            <v>225</v>
          </cell>
          <cell r="AI265">
            <v>230</v>
          </cell>
          <cell r="AJ265">
            <v>0</v>
          </cell>
          <cell r="AK265">
            <v>0</v>
          </cell>
          <cell r="AL265">
            <v>5</v>
          </cell>
          <cell r="AM265">
            <v>0</v>
          </cell>
          <cell r="AN265">
            <v>5</v>
          </cell>
          <cell r="AO265">
            <v>0</v>
          </cell>
          <cell r="AP265">
            <v>5</v>
          </cell>
          <cell r="AQ265" t="str">
            <v>US_GB_00054</v>
          </cell>
          <cell r="AR265">
            <v>0</v>
          </cell>
          <cell r="AS265">
            <v>160</v>
          </cell>
          <cell r="AU265">
            <v>160</v>
          </cell>
          <cell r="AV265">
            <v>0</v>
          </cell>
          <cell r="AW265">
            <v>800</v>
          </cell>
          <cell r="AX265">
            <v>792</v>
          </cell>
          <cell r="AY265">
            <v>0</v>
          </cell>
          <cell r="AZ265">
            <v>800</v>
          </cell>
          <cell r="BA265">
            <v>792</v>
          </cell>
          <cell r="BB265">
            <v>800</v>
          </cell>
          <cell r="BC265">
            <v>0</v>
          </cell>
          <cell r="BD265">
            <v>0</v>
          </cell>
          <cell r="BE265">
            <v>0</v>
          </cell>
          <cell r="BG265">
            <v>792</v>
          </cell>
          <cell r="BI265">
            <v>792</v>
          </cell>
          <cell r="BJ265">
            <v>36800</v>
          </cell>
          <cell r="BK265">
            <v>36800</v>
          </cell>
          <cell r="BL265">
            <v>36000</v>
          </cell>
          <cell r="BM265">
            <v>0</v>
          </cell>
          <cell r="BN265">
            <v>0</v>
          </cell>
          <cell r="BO265">
            <v>0</v>
          </cell>
          <cell r="BP265">
            <v>36000</v>
          </cell>
          <cell r="BQ265">
            <v>0</v>
          </cell>
          <cell r="BR265">
            <v>800</v>
          </cell>
          <cell r="BT265">
            <v>2</v>
          </cell>
          <cell r="BU265">
            <v>1</v>
          </cell>
          <cell r="BV265" t="str">
            <v>Y</v>
          </cell>
          <cell r="BW265">
            <v>0</v>
          </cell>
          <cell r="BX265">
            <v>0</v>
          </cell>
          <cell r="BY265">
            <v>2026</v>
          </cell>
          <cell r="BZ265" t="str">
            <v>-</v>
          </cell>
          <cell r="CA265" t="str">
            <v>-</v>
          </cell>
        </row>
        <row r="266">
          <cell r="A266" t="str">
            <v>Lucknow</v>
          </cell>
          <cell r="B266" t="str">
            <v>Vantedge</v>
          </cell>
          <cell r="C266" t="str">
            <v>Senior</v>
          </cell>
          <cell r="D266" t="str">
            <v>Mayank Saxena</v>
          </cell>
          <cell r="F266" t="str">
            <v>Non-MSP</v>
          </cell>
          <cell r="H266" t="str">
            <v>Umang Srivastava</v>
          </cell>
          <cell r="K266" t="str">
            <v>Anam</v>
          </cell>
          <cell r="L266" t="str">
            <v>New</v>
          </cell>
          <cell r="M266">
            <v>46132</v>
          </cell>
          <cell r="N266">
            <v>70</v>
          </cell>
          <cell r="P266">
            <v>46497</v>
          </cell>
          <cell r="R266" t="str">
            <v>John Adams</v>
          </cell>
          <cell r="S266" t="str">
            <v>Individual</v>
          </cell>
          <cell r="T266" t="str">
            <v>FTE</v>
          </cell>
          <cell r="U266" t="str">
            <v>Rightpoint</v>
          </cell>
          <cell r="V266">
            <v>0</v>
          </cell>
          <cell r="W266">
            <v>0</v>
          </cell>
          <cell r="X266" t="str">
            <v>USD</v>
          </cell>
          <cell r="Y266">
            <v>14000</v>
          </cell>
          <cell r="Z266">
            <v>0</v>
          </cell>
          <cell r="AA266">
            <v>0</v>
          </cell>
          <cell r="AB266">
            <v>0</v>
          </cell>
          <cell r="AC266">
            <v>46127</v>
          </cell>
          <cell r="AD266">
            <v>1</v>
          </cell>
          <cell r="AE266">
            <v>46387</v>
          </cell>
          <cell r="AF266">
            <v>0</v>
          </cell>
          <cell r="AG266">
            <v>0</v>
          </cell>
          <cell r="AH266">
            <v>0</v>
          </cell>
          <cell r="AI266">
            <v>14000</v>
          </cell>
          <cell r="AJ266">
            <v>0</v>
          </cell>
          <cell r="AK266">
            <v>0</v>
          </cell>
          <cell r="AL266">
            <v>14000</v>
          </cell>
          <cell r="AM266">
            <v>0</v>
          </cell>
          <cell r="AN266">
            <v>14000</v>
          </cell>
          <cell r="AO266">
            <v>0</v>
          </cell>
          <cell r="AP266">
            <v>14000</v>
          </cell>
          <cell r="AQ266" t="str">
            <v>US_27724</v>
          </cell>
          <cell r="AR266">
            <v>0</v>
          </cell>
          <cell r="AS266">
            <v>1</v>
          </cell>
          <cell r="AU266">
            <v>1</v>
          </cell>
          <cell r="AV266">
            <v>0</v>
          </cell>
          <cell r="AW266">
            <v>14000</v>
          </cell>
          <cell r="AX266">
            <v>14000</v>
          </cell>
          <cell r="AY266">
            <v>0</v>
          </cell>
          <cell r="AZ266">
            <v>14000</v>
          </cell>
          <cell r="BA266">
            <v>14000</v>
          </cell>
          <cell r="BB266">
            <v>14000</v>
          </cell>
          <cell r="BC266">
            <v>47.5</v>
          </cell>
          <cell r="BD266">
            <v>15400</v>
          </cell>
          <cell r="BE266">
            <v>15400</v>
          </cell>
          <cell r="BG266">
            <v>14000</v>
          </cell>
          <cell r="BI266">
            <v>0</v>
          </cell>
          <cell r="BJ266">
            <v>14000</v>
          </cell>
          <cell r="BK266">
            <v>14000</v>
          </cell>
          <cell r="BL266">
            <v>0</v>
          </cell>
          <cell r="BM266">
            <v>0</v>
          </cell>
          <cell r="BN266">
            <v>0</v>
          </cell>
          <cell r="BO266">
            <v>0</v>
          </cell>
          <cell r="BP266">
            <v>0</v>
          </cell>
          <cell r="BQ266">
            <v>0</v>
          </cell>
          <cell r="BR266">
            <v>14000</v>
          </cell>
          <cell r="BT266">
            <v>2</v>
          </cell>
          <cell r="BU266">
            <v>2</v>
          </cell>
          <cell r="BV266" t="str">
            <v>N</v>
          </cell>
          <cell r="BW266">
            <v>30800</v>
          </cell>
          <cell r="BX266">
            <v>30800</v>
          </cell>
          <cell r="BY266">
            <v>2026</v>
          </cell>
          <cell r="BZ266" t="str">
            <v>-</v>
          </cell>
          <cell r="CA266" t="str">
            <v>-</v>
          </cell>
        </row>
        <row r="267">
          <cell r="A267" t="str">
            <v>Lucknow</v>
          </cell>
          <cell r="B267" t="str">
            <v>Mavericks</v>
          </cell>
          <cell r="C267" t="str">
            <v>Mid Level</v>
          </cell>
          <cell r="D267" t="str">
            <v>Rohit Gupta</v>
          </cell>
          <cell r="E267" t="str">
            <v>Vivek Yadav</v>
          </cell>
          <cell r="F267" t="str">
            <v>Non-MSP</v>
          </cell>
          <cell r="H267" t="str">
            <v>Akhilesh Gupta</v>
          </cell>
          <cell r="L267" t="str">
            <v>New</v>
          </cell>
          <cell r="M267">
            <v>46076</v>
          </cell>
          <cell r="N267">
            <v>126</v>
          </cell>
          <cell r="P267">
            <v>46441</v>
          </cell>
          <cell r="Q267" t="str">
            <v>PLC-4749</v>
          </cell>
          <cell r="R267" t="str">
            <v>John Baerthlein</v>
          </cell>
          <cell r="S267" t="str">
            <v>Individual</v>
          </cell>
          <cell r="T267" t="str">
            <v>FTE</v>
          </cell>
          <cell r="U267" t="str">
            <v>Xceedence</v>
          </cell>
          <cell r="V267">
            <v>0</v>
          </cell>
          <cell r="W267">
            <v>0</v>
          </cell>
          <cell r="X267" t="str">
            <v>USD</v>
          </cell>
          <cell r="Y267">
            <v>27750</v>
          </cell>
          <cell r="Z267">
            <v>0</v>
          </cell>
          <cell r="AA267">
            <v>0</v>
          </cell>
          <cell r="AB267">
            <v>0</v>
          </cell>
          <cell r="AC267">
            <v>46068</v>
          </cell>
          <cell r="AD267">
            <v>1</v>
          </cell>
          <cell r="AE267">
            <v>46387</v>
          </cell>
          <cell r="AF267">
            <v>0</v>
          </cell>
          <cell r="AG267">
            <v>0</v>
          </cell>
          <cell r="AH267">
            <v>0</v>
          </cell>
          <cell r="AI267">
            <v>27750</v>
          </cell>
          <cell r="AJ267">
            <v>0</v>
          </cell>
          <cell r="AK267">
            <v>0</v>
          </cell>
          <cell r="AL267">
            <v>27750</v>
          </cell>
          <cell r="AM267">
            <v>0</v>
          </cell>
          <cell r="AN267">
            <v>27750</v>
          </cell>
          <cell r="AO267">
            <v>0</v>
          </cell>
          <cell r="AP267">
            <v>15000</v>
          </cell>
          <cell r="AQ267" t="str">
            <v>US_27199</v>
          </cell>
          <cell r="AR267">
            <v>0</v>
          </cell>
          <cell r="AS267">
            <v>1</v>
          </cell>
          <cell r="AU267">
            <v>1</v>
          </cell>
          <cell r="AV267">
            <v>0</v>
          </cell>
          <cell r="AW267">
            <v>27750</v>
          </cell>
          <cell r="AX267">
            <v>27750</v>
          </cell>
          <cell r="AY267">
            <v>0</v>
          </cell>
          <cell r="AZ267">
            <v>15000</v>
          </cell>
          <cell r="BA267">
            <v>15000</v>
          </cell>
          <cell r="BB267">
            <v>27750</v>
          </cell>
          <cell r="BC267">
            <v>0</v>
          </cell>
          <cell r="BD267">
            <v>0</v>
          </cell>
          <cell r="BE267">
            <v>0</v>
          </cell>
          <cell r="BG267">
            <v>15000</v>
          </cell>
          <cell r="BI267">
            <v>27750</v>
          </cell>
          <cell r="BJ267">
            <v>27750</v>
          </cell>
          <cell r="BK267">
            <v>27750</v>
          </cell>
          <cell r="BL267">
            <v>0</v>
          </cell>
          <cell r="BM267">
            <v>0</v>
          </cell>
          <cell r="BN267">
            <v>0</v>
          </cell>
          <cell r="BO267">
            <v>0</v>
          </cell>
          <cell r="BP267">
            <v>0</v>
          </cell>
          <cell r="BQ267">
            <v>0</v>
          </cell>
          <cell r="BR267">
            <v>27750</v>
          </cell>
          <cell r="BS267" t="str">
            <v>Y</v>
          </cell>
          <cell r="BT267">
            <v>1</v>
          </cell>
          <cell r="BU267">
            <v>1</v>
          </cell>
          <cell r="BV267" t="str">
            <v>Y</v>
          </cell>
          <cell r="BW267">
            <v>0</v>
          </cell>
          <cell r="BX267">
            <v>0</v>
          </cell>
          <cell r="BY267">
            <v>2026</v>
          </cell>
          <cell r="BZ267" t="str">
            <v>-</v>
          </cell>
          <cell r="CA267" t="str">
            <v>-</v>
          </cell>
        </row>
        <row r="268">
          <cell r="A268" t="str">
            <v>Lucknow</v>
          </cell>
          <cell r="B268" t="str">
            <v>Titans</v>
          </cell>
          <cell r="C268" t="str">
            <v>Mid Level</v>
          </cell>
          <cell r="D268" t="str">
            <v>Aditya Yadav</v>
          </cell>
          <cell r="E268" t="str">
            <v>-</v>
          </cell>
          <cell r="F268" t="str">
            <v>Non-MSP</v>
          </cell>
          <cell r="H268" t="str">
            <v>Santosh Singh</v>
          </cell>
          <cell r="L268" t="str">
            <v>New</v>
          </cell>
          <cell r="M268">
            <v>46036</v>
          </cell>
          <cell r="N268">
            <v>166</v>
          </cell>
          <cell r="P268">
            <v>46401</v>
          </cell>
          <cell r="Q268" t="str">
            <v>PLC-4683</v>
          </cell>
          <cell r="R268" t="str">
            <v>John Coy</v>
          </cell>
          <cell r="S268" t="str">
            <v>Individual</v>
          </cell>
          <cell r="T268" t="str">
            <v>FTE</v>
          </cell>
          <cell r="U268" t="str">
            <v>LTTS</v>
          </cell>
          <cell r="V268">
            <v>0</v>
          </cell>
          <cell r="W268">
            <v>0</v>
          </cell>
          <cell r="X268" t="str">
            <v>USD</v>
          </cell>
          <cell r="Y268">
            <v>8063</v>
          </cell>
          <cell r="Z268">
            <v>0</v>
          </cell>
          <cell r="AA268">
            <v>0</v>
          </cell>
          <cell r="AB268">
            <v>0</v>
          </cell>
          <cell r="AC268">
            <v>46037</v>
          </cell>
          <cell r="AD268">
            <v>1</v>
          </cell>
          <cell r="AE268">
            <v>46387</v>
          </cell>
          <cell r="AF268">
            <v>0</v>
          </cell>
          <cell r="AG268">
            <v>0</v>
          </cell>
          <cell r="AH268">
            <v>0</v>
          </cell>
          <cell r="AI268">
            <v>8063</v>
          </cell>
          <cell r="AJ268">
            <v>0</v>
          </cell>
          <cell r="AK268">
            <v>0</v>
          </cell>
          <cell r="AL268">
            <v>8063</v>
          </cell>
          <cell r="AM268">
            <v>0</v>
          </cell>
          <cell r="AN268">
            <v>8063</v>
          </cell>
          <cell r="AO268">
            <v>0</v>
          </cell>
          <cell r="AP268">
            <v>8063</v>
          </cell>
          <cell r="AQ268" t="str">
            <v>US_26728</v>
          </cell>
          <cell r="AR268">
            <v>0</v>
          </cell>
          <cell r="AS268">
            <v>1</v>
          </cell>
          <cell r="AU268">
            <v>1</v>
          </cell>
          <cell r="AV268">
            <v>0</v>
          </cell>
          <cell r="AW268">
            <v>8063</v>
          </cell>
          <cell r="AX268">
            <v>8063</v>
          </cell>
          <cell r="AY268">
            <v>0</v>
          </cell>
          <cell r="AZ268">
            <v>8063</v>
          </cell>
          <cell r="BA268">
            <v>8063</v>
          </cell>
          <cell r="BB268">
            <v>8063</v>
          </cell>
          <cell r="BC268">
            <v>0</v>
          </cell>
          <cell r="BD268">
            <v>0</v>
          </cell>
          <cell r="BE268">
            <v>0</v>
          </cell>
          <cell r="BG268">
            <v>8063</v>
          </cell>
          <cell r="BI268">
            <v>8063</v>
          </cell>
          <cell r="BJ268">
            <v>8063</v>
          </cell>
          <cell r="BK268">
            <v>8063</v>
          </cell>
          <cell r="BL268">
            <v>0</v>
          </cell>
          <cell r="BM268">
            <v>0</v>
          </cell>
          <cell r="BN268">
            <v>0</v>
          </cell>
          <cell r="BO268">
            <v>0</v>
          </cell>
          <cell r="BP268">
            <v>0</v>
          </cell>
          <cell r="BQ268">
            <v>0</v>
          </cell>
          <cell r="BR268">
            <v>8063</v>
          </cell>
          <cell r="BS268" t="str">
            <v>Y</v>
          </cell>
          <cell r="BT268">
            <v>1</v>
          </cell>
          <cell r="BU268">
            <v>1</v>
          </cell>
          <cell r="BV268" t="str">
            <v>Y</v>
          </cell>
          <cell r="BW268">
            <v>0</v>
          </cell>
          <cell r="BX268">
            <v>0</v>
          </cell>
          <cell r="BY268">
            <v>2026</v>
          </cell>
          <cell r="BZ268" t="str">
            <v>-</v>
          </cell>
          <cell r="CA268" t="str">
            <v>-</v>
          </cell>
        </row>
        <row r="269">
          <cell r="A269" t="str">
            <v>Lucknow</v>
          </cell>
          <cell r="B269" t="str">
            <v>Titans</v>
          </cell>
          <cell r="C269" t="str">
            <v>Mid Level</v>
          </cell>
          <cell r="D269" t="str">
            <v>Nitin Saxena</v>
          </cell>
          <cell r="F269" t="str">
            <v>Non-MSP</v>
          </cell>
          <cell r="H269" t="str">
            <v>Samad Quraishi</v>
          </cell>
          <cell r="J269" t="str">
            <v>ACH</v>
          </cell>
          <cell r="L269" t="str">
            <v>New</v>
          </cell>
          <cell r="M269">
            <v>46127</v>
          </cell>
          <cell r="N269">
            <v>75</v>
          </cell>
          <cell r="P269">
            <v>46492</v>
          </cell>
          <cell r="R269" t="str">
            <v>John Furlong</v>
          </cell>
          <cell r="S269" t="str">
            <v>Individual</v>
          </cell>
          <cell r="T269">
            <v>1099</v>
          </cell>
          <cell r="U269" t="str">
            <v>Genpact</v>
          </cell>
          <cell r="V269">
            <v>575</v>
          </cell>
          <cell r="W269">
            <v>0</v>
          </cell>
          <cell r="X269" t="str">
            <v>USD</v>
          </cell>
          <cell r="Y269">
            <v>646</v>
          </cell>
          <cell r="Z269">
            <v>0</v>
          </cell>
          <cell r="AA269">
            <v>0</v>
          </cell>
          <cell r="AB269">
            <v>0</v>
          </cell>
          <cell r="AC269">
            <v>46127</v>
          </cell>
          <cell r="AD269">
            <v>12</v>
          </cell>
          <cell r="AE269">
            <v>46387</v>
          </cell>
          <cell r="AF269">
            <v>615.25</v>
          </cell>
          <cell r="AG269">
            <v>0</v>
          </cell>
          <cell r="AH269">
            <v>615.25</v>
          </cell>
          <cell r="AI269">
            <v>646</v>
          </cell>
          <cell r="AJ269">
            <v>0</v>
          </cell>
          <cell r="AK269">
            <v>0</v>
          </cell>
          <cell r="AL269">
            <v>30.75</v>
          </cell>
          <cell r="AM269">
            <v>0</v>
          </cell>
          <cell r="AN269">
            <v>30.75</v>
          </cell>
          <cell r="AO269">
            <v>0</v>
          </cell>
          <cell r="AP269">
            <v>20</v>
          </cell>
          <cell r="AQ269" t="str">
            <v>US_27457</v>
          </cell>
          <cell r="AR269">
            <v>0</v>
          </cell>
          <cell r="AS269">
            <v>1</v>
          </cell>
          <cell r="AU269">
            <v>1</v>
          </cell>
          <cell r="AV269">
            <v>0</v>
          </cell>
          <cell r="AW269">
            <v>30.75</v>
          </cell>
          <cell r="AX269">
            <v>30.442499999999999</v>
          </cell>
          <cell r="AY269">
            <v>0</v>
          </cell>
          <cell r="AZ269">
            <v>20</v>
          </cell>
          <cell r="BA269">
            <v>19.8</v>
          </cell>
          <cell r="BB269">
            <v>30.75</v>
          </cell>
          <cell r="BC269">
            <v>55.555555555555557</v>
          </cell>
          <cell r="BD269">
            <v>26.135999999999999</v>
          </cell>
          <cell r="BE269">
            <v>26.135999999999999</v>
          </cell>
          <cell r="BG269">
            <v>19.8</v>
          </cell>
          <cell r="BI269">
            <v>0</v>
          </cell>
          <cell r="BJ269">
            <v>646</v>
          </cell>
          <cell r="BK269">
            <v>646</v>
          </cell>
          <cell r="BL269">
            <v>575</v>
          </cell>
          <cell r="BM269">
            <v>40.250000000000007</v>
          </cell>
          <cell r="BN269">
            <v>0</v>
          </cell>
          <cell r="BO269">
            <v>40.250000000000007</v>
          </cell>
          <cell r="BP269">
            <v>615.25</v>
          </cell>
          <cell r="BQ269">
            <v>40.250000000000007</v>
          </cell>
          <cell r="BR269">
            <v>30.749999999999993</v>
          </cell>
          <cell r="BS269" t="str">
            <v>Y</v>
          </cell>
          <cell r="BT269">
            <v>2</v>
          </cell>
          <cell r="BU269">
            <v>2</v>
          </cell>
          <cell r="BV269" t="str">
            <v>Y</v>
          </cell>
          <cell r="BW269">
            <v>52.271999999999998</v>
          </cell>
          <cell r="BX269">
            <v>52.271999999999998</v>
          </cell>
          <cell r="BY269">
            <v>2026</v>
          </cell>
          <cell r="BZ269" t="str">
            <v>-</v>
          </cell>
          <cell r="CA269" t="str">
            <v>-</v>
          </cell>
        </row>
        <row r="270">
          <cell r="A270" t="str">
            <v>Lucknow</v>
          </cell>
          <cell r="B270" t="str">
            <v>Titans</v>
          </cell>
          <cell r="C270" t="str">
            <v>Mid Level</v>
          </cell>
          <cell r="D270" t="str">
            <v>Nitin Saxena</v>
          </cell>
          <cell r="F270" t="str">
            <v>Non-MSP</v>
          </cell>
          <cell r="H270" t="str">
            <v>Samad Quraishi</v>
          </cell>
          <cell r="J270" t="str">
            <v>ACH</v>
          </cell>
          <cell r="L270" t="str">
            <v>New</v>
          </cell>
          <cell r="M270">
            <v>46127</v>
          </cell>
          <cell r="N270">
            <v>75</v>
          </cell>
          <cell r="P270">
            <v>46492</v>
          </cell>
          <cell r="R270" t="str">
            <v>John Furlong</v>
          </cell>
          <cell r="S270" t="str">
            <v>Individual</v>
          </cell>
          <cell r="T270">
            <v>1099</v>
          </cell>
          <cell r="U270" t="str">
            <v>Genpact</v>
          </cell>
          <cell r="V270">
            <v>575</v>
          </cell>
          <cell r="W270">
            <v>0</v>
          </cell>
          <cell r="X270" t="str">
            <v>USD</v>
          </cell>
          <cell r="Y270">
            <v>646</v>
          </cell>
          <cell r="Z270">
            <v>0</v>
          </cell>
          <cell r="AA270">
            <v>0</v>
          </cell>
          <cell r="AB270">
            <v>0</v>
          </cell>
          <cell r="AC270">
            <v>46157</v>
          </cell>
          <cell r="AD270">
            <v>12</v>
          </cell>
          <cell r="AE270">
            <v>46387</v>
          </cell>
          <cell r="AF270">
            <v>615.25</v>
          </cell>
          <cell r="AG270">
            <v>0</v>
          </cell>
          <cell r="AH270">
            <v>615.25</v>
          </cell>
          <cell r="AI270">
            <v>646</v>
          </cell>
          <cell r="AJ270">
            <v>0</v>
          </cell>
          <cell r="AK270">
            <v>0</v>
          </cell>
          <cell r="AL270">
            <v>30.75</v>
          </cell>
          <cell r="AM270">
            <v>0</v>
          </cell>
          <cell r="AN270">
            <v>30.75</v>
          </cell>
          <cell r="AO270">
            <v>0</v>
          </cell>
          <cell r="AP270">
            <v>20</v>
          </cell>
          <cell r="AU270">
            <v>96</v>
          </cell>
          <cell r="BB270">
            <v>2952</v>
          </cell>
          <cell r="BC270">
            <v>55.555555555555557</v>
          </cell>
          <cell r="BI270">
            <v>0</v>
          </cell>
          <cell r="BK270">
            <v>62016</v>
          </cell>
          <cell r="BL270">
            <v>55200</v>
          </cell>
          <cell r="BM270">
            <v>40.250000000000007</v>
          </cell>
          <cell r="BN270">
            <v>0</v>
          </cell>
          <cell r="BO270">
            <v>3864.0000000000009</v>
          </cell>
          <cell r="BP270">
            <v>59064</v>
          </cell>
          <cell r="BQ270">
            <v>40.250000000000007</v>
          </cell>
          <cell r="BR270">
            <v>2951.9999999999991</v>
          </cell>
          <cell r="BT270">
            <v>2</v>
          </cell>
          <cell r="BU270">
            <v>2</v>
          </cell>
          <cell r="BV270" t="str">
            <v>Y</v>
          </cell>
          <cell r="BY270">
            <v>2026</v>
          </cell>
          <cell r="BZ270" t="str">
            <v>-</v>
          </cell>
          <cell r="CA270" t="str">
            <v>-</v>
          </cell>
        </row>
        <row r="271">
          <cell r="A271" t="str">
            <v>Lucknow</v>
          </cell>
          <cell r="B271" t="str">
            <v>Mavericks</v>
          </cell>
          <cell r="C271" t="str">
            <v>Mid Level</v>
          </cell>
          <cell r="D271" t="str">
            <v>Mohammad Fakhrul</v>
          </cell>
          <cell r="E271" t="str">
            <v>-</v>
          </cell>
          <cell r="F271" t="str">
            <v>MSP</v>
          </cell>
          <cell r="H271" t="str">
            <v>Pass Through/MSP</v>
          </cell>
          <cell r="L271" t="str">
            <v>New</v>
          </cell>
          <cell r="M271">
            <v>46093</v>
          </cell>
          <cell r="N271">
            <v>109</v>
          </cell>
          <cell r="P271">
            <v>46458</v>
          </cell>
          <cell r="Q271" t="str">
            <v>PLC-Passthrough</v>
          </cell>
          <cell r="R271" t="str">
            <v>John J Mcdonald</v>
          </cell>
          <cell r="S271" t="str">
            <v>Individual</v>
          </cell>
          <cell r="T271" t="str">
            <v>C2C</v>
          </cell>
          <cell r="U271" t="str">
            <v>CoForge</v>
          </cell>
          <cell r="V271">
            <v>74</v>
          </cell>
          <cell r="W271">
            <v>0</v>
          </cell>
          <cell r="X271" t="str">
            <v>USD</v>
          </cell>
          <cell r="Y271">
            <v>75</v>
          </cell>
          <cell r="Z271">
            <v>0</v>
          </cell>
          <cell r="AA271">
            <v>0</v>
          </cell>
          <cell r="AB271">
            <v>0</v>
          </cell>
          <cell r="AC271">
            <v>46096</v>
          </cell>
          <cell r="AD271">
            <v>14</v>
          </cell>
          <cell r="AE271">
            <v>46387</v>
          </cell>
          <cell r="AF271">
            <v>74</v>
          </cell>
          <cell r="AG271">
            <v>0</v>
          </cell>
          <cell r="AH271">
            <v>74</v>
          </cell>
          <cell r="AI271">
            <v>75</v>
          </cell>
          <cell r="AJ271">
            <v>0</v>
          </cell>
          <cell r="AK271">
            <v>0</v>
          </cell>
          <cell r="AL271">
            <v>1</v>
          </cell>
          <cell r="AM271">
            <v>0</v>
          </cell>
          <cell r="AN271">
            <v>1</v>
          </cell>
          <cell r="AO271">
            <v>0</v>
          </cell>
          <cell r="AP271">
            <v>1</v>
          </cell>
          <cell r="AQ271" t="str">
            <v>US_CMSP_00568</v>
          </cell>
          <cell r="AR271">
            <v>0</v>
          </cell>
          <cell r="AS271">
            <v>112</v>
          </cell>
          <cell r="AU271">
            <v>112</v>
          </cell>
          <cell r="AV271">
            <v>0</v>
          </cell>
          <cell r="AW271">
            <v>112</v>
          </cell>
          <cell r="AX271">
            <v>112</v>
          </cell>
          <cell r="AY271">
            <v>0</v>
          </cell>
          <cell r="AZ271">
            <v>112</v>
          </cell>
          <cell r="BA271">
            <v>112</v>
          </cell>
          <cell r="BB271">
            <v>112</v>
          </cell>
          <cell r="BC271">
            <v>0</v>
          </cell>
          <cell r="BD271">
            <v>0</v>
          </cell>
          <cell r="BE271">
            <v>0</v>
          </cell>
          <cell r="BG271">
            <v>112</v>
          </cell>
          <cell r="BI271">
            <v>112</v>
          </cell>
          <cell r="BJ271">
            <v>8400</v>
          </cell>
          <cell r="BK271">
            <v>8400</v>
          </cell>
          <cell r="BL271">
            <v>8288</v>
          </cell>
          <cell r="BM271">
            <v>0</v>
          </cell>
          <cell r="BN271">
            <v>0</v>
          </cell>
          <cell r="BO271">
            <v>0</v>
          </cell>
          <cell r="BP271">
            <v>8288</v>
          </cell>
          <cell r="BQ271">
            <v>0</v>
          </cell>
          <cell r="BR271">
            <v>112</v>
          </cell>
          <cell r="BS271" t="str">
            <v>Y</v>
          </cell>
          <cell r="BT271">
            <v>1</v>
          </cell>
          <cell r="BU271">
            <v>1</v>
          </cell>
          <cell r="BV271" t="str">
            <v>N</v>
          </cell>
          <cell r="BW271">
            <v>0</v>
          </cell>
          <cell r="BX271">
            <v>0</v>
          </cell>
          <cell r="BY271">
            <v>2026</v>
          </cell>
          <cell r="BZ271" t="str">
            <v>-</v>
          </cell>
          <cell r="CA271" t="str">
            <v>-</v>
          </cell>
        </row>
        <row r="272">
          <cell r="A272" t="str">
            <v>Lucknow</v>
          </cell>
          <cell r="B272" t="str">
            <v>Mavericks</v>
          </cell>
          <cell r="C272" t="str">
            <v>Mid Level</v>
          </cell>
          <cell r="D272" t="str">
            <v>Mohammad Fakhrul</v>
          </cell>
          <cell r="E272" t="str">
            <v>-</v>
          </cell>
          <cell r="F272" t="str">
            <v>MSP</v>
          </cell>
          <cell r="H272" t="str">
            <v>Pass Through/MSP</v>
          </cell>
          <cell r="J272" t="str">
            <v>ACH</v>
          </cell>
          <cell r="L272" t="str">
            <v>New</v>
          </cell>
          <cell r="M272">
            <v>46093</v>
          </cell>
          <cell r="N272">
            <v>109</v>
          </cell>
          <cell r="P272">
            <v>46458</v>
          </cell>
          <cell r="Q272" t="str">
            <v>PLC-Passthrough</v>
          </cell>
          <cell r="R272" t="str">
            <v>John J Mcdonald</v>
          </cell>
          <cell r="S272" t="str">
            <v>Individual</v>
          </cell>
          <cell r="T272" t="str">
            <v>C2C</v>
          </cell>
          <cell r="U272" t="str">
            <v>CoForge</v>
          </cell>
          <cell r="V272">
            <v>74</v>
          </cell>
          <cell r="W272">
            <v>0</v>
          </cell>
          <cell r="X272" t="str">
            <v>USD</v>
          </cell>
          <cell r="Y272">
            <v>75</v>
          </cell>
          <cell r="Z272">
            <v>0</v>
          </cell>
          <cell r="AA272">
            <v>0</v>
          </cell>
          <cell r="AB272">
            <v>0</v>
          </cell>
          <cell r="AC272">
            <v>46127</v>
          </cell>
          <cell r="AD272">
            <v>22</v>
          </cell>
          <cell r="AE272">
            <v>46387</v>
          </cell>
          <cell r="AF272">
            <v>74</v>
          </cell>
          <cell r="AG272">
            <v>0</v>
          </cell>
          <cell r="AH272">
            <v>74</v>
          </cell>
          <cell r="AI272">
            <v>75</v>
          </cell>
          <cell r="AJ272">
            <v>0</v>
          </cell>
          <cell r="AK272">
            <v>0</v>
          </cell>
          <cell r="AL272">
            <v>1</v>
          </cell>
          <cell r="AM272">
            <v>0</v>
          </cell>
          <cell r="AN272">
            <v>1</v>
          </cell>
          <cell r="AO272">
            <v>0</v>
          </cell>
          <cell r="AP272">
            <v>1</v>
          </cell>
          <cell r="AQ272" t="str">
            <v>US_CMSP_00709</v>
          </cell>
          <cell r="AR272">
            <v>0</v>
          </cell>
          <cell r="AS272">
            <v>163</v>
          </cell>
          <cell r="AU272">
            <v>163</v>
          </cell>
          <cell r="AV272">
            <v>0</v>
          </cell>
          <cell r="AW272">
            <v>163</v>
          </cell>
          <cell r="AX272">
            <v>161.37</v>
          </cell>
          <cell r="AY272">
            <v>0</v>
          </cell>
          <cell r="AZ272">
            <v>163</v>
          </cell>
          <cell r="BA272">
            <v>161.37</v>
          </cell>
          <cell r="BB272">
            <v>163</v>
          </cell>
          <cell r="BC272">
            <v>0</v>
          </cell>
          <cell r="BD272">
            <v>0</v>
          </cell>
          <cell r="BE272">
            <v>0</v>
          </cell>
          <cell r="BG272">
            <v>161.37</v>
          </cell>
          <cell r="BI272">
            <v>161.37</v>
          </cell>
          <cell r="BJ272">
            <v>12225</v>
          </cell>
          <cell r="BK272">
            <v>12225</v>
          </cell>
          <cell r="BL272">
            <v>12062</v>
          </cell>
          <cell r="BM272">
            <v>0</v>
          </cell>
          <cell r="BN272">
            <v>0</v>
          </cell>
          <cell r="BO272">
            <v>0</v>
          </cell>
          <cell r="BP272">
            <v>12062</v>
          </cell>
          <cell r="BQ272">
            <v>0</v>
          </cell>
          <cell r="BR272">
            <v>163</v>
          </cell>
          <cell r="BS272" t="str">
            <v>Y</v>
          </cell>
          <cell r="BT272">
            <v>2</v>
          </cell>
          <cell r="BU272">
            <v>1</v>
          </cell>
          <cell r="BV272" t="str">
            <v>N</v>
          </cell>
          <cell r="BW272">
            <v>0</v>
          </cell>
          <cell r="BX272">
            <v>0</v>
          </cell>
          <cell r="BY272">
            <v>2026</v>
          </cell>
          <cell r="BZ272" t="str">
            <v>-</v>
          </cell>
          <cell r="CA272" t="str">
            <v>-</v>
          </cell>
        </row>
        <row r="273">
          <cell r="A273" t="str">
            <v>Lucknow</v>
          </cell>
          <cell r="B273" t="str">
            <v>Mavericks</v>
          </cell>
          <cell r="C273" t="str">
            <v>Mid Level</v>
          </cell>
          <cell r="D273" t="str">
            <v>Mohammad Fakhrul</v>
          </cell>
          <cell r="E273" t="str">
            <v>-</v>
          </cell>
          <cell r="F273" t="str">
            <v>MSP</v>
          </cell>
          <cell r="H273" t="str">
            <v>Pass Through/MSP</v>
          </cell>
          <cell r="J273" t="str">
            <v>ACH</v>
          </cell>
          <cell r="L273" t="str">
            <v>New</v>
          </cell>
          <cell r="M273">
            <v>46093</v>
          </cell>
          <cell r="N273">
            <v>109</v>
          </cell>
          <cell r="P273">
            <v>46458</v>
          </cell>
          <cell r="Q273" t="str">
            <v>PLC-Passthrough</v>
          </cell>
          <cell r="R273" t="str">
            <v>John J Mcdonald</v>
          </cell>
          <cell r="S273" t="str">
            <v>Individual</v>
          </cell>
          <cell r="T273" t="str">
            <v>C2C</v>
          </cell>
          <cell r="U273" t="str">
            <v>CoForge</v>
          </cell>
          <cell r="V273">
            <v>74</v>
          </cell>
          <cell r="W273">
            <v>0</v>
          </cell>
          <cell r="X273" t="str">
            <v>USD</v>
          </cell>
          <cell r="Y273">
            <v>75</v>
          </cell>
          <cell r="Z273">
            <v>0</v>
          </cell>
          <cell r="AA273">
            <v>0</v>
          </cell>
          <cell r="AB273">
            <v>0</v>
          </cell>
          <cell r="AC273">
            <v>46157</v>
          </cell>
          <cell r="AD273">
            <v>22</v>
          </cell>
          <cell r="AE273">
            <v>46387</v>
          </cell>
          <cell r="AF273">
            <v>74</v>
          </cell>
          <cell r="AG273">
            <v>0</v>
          </cell>
          <cell r="AH273">
            <v>74</v>
          </cell>
          <cell r="AI273">
            <v>75</v>
          </cell>
          <cell r="AJ273">
            <v>0</v>
          </cell>
          <cell r="AK273">
            <v>0</v>
          </cell>
          <cell r="AL273">
            <v>1</v>
          </cell>
          <cell r="AM273">
            <v>0</v>
          </cell>
          <cell r="AN273">
            <v>1</v>
          </cell>
          <cell r="AO273">
            <v>0</v>
          </cell>
          <cell r="AP273">
            <v>1</v>
          </cell>
          <cell r="AQ273" t="str">
            <v>US_CMSP_00793</v>
          </cell>
          <cell r="AR273">
            <v>0</v>
          </cell>
          <cell r="AS273">
            <v>163</v>
          </cell>
          <cell r="AU273">
            <v>163</v>
          </cell>
          <cell r="AV273">
            <v>0</v>
          </cell>
          <cell r="AW273">
            <v>163</v>
          </cell>
          <cell r="AX273">
            <v>161.37</v>
          </cell>
          <cell r="AY273">
            <v>0</v>
          </cell>
          <cell r="AZ273">
            <v>163</v>
          </cell>
          <cell r="BA273">
            <v>161.37</v>
          </cell>
          <cell r="BB273">
            <v>163</v>
          </cell>
          <cell r="BC273">
            <v>0</v>
          </cell>
          <cell r="BD273">
            <v>0</v>
          </cell>
          <cell r="BE273">
            <v>0</v>
          </cell>
          <cell r="BG273">
            <v>161.37</v>
          </cell>
          <cell r="BI273">
            <v>161.37</v>
          </cell>
          <cell r="BJ273">
            <v>12225</v>
          </cell>
          <cell r="BK273">
            <v>12225</v>
          </cell>
          <cell r="BL273">
            <v>12062</v>
          </cell>
          <cell r="BM273">
            <v>0</v>
          </cell>
          <cell r="BN273">
            <v>0</v>
          </cell>
          <cell r="BO273">
            <v>0</v>
          </cell>
          <cell r="BP273">
            <v>12062</v>
          </cell>
          <cell r="BQ273">
            <v>0</v>
          </cell>
          <cell r="BR273">
            <v>163</v>
          </cell>
          <cell r="BS273" t="str">
            <v>Y</v>
          </cell>
          <cell r="BT273">
            <v>2</v>
          </cell>
          <cell r="BU273">
            <v>1</v>
          </cell>
          <cell r="BV273" t="str">
            <v>N</v>
          </cell>
          <cell r="BW273">
            <v>0</v>
          </cell>
          <cell r="BX273">
            <v>0</v>
          </cell>
          <cell r="BY273">
            <v>2026</v>
          </cell>
          <cell r="BZ273" t="str">
            <v>-</v>
          </cell>
          <cell r="CA273" t="str">
            <v>-</v>
          </cell>
        </row>
        <row r="274">
          <cell r="A274" t="str">
            <v>Lucknow</v>
          </cell>
          <cell r="B274" t="str">
            <v>Trust</v>
          </cell>
          <cell r="C274" t="str">
            <v>Mid Level</v>
          </cell>
          <cell r="D274" t="str">
            <v>Shashank Yadav</v>
          </cell>
          <cell r="E274" t="str">
            <v>-</v>
          </cell>
          <cell r="F274" t="str">
            <v>Non-MSP</v>
          </cell>
          <cell r="H274" t="str">
            <v>Abhishek Verma</v>
          </cell>
          <cell r="L274" t="str">
            <v>New</v>
          </cell>
          <cell r="M274">
            <v>46126</v>
          </cell>
          <cell r="N274">
            <v>76</v>
          </cell>
          <cell r="P274">
            <v>46491</v>
          </cell>
          <cell r="Q274" t="str">
            <v>PLC-4803</v>
          </cell>
          <cell r="R274" t="str">
            <v>John Young</v>
          </cell>
          <cell r="S274" t="str">
            <v>Individual</v>
          </cell>
          <cell r="T274" t="str">
            <v>FTE</v>
          </cell>
          <cell r="U274" t="str">
            <v>Reflik</v>
          </cell>
          <cell r="V274">
            <v>0</v>
          </cell>
          <cell r="W274">
            <v>0</v>
          </cell>
          <cell r="X274" t="str">
            <v>USD</v>
          </cell>
          <cell r="Y274">
            <v>5000</v>
          </cell>
          <cell r="Z274">
            <v>0</v>
          </cell>
          <cell r="AA274">
            <v>0</v>
          </cell>
          <cell r="AB274">
            <v>0</v>
          </cell>
          <cell r="AC274">
            <v>46127</v>
          </cell>
          <cell r="AD274">
            <v>1</v>
          </cell>
          <cell r="AE274">
            <v>46387</v>
          </cell>
          <cell r="AF274">
            <v>0</v>
          </cell>
          <cell r="AG274">
            <v>0</v>
          </cell>
          <cell r="AH274">
            <v>0</v>
          </cell>
          <cell r="AI274">
            <v>5000</v>
          </cell>
          <cell r="AJ274">
            <v>0</v>
          </cell>
          <cell r="AK274">
            <v>0</v>
          </cell>
          <cell r="AL274">
            <v>5000</v>
          </cell>
          <cell r="AM274">
            <v>0</v>
          </cell>
          <cell r="AN274">
            <v>5000</v>
          </cell>
          <cell r="AO274">
            <v>0</v>
          </cell>
          <cell r="AP274">
            <v>5000</v>
          </cell>
          <cell r="AQ274" t="str">
            <v>US_27696</v>
          </cell>
          <cell r="AR274">
            <v>0</v>
          </cell>
          <cell r="AS274">
            <v>1</v>
          </cell>
          <cell r="AU274">
            <v>1</v>
          </cell>
          <cell r="AV274">
            <v>0</v>
          </cell>
          <cell r="AW274">
            <v>5000</v>
          </cell>
          <cell r="AX274">
            <v>5000</v>
          </cell>
          <cell r="AY274">
            <v>0</v>
          </cell>
          <cell r="AZ274">
            <v>5000</v>
          </cell>
          <cell r="BA274">
            <v>5000</v>
          </cell>
          <cell r="BB274">
            <v>5000</v>
          </cell>
          <cell r="BC274">
            <v>0</v>
          </cell>
          <cell r="BD274">
            <v>0</v>
          </cell>
          <cell r="BE274">
            <v>0</v>
          </cell>
          <cell r="BG274">
            <v>5000</v>
          </cell>
          <cell r="BI274">
            <v>0</v>
          </cell>
          <cell r="BJ274">
            <v>5000</v>
          </cell>
          <cell r="BK274">
            <v>5000</v>
          </cell>
          <cell r="BL274">
            <v>0</v>
          </cell>
          <cell r="BM274">
            <v>0</v>
          </cell>
          <cell r="BN274">
            <v>0</v>
          </cell>
          <cell r="BO274">
            <v>0</v>
          </cell>
          <cell r="BP274">
            <v>0</v>
          </cell>
          <cell r="BQ274">
            <v>0</v>
          </cell>
          <cell r="BR274">
            <v>5000</v>
          </cell>
          <cell r="BT274">
            <v>2</v>
          </cell>
          <cell r="BU274">
            <v>2</v>
          </cell>
          <cell r="BV274" t="str">
            <v>Y</v>
          </cell>
          <cell r="BW274">
            <v>0</v>
          </cell>
          <cell r="BX274">
            <v>0</v>
          </cell>
          <cell r="BY274">
            <v>2026</v>
          </cell>
          <cell r="BZ274" t="str">
            <v>-</v>
          </cell>
          <cell r="CA274" t="str">
            <v>-</v>
          </cell>
        </row>
        <row r="275">
          <cell r="A275" t="str">
            <v>Lucknow</v>
          </cell>
          <cell r="B275" t="str">
            <v>Titans</v>
          </cell>
          <cell r="C275" t="str">
            <v>Mid Level</v>
          </cell>
          <cell r="D275" t="str">
            <v>Abhishek Yadav</v>
          </cell>
          <cell r="E275" t="str">
            <v>-</v>
          </cell>
          <cell r="F275" t="str">
            <v>Non-MSP</v>
          </cell>
          <cell r="H275" t="str">
            <v>Manish Kumar Dhiman</v>
          </cell>
          <cell r="J275" t="str">
            <v>ACH</v>
          </cell>
          <cell r="L275" t="str">
            <v>New</v>
          </cell>
          <cell r="M275">
            <v>46076</v>
          </cell>
          <cell r="N275">
            <v>126</v>
          </cell>
          <cell r="P275">
            <v>46441</v>
          </cell>
          <cell r="Q275" t="str">
            <v>PLC-4699</v>
          </cell>
          <cell r="R275" t="str">
            <v>Jomy Vadakkedam</v>
          </cell>
          <cell r="S275" t="str">
            <v>Individual</v>
          </cell>
          <cell r="T275" t="str">
            <v>C2C</v>
          </cell>
          <cell r="U275" t="str">
            <v>Genpact</v>
          </cell>
          <cell r="V275">
            <v>45</v>
          </cell>
          <cell r="W275">
            <v>0</v>
          </cell>
          <cell r="X275" t="str">
            <v>USD</v>
          </cell>
          <cell r="Y275">
            <v>59</v>
          </cell>
          <cell r="Z275">
            <v>0</v>
          </cell>
          <cell r="AA275">
            <v>0</v>
          </cell>
          <cell r="AB275">
            <v>0</v>
          </cell>
          <cell r="AC275">
            <v>46068</v>
          </cell>
          <cell r="AD275">
            <v>5</v>
          </cell>
          <cell r="AE275">
            <v>46387</v>
          </cell>
          <cell r="AF275">
            <v>45</v>
          </cell>
          <cell r="AG275">
            <v>0</v>
          </cell>
          <cell r="AH275">
            <v>45</v>
          </cell>
          <cell r="AI275">
            <v>59</v>
          </cell>
          <cell r="AJ275">
            <v>0</v>
          </cell>
          <cell r="AK275">
            <v>0</v>
          </cell>
          <cell r="AL275">
            <v>14</v>
          </cell>
          <cell r="AM275">
            <v>0</v>
          </cell>
          <cell r="AN275">
            <v>14</v>
          </cell>
          <cell r="AO275">
            <v>0</v>
          </cell>
          <cell r="AP275">
            <v>14</v>
          </cell>
          <cell r="AQ275" t="str">
            <v>US_27180</v>
          </cell>
          <cell r="AR275">
            <v>0</v>
          </cell>
          <cell r="AS275">
            <v>32</v>
          </cell>
          <cell r="AU275">
            <v>32</v>
          </cell>
          <cell r="AV275">
            <v>0</v>
          </cell>
          <cell r="AW275">
            <v>448</v>
          </cell>
          <cell r="AX275">
            <v>443.52</v>
          </cell>
          <cell r="AY275">
            <v>0</v>
          </cell>
          <cell r="AZ275">
            <v>448</v>
          </cell>
          <cell r="BA275">
            <v>443.52</v>
          </cell>
          <cell r="BB275">
            <v>448</v>
          </cell>
          <cell r="BC275">
            <v>0</v>
          </cell>
          <cell r="BD275">
            <v>0</v>
          </cell>
          <cell r="BE275">
            <v>0</v>
          </cell>
          <cell r="BG275">
            <v>443.52</v>
          </cell>
          <cell r="BI275">
            <v>443.52</v>
          </cell>
          <cell r="BJ275">
            <v>1888</v>
          </cell>
          <cell r="BK275">
            <v>1888</v>
          </cell>
          <cell r="BL275">
            <v>1440</v>
          </cell>
          <cell r="BM275">
            <v>0</v>
          </cell>
          <cell r="BN275">
            <v>0</v>
          </cell>
          <cell r="BO275">
            <v>0</v>
          </cell>
          <cell r="BP275">
            <v>1440</v>
          </cell>
          <cell r="BQ275">
            <v>0</v>
          </cell>
          <cell r="BR275">
            <v>448</v>
          </cell>
          <cell r="BS275" t="str">
            <v>Y</v>
          </cell>
          <cell r="BT275">
            <v>1</v>
          </cell>
          <cell r="BU275">
            <v>1</v>
          </cell>
          <cell r="BV275" t="str">
            <v>Y</v>
          </cell>
          <cell r="BW275">
            <v>0</v>
          </cell>
          <cell r="BX275">
            <v>0</v>
          </cell>
          <cell r="BY275">
            <v>2026</v>
          </cell>
          <cell r="BZ275" t="str">
            <v>-</v>
          </cell>
          <cell r="CA275" t="str">
            <v>-</v>
          </cell>
        </row>
        <row r="276">
          <cell r="A276" t="str">
            <v>Lucknow</v>
          </cell>
          <cell r="B276" t="str">
            <v>Titans</v>
          </cell>
          <cell r="C276" t="str">
            <v>Mid Level</v>
          </cell>
          <cell r="D276" t="str">
            <v>Abhishek Yadav</v>
          </cell>
          <cell r="E276" t="str">
            <v>-</v>
          </cell>
          <cell r="F276" t="str">
            <v>Non-MSP</v>
          </cell>
          <cell r="H276" t="str">
            <v>Manish Kumar Dhiman</v>
          </cell>
          <cell r="J276" t="str">
            <v>ACH</v>
          </cell>
          <cell r="L276" t="str">
            <v>New</v>
          </cell>
          <cell r="M276">
            <v>46076</v>
          </cell>
          <cell r="N276">
            <v>126</v>
          </cell>
          <cell r="P276">
            <v>46441</v>
          </cell>
          <cell r="Q276" t="str">
            <v>PLC-4699</v>
          </cell>
          <cell r="R276" t="str">
            <v>Jomy Vadakkedam</v>
          </cell>
          <cell r="S276" t="str">
            <v>Individual</v>
          </cell>
          <cell r="T276" t="str">
            <v>C2C</v>
          </cell>
          <cell r="U276" t="str">
            <v>Genpact</v>
          </cell>
          <cell r="V276">
            <v>45</v>
          </cell>
          <cell r="W276">
            <v>0</v>
          </cell>
          <cell r="X276" t="str">
            <v>USD</v>
          </cell>
          <cell r="Y276">
            <v>59</v>
          </cell>
          <cell r="Z276">
            <v>0</v>
          </cell>
          <cell r="AA276">
            <v>0</v>
          </cell>
          <cell r="AB276">
            <v>0</v>
          </cell>
          <cell r="AC276">
            <v>46096</v>
          </cell>
          <cell r="AD276">
            <v>22</v>
          </cell>
          <cell r="AE276">
            <v>46387</v>
          </cell>
          <cell r="AF276">
            <v>45</v>
          </cell>
          <cell r="AG276">
            <v>0</v>
          </cell>
          <cell r="AH276">
            <v>45</v>
          </cell>
          <cell r="AI276">
            <v>59</v>
          </cell>
          <cell r="AJ276">
            <v>0</v>
          </cell>
          <cell r="AK276">
            <v>0</v>
          </cell>
          <cell r="AL276">
            <v>14</v>
          </cell>
          <cell r="AM276">
            <v>0</v>
          </cell>
          <cell r="AN276">
            <v>14</v>
          </cell>
          <cell r="AO276">
            <v>0</v>
          </cell>
          <cell r="AP276">
            <v>14</v>
          </cell>
          <cell r="AQ276" t="str">
            <v>US_27393</v>
          </cell>
          <cell r="AR276">
            <v>0</v>
          </cell>
          <cell r="AS276">
            <v>168</v>
          </cell>
          <cell r="AU276">
            <v>168</v>
          </cell>
          <cell r="AV276">
            <v>0</v>
          </cell>
          <cell r="AW276">
            <v>2352</v>
          </cell>
          <cell r="AX276">
            <v>2328.48</v>
          </cell>
          <cell r="AY276">
            <v>0</v>
          </cell>
          <cell r="AZ276">
            <v>2352</v>
          </cell>
          <cell r="BA276">
            <v>2328.48</v>
          </cell>
          <cell r="BB276">
            <v>2352</v>
          </cell>
          <cell r="BC276">
            <v>0</v>
          </cell>
          <cell r="BD276">
            <v>0</v>
          </cell>
          <cell r="BE276">
            <v>0</v>
          </cell>
          <cell r="BG276">
            <v>2328.48</v>
          </cell>
          <cell r="BI276">
            <v>2328.48</v>
          </cell>
          <cell r="BJ276">
            <v>9912</v>
          </cell>
          <cell r="BK276">
            <v>9912</v>
          </cell>
          <cell r="BL276">
            <v>7560</v>
          </cell>
          <cell r="BM276">
            <v>0</v>
          </cell>
          <cell r="BN276">
            <v>0</v>
          </cell>
          <cell r="BO276">
            <v>0</v>
          </cell>
          <cell r="BP276">
            <v>7560</v>
          </cell>
          <cell r="BQ276">
            <v>0</v>
          </cell>
          <cell r="BR276">
            <v>2352</v>
          </cell>
          <cell r="BT276">
            <v>1</v>
          </cell>
          <cell r="BU276">
            <v>1</v>
          </cell>
          <cell r="BV276" t="str">
            <v>Y</v>
          </cell>
          <cell r="BW276">
            <v>0</v>
          </cell>
          <cell r="BX276">
            <v>0</v>
          </cell>
          <cell r="BY276">
            <v>2026</v>
          </cell>
          <cell r="BZ276" t="str">
            <v>-</v>
          </cell>
          <cell r="CA276" t="str">
            <v>-</v>
          </cell>
        </row>
        <row r="277">
          <cell r="A277" t="str">
            <v>Lucknow</v>
          </cell>
          <cell r="B277" t="str">
            <v>Titans</v>
          </cell>
          <cell r="C277" t="str">
            <v>Mid Level</v>
          </cell>
          <cell r="D277" t="str">
            <v>Abhishek Yadav</v>
          </cell>
          <cell r="E277" t="str">
            <v>-</v>
          </cell>
          <cell r="F277" t="str">
            <v>Non-MSP</v>
          </cell>
          <cell r="H277" t="str">
            <v>Manish Kumar Dhiman</v>
          </cell>
          <cell r="J277" t="str">
            <v>ACH</v>
          </cell>
          <cell r="L277" t="str">
            <v>New</v>
          </cell>
          <cell r="M277">
            <v>46076</v>
          </cell>
          <cell r="N277">
            <v>126</v>
          </cell>
          <cell r="P277">
            <v>46441</v>
          </cell>
          <cell r="Q277" t="str">
            <v>PLC-4699</v>
          </cell>
          <cell r="R277" t="str">
            <v>Jomy Vadakkedam</v>
          </cell>
          <cell r="S277" t="str">
            <v>Individual</v>
          </cell>
          <cell r="T277" t="str">
            <v>C2C</v>
          </cell>
          <cell r="U277" t="str">
            <v>Genpact</v>
          </cell>
          <cell r="V277">
            <v>45</v>
          </cell>
          <cell r="W277">
            <v>0</v>
          </cell>
          <cell r="X277" t="str">
            <v>USD</v>
          </cell>
          <cell r="Y277">
            <v>59</v>
          </cell>
          <cell r="Z277">
            <v>0</v>
          </cell>
          <cell r="AA277">
            <v>0</v>
          </cell>
          <cell r="AB277">
            <v>0</v>
          </cell>
          <cell r="AC277">
            <v>46127</v>
          </cell>
          <cell r="AD277">
            <v>22</v>
          </cell>
          <cell r="AE277">
            <v>46387</v>
          </cell>
          <cell r="AF277">
            <v>45</v>
          </cell>
          <cell r="AG277">
            <v>0</v>
          </cell>
          <cell r="AH277">
            <v>45</v>
          </cell>
          <cell r="AI277">
            <v>59</v>
          </cell>
          <cell r="AJ277">
            <v>0</v>
          </cell>
          <cell r="AK277">
            <v>0</v>
          </cell>
          <cell r="AL277">
            <v>14</v>
          </cell>
          <cell r="AM277">
            <v>0</v>
          </cell>
          <cell r="AN277">
            <v>14</v>
          </cell>
          <cell r="AO277">
            <v>0</v>
          </cell>
          <cell r="AP277">
            <v>14</v>
          </cell>
          <cell r="AQ277" t="str">
            <v>US_27626</v>
          </cell>
          <cell r="AR277">
            <v>0</v>
          </cell>
          <cell r="AS277">
            <v>169</v>
          </cell>
          <cell r="AU277">
            <v>169</v>
          </cell>
          <cell r="AV277">
            <v>0</v>
          </cell>
          <cell r="AW277">
            <v>2366</v>
          </cell>
          <cell r="AX277">
            <v>2342.34</v>
          </cell>
          <cell r="AY277">
            <v>0</v>
          </cell>
          <cell r="AZ277">
            <v>2366</v>
          </cell>
          <cell r="BA277">
            <v>2342.34</v>
          </cell>
          <cell r="BB277">
            <v>2366</v>
          </cell>
          <cell r="BC277">
            <v>0</v>
          </cell>
          <cell r="BD277">
            <v>0</v>
          </cell>
          <cell r="BE277">
            <v>0</v>
          </cell>
          <cell r="BG277">
            <v>2342.34</v>
          </cell>
          <cell r="BI277">
            <v>2342.34</v>
          </cell>
          <cell r="BJ277">
            <v>9971</v>
          </cell>
          <cell r="BK277">
            <v>9971</v>
          </cell>
          <cell r="BL277">
            <v>7605</v>
          </cell>
          <cell r="BM277">
            <v>0</v>
          </cell>
          <cell r="BN277">
            <v>0</v>
          </cell>
          <cell r="BO277">
            <v>0</v>
          </cell>
          <cell r="BP277">
            <v>7605</v>
          </cell>
          <cell r="BQ277">
            <v>0</v>
          </cell>
          <cell r="BR277">
            <v>2366</v>
          </cell>
          <cell r="BT277">
            <v>2</v>
          </cell>
          <cell r="BU277">
            <v>1</v>
          </cell>
          <cell r="BV277" t="str">
            <v>Y</v>
          </cell>
          <cell r="BW277">
            <v>0</v>
          </cell>
          <cell r="BX277">
            <v>0</v>
          </cell>
          <cell r="BY277">
            <v>2026</v>
          </cell>
          <cell r="BZ277" t="str">
            <v>-</v>
          </cell>
          <cell r="CA277" t="str">
            <v>-</v>
          </cell>
        </row>
        <row r="278">
          <cell r="A278" t="str">
            <v>Lucknow</v>
          </cell>
          <cell r="B278" t="str">
            <v>Titans</v>
          </cell>
          <cell r="C278" t="str">
            <v>Mid Level</v>
          </cell>
          <cell r="D278" t="str">
            <v>Abhishek Yadav</v>
          </cell>
          <cell r="E278" t="str">
            <v>-</v>
          </cell>
          <cell r="F278" t="str">
            <v>Non-MSP</v>
          </cell>
          <cell r="H278" t="str">
            <v>Manish Kumar Dhiman</v>
          </cell>
          <cell r="J278" t="str">
            <v>ACH</v>
          </cell>
          <cell r="L278" t="str">
            <v>New</v>
          </cell>
          <cell r="M278">
            <v>46076</v>
          </cell>
          <cell r="N278">
            <v>126</v>
          </cell>
          <cell r="P278">
            <v>46441</v>
          </cell>
          <cell r="Q278" t="str">
            <v>PLC-4699</v>
          </cell>
          <cell r="R278" t="str">
            <v>Jomy Vadakkedam</v>
          </cell>
          <cell r="S278" t="str">
            <v>Individual</v>
          </cell>
          <cell r="T278" t="str">
            <v>C2C</v>
          </cell>
          <cell r="U278" t="str">
            <v>Genpact</v>
          </cell>
          <cell r="V278">
            <v>45</v>
          </cell>
          <cell r="W278">
            <v>0</v>
          </cell>
          <cell r="X278" t="str">
            <v>USD</v>
          </cell>
          <cell r="Y278">
            <v>59</v>
          </cell>
          <cell r="Z278">
            <v>0</v>
          </cell>
          <cell r="AA278">
            <v>0</v>
          </cell>
          <cell r="AB278">
            <v>0</v>
          </cell>
          <cell r="AC278">
            <v>46157</v>
          </cell>
          <cell r="AD278">
            <v>22</v>
          </cell>
          <cell r="AE278">
            <v>46387</v>
          </cell>
          <cell r="AF278">
            <v>45</v>
          </cell>
          <cell r="AG278">
            <v>0</v>
          </cell>
          <cell r="AH278">
            <v>45</v>
          </cell>
          <cell r="AI278">
            <v>59</v>
          </cell>
          <cell r="AJ278">
            <v>0</v>
          </cell>
          <cell r="AK278">
            <v>0</v>
          </cell>
          <cell r="AL278">
            <v>14</v>
          </cell>
          <cell r="AM278">
            <v>0</v>
          </cell>
          <cell r="AN278">
            <v>14</v>
          </cell>
          <cell r="AO278">
            <v>0</v>
          </cell>
          <cell r="AP278">
            <v>14</v>
          </cell>
          <cell r="AU278">
            <v>176</v>
          </cell>
          <cell r="BB278">
            <v>2464</v>
          </cell>
          <cell r="BC278">
            <v>0</v>
          </cell>
          <cell r="BD278">
            <v>0</v>
          </cell>
          <cell r="BE278">
            <v>0</v>
          </cell>
          <cell r="BK278">
            <v>10384</v>
          </cell>
          <cell r="BL278">
            <v>7920</v>
          </cell>
          <cell r="BM278">
            <v>0</v>
          </cell>
          <cell r="BN278">
            <v>0</v>
          </cell>
          <cell r="BO278">
            <v>0</v>
          </cell>
          <cell r="BP278">
            <v>7920</v>
          </cell>
          <cell r="BQ278">
            <v>0</v>
          </cell>
          <cell r="BR278">
            <v>2464</v>
          </cell>
          <cell r="BT278">
            <v>2</v>
          </cell>
          <cell r="BU278">
            <v>1</v>
          </cell>
          <cell r="BV278" t="str">
            <v>Y</v>
          </cell>
          <cell r="BW278">
            <v>0</v>
          </cell>
          <cell r="BX278">
            <v>0</v>
          </cell>
          <cell r="BY278">
            <v>2026</v>
          </cell>
          <cell r="BZ278" t="str">
            <v>-</v>
          </cell>
          <cell r="CA278" t="str">
            <v>-</v>
          </cell>
        </row>
        <row r="279">
          <cell r="A279" t="str">
            <v>Lucknow</v>
          </cell>
          <cell r="B279" t="str">
            <v>Vantedge</v>
          </cell>
          <cell r="C279" t="str">
            <v>Senior</v>
          </cell>
          <cell r="D279" t="str">
            <v>Raunak Tripathi</v>
          </cell>
          <cell r="E279" t="str">
            <v>-</v>
          </cell>
          <cell r="F279" t="str">
            <v>Non-MSP</v>
          </cell>
          <cell r="H279" t="str">
            <v>Prithvi Singh</v>
          </cell>
          <cell r="L279" t="str">
            <v>New</v>
          </cell>
          <cell r="M279">
            <v>46135</v>
          </cell>
          <cell r="N279">
            <v>67</v>
          </cell>
          <cell r="P279">
            <v>46500</v>
          </cell>
          <cell r="Q279" t="str">
            <v>PLC-4843</v>
          </cell>
          <cell r="R279" t="str">
            <v>Jose Paolo Concepcion Jaucian</v>
          </cell>
          <cell r="S279" t="str">
            <v>Individual</v>
          </cell>
          <cell r="T279" t="str">
            <v>FTE</v>
          </cell>
          <cell r="U279" t="str">
            <v>LTM</v>
          </cell>
          <cell r="V279">
            <v>0</v>
          </cell>
          <cell r="W279">
            <v>0</v>
          </cell>
          <cell r="X279" t="str">
            <v>USD</v>
          </cell>
          <cell r="Y279">
            <v>27000</v>
          </cell>
          <cell r="Z279">
            <v>0</v>
          </cell>
          <cell r="AA279">
            <v>0</v>
          </cell>
          <cell r="AB279">
            <v>0</v>
          </cell>
          <cell r="AC279">
            <v>46127</v>
          </cell>
          <cell r="AD279">
            <v>1</v>
          </cell>
          <cell r="AE279">
            <v>46387</v>
          </cell>
          <cell r="AF279">
            <v>0</v>
          </cell>
          <cell r="AG279">
            <v>0</v>
          </cell>
          <cell r="AH279">
            <v>0</v>
          </cell>
          <cell r="AI279">
            <v>27000</v>
          </cell>
          <cell r="AJ279">
            <v>0</v>
          </cell>
          <cell r="AK279">
            <v>0</v>
          </cell>
          <cell r="AL279">
            <v>27000</v>
          </cell>
          <cell r="AM279">
            <v>0</v>
          </cell>
          <cell r="AN279">
            <v>27000</v>
          </cell>
          <cell r="AO279">
            <v>0</v>
          </cell>
          <cell r="AP279">
            <v>27000</v>
          </cell>
          <cell r="AU279">
            <v>1</v>
          </cell>
          <cell r="BB279">
            <v>27000</v>
          </cell>
          <cell r="BC279">
            <v>0</v>
          </cell>
          <cell r="BD279">
            <v>0</v>
          </cell>
          <cell r="BE279">
            <v>0</v>
          </cell>
          <cell r="BI279">
            <v>0</v>
          </cell>
          <cell r="BK279">
            <v>27000</v>
          </cell>
          <cell r="BL279">
            <v>0</v>
          </cell>
          <cell r="BM279">
            <v>0</v>
          </cell>
          <cell r="BN279">
            <v>0</v>
          </cell>
          <cell r="BO279">
            <v>0</v>
          </cell>
          <cell r="BP279">
            <v>0</v>
          </cell>
          <cell r="BQ279">
            <v>0</v>
          </cell>
          <cell r="BR279">
            <v>27000</v>
          </cell>
          <cell r="BT279">
            <v>2</v>
          </cell>
          <cell r="BU279">
            <v>2</v>
          </cell>
          <cell r="BV279" t="str">
            <v>N</v>
          </cell>
          <cell r="BW279">
            <v>0</v>
          </cell>
          <cell r="BX279">
            <v>0</v>
          </cell>
          <cell r="BY279">
            <v>2026</v>
          </cell>
          <cell r="BZ279" t="str">
            <v>-</v>
          </cell>
          <cell r="CA279" t="str">
            <v>-</v>
          </cell>
        </row>
        <row r="280">
          <cell r="A280" t="str">
            <v>Lucknow</v>
          </cell>
          <cell r="B280" t="str">
            <v>Vantedge</v>
          </cell>
          <cell r="C280" t="str">
            <v>Senior</v>
          </cell>
          <cell r="D280" t="str">
            <v>Anshul Kumar</v>
          </cell>
          <cell r="E280" t="str">
            <v>-</v>
          </cell>
          <cell r="F280" t="str">
            <v>Non-MSP</v>
          </cell>
          <cell r="H280" t="str">
            <v>Priyansh Khare</v>
          </cell>
          <cell r="L280" t="str">
            <v>New</v>
          </cell>
          <cell r="M280">
            <v>46055</v>
          </cell>
          <cell r="N280">
            <v>147</v>
          </cell>
          <cell r="P280">
            <v>46420</v>
          </cell>
          <cell r="Q280" t="str">
            <v>PLC-722</v>
          </cell>
          <cell r="R280" t="str">
            <v>Josh Reeves</v>
          </cell>
          <cell r="S280" t="str">
            <v>Individual</v>
          </cell>
          <cell r="T280" t="str">
            <v>FTE</v>
          </cell>
          <cell r="U280" t="str">
            <v>LTTS</v>
          </cell>
          <cell r="V280">
            <v>0</v>
          </cell>
          <cell r="W280">
            <v>0</v>
          </cell>
          <cell r="X280" t="str">
            <v>USD</v>
          </cell>
          <cell r="Y280">
            <v>19000</v>
          </cell>
          <cell r="Z280">
            <v>0</v>
          </cell>
          <cell r="AA280">
            <v>0</v>
          </cell>
          <cell r="AB280">
            <v>0</v>
          </cell>
          <cell r="AC280">
            <v>46068</v>
          </cell>
          <cell r="AD280">
            <v>1</v>
          </cell>
          <cell r="AE280">
            <v>46387</v>
          </cell>
          <cell r="AF280">
            <v>0</v>
          </cell>
          <cell r="AG280">
            <v>0</v>
          </cell>
          <cell r="AH280">
            <v>0</v>
          </cell>
          <cell r="AI280">
            <v>19000</v>
          </cell>
          <cell r="AJ280">
            <v>0</v>
          </cell>
          <cell r="AK280">
            <v>0</v>
          </cell>
          <cell r="AL280">
            <v>19000</v>
          </cell>
          <cell r="AM280">
            <v>0</v>
          </cell>
          <cell r="AN280">
            <v>19000</v>
          </cell>
          <cell r="AO280">
            <v>0</v>
          </cell>
          <cell r="AP280">
            <v>19000</v>
          </cell>
          <cell r="AQ280" t="str">
            <v>US_26971</v>
          </cell>
          <cell r="AR280">
            <v>0</v>
          </cell>
          <cell r="AS280">
            <v>1</v>
          </cell>
          <cell r="AU280">
            <v>1</v>
          </cell>
          <cell r="AV280">
            <v>0</v>
          </cell>
          <cell r="AW280">
            <v>19000</v>
          </cell>
          <cell r="AX280">
            <v>19000</v>
          </cell>
          <cell r="AY280">
            <v>0</v>
          </cell>
          <cell r="AZ280">
            <v>19000</v>
          </cell>
          <cell r="BA280">
            <v>19000</v>
          </cell>
          <cell r="BB280">
            <v>19000</v>
          </cell>
          <cell r="BC280">
            <v>87.1</v>
          </cell>
          <cell r="BD280">
            <v>31350</v>
          </cell>
          <cell r="BE280">
            <v>31350</v>
          </cell>
          <cell r="BG280">
            <v>19000</v>
          </cell>
          <cell r="BI280">
            <v>19000</v>
          </cell>
          <cell r="BJ280">
            <v>19000</v>
          </cell>
          <cell r="BK280">
            <v>19000</v>
          </cell>
          <cell r="BL280">
            <v>0</v>
          </cell>
          <cell r="BM280">
            <v>0</v>
          </cell>
          <cell r="BN280">
            <v>0</v>
          </cell>
          <cell r="BO280">
            <v>0</v>
          </cell>
          <cell r="BP280">
            <v>0</v>
          </cell>
          <cell r="BQ280">
            <v>0</v>
          </cell>
          <cell r="BR280">
            <v>19000</v>
          </cell>
          <cell r="BS280" t="str">
            <v>Y</v>
          </cell>
          <cell r="BT280">
            <v>1</v>
          </cell>
          <cell r="BU280">
            <v>1</v>
          </cell>
          <cell r="BV280" t="str">
            <v>Y</v>
          </cell>
          <cell r="BW280">
            <v>62700</v>
          </cell>
          <cell r="BX280">
            <v>62700</v>
          </cell>
          <cell r="BY280">
            <v>2026</v>
          </cell>
          <cell r="BZ280" t="str">
            <v>-</v>
          </cell>
          <cell r="CA280" t="str">
            <v>-</v>
          </cell>
        </row>
        <row r="281">
          <cell r="A281" t="str">
            <v>Lucknow</v>
          </cell>
          <cell r="B281" t="str">
            <v>Titans</v>
          </cell>
          <cell r="C281" t="str">
            <v>Mid Level</v>
          </cell>
          <cell r="D281" t="str">
            <v>Nitin Saxena</v>
          </cell>
          <cell r="E281" t="str">
            <v>-</v>
          </cell>
          <cell r="F281" t="str">
            <v>Non-MSP</v>
          </cell>
          <cell r="H281" t="str">
            <v>Aman Bajpai</v>
          </cell>
          <cell r="J281" t="str">
            <v>ACH</v>
          </cell>
          <cell r="L281" t="str">
            <v>New</v>
          </cell>
          <cell r="M281">
            <v>46097</v>
          </cell>
          <cell r="N281">
            <v>105</v>
          </cell>
          <cell r="O281">
            <v>46161</v>
          </cell>
          <cell r="P281">
            <v>46462</v>
          </cell>
          <cell r="Q281" t="str">
            <v>PLC-4780</v>
          </cell>
          <cell r="R281" t="str">
            <v>Joshua Foglia</v>
          </cell>
          <cell r="S281" t="str">
            <v>Individual</v>
          </cell>
          <cell r="T281">
            <v>1099</v>
          </cell>
          <cell r="U281" t="str">
            <v>Genpact</v>
          </cell>
          <cell r="V281">
            <v>19</v>
          </cell>
          <cell r="W281">
            <v>0</v>
          </cell>
          <cell r="X281" t="str">
            <v>USD</v>
          </cell>
          <cell r="Y281">
            <v>28</v>
          </cell>
          <cell r="Z281">
            <v>0</v>
          </cell>
          <cell r="AA281">
            <v>0</v>
          </cell>
          <cell r="AB281">
            <v>0</v>
          </cell>
          <cell r="AC281">
            <v>46096</v>
          </cell>
          <cell r="AD281">
            <v>12</v>
          </cell>
          <cell r="AE281">
            <v>46387</v>
          </cell>
          <cell r="AF281">
            <v>20.330000000000002</v>
          </cell>
          <cell r="AG281">
            <v>0</v>
          </cell>
          <cell r="AH281">
            <v>20.330000000000002</v>
          </cell>
          <cell r="AI281">
            <v>28</v>
          </cell>
          <cell r="AJ281">
            <v>0</v>
          </cell>
          <cell r="AK281">
            <v>0</v>
          </cell>
          <cell r="AL281">
            <v>7.6699999999999982</v>
          </cell>
          <cell r="AM281">
            <v>0</v>
          </cell>
          <cell r="AN281">
            <v>7.6699999999999982</v>
          </cell>
          <cell r="AO281">
            <v>0</v>
          </cell>
          <cell r="AP281">
            <v>7.6699999999999982</v>
          </cell>
          <cell r="AQ281" t="str">
            <v>US_27420</v>
          </cell>
          <cell r="AR281">
            <v>0</v>
          </cell>
          <cell r="AS281">
            <v>96</v>
          </cell>
          <cell r="AU281">
            <v>96</v>
          </cell>
          <cell r="AV281">
            <v>0</v>
          </cell>
          <cell r="AW281">
            <v>736.31999999999982</v>
          </cell>
          <cell r="AX281">
            <v>728.95679999999982</v>
          </cell>
          <cell r="AY281">
            <v>0</v>
          </cell>
          <cell r="AZ281">
            <v>736.31999999999982</v>
          </cell>
          <cell r="BA281">
            <v>728.95679999999982</v>
          </cell>
          <cell r="BB281">
            <v>736.31999999999982</v>
          </cell>
          <cell r="BC281">
            <v>0</v>
          </cell>
          <cell r="BD281">
            <v>0</v>
          </cell>
          <cell r="BE281">
            <v>0</v>
          </cell>
          <cell r="BG281">
            <v>728.95679999999982</v>
          </cell>
          <cell r="BI281">
            <v>728.95679999999982</v>
          </cell>
          <cell r="BJ281">
            <v>2688</v>
          </cell>
          <cell r="BK281">
            <v>2688</v>
          </cell>
          <cell r="BL281">
            <v>1824</v>
          </cell>
          <cell r="BM281">
            <v>1.33</v>
          </cell>
          <cell r="BN281">
            <v>0</v>
          </cell>
          <cell r="BO281">
            <v>127.68</v>
          </cell>
          <cell r="BP281">
            <v>1951.68</v>
          </cell>
          <cell r="BQ281">
            <v>1.33</v>
          </cell>
          <cell r="BR281">
            <v>736.31999999999994</v>
          </cell>
          <cell r="BS281" t="str">
            <v>Y</v>
          </cell>
          <cell r="BT281">
            <v>1</v>
          </cell>
          <cell r="BU281">
            <v>1</v>
          </cell>
          <cell r="BV281" t="str">
            <v>N</v>
          </cell>
          <cell r="BW281">
            <v>0</v>
          </cell>
          <cell r="BX281">
            <v>0</v>
          </cell>
          <cell r="BY281">
            <v>2026</v>
          </cell>
          <cell r="BZ281" t="str">
            <v>-</v>
          </cell>
          <cell r="CA281" t="str">
            <v>-</v>
          </cell>
        </row>
        <row r="282">
          <cell r="A282" t="str">
            <v>Lucknow</v>
          </cell>
          <cell r="B282" t="str">
            <v>Titans</v>
          </cell>
          <cell r="C282" t="str">
            <v>Mid Level</v>
          </cell>
          <cell r="D282" t="str">
            <v>Nitin Saxena</v>
          </cell>
          <cell r="E282" t="str">
            <v>-</v>
          </cell>
          <cell r="F282" t="str">
            <v>Non-MSP</v>
          </cell>
          <cell r="H282" t="str">
            <v>Aman Bajpai</v>
          </cell>
          <cell r="J282" t="str">
            <v>ACH</v>
          </cell>
          <cell r="L282" t="str">
            <v>New</v>
          </cell>
          <cell r="M282">
            <v>46097</v>
          </cell>
          <cell r="N282">
            <v>105</v>
          </cell>
          <cell r="O282">
            <v>46161</v>
          </cell>
          <cell r="P282">
            <v>46462</v>
          </cell>
          <cell r="Q282" t="str">
            <v>PLC-4780</v>
          </cell>
          <cell r="R282" t="str">
            <v>Joshua Foglia</v>
          </cell>
          <cell r="S282" t="str">
            <v>Individual</v>
          </cell>
          <cell r="T282">
            <v>1099</v>
          </cell>
          <cell r="U282" t="str">
            <v>Genpact</v>
          </cell>
          <cell r="V282">
            <v>19</v>
          </cell>
          <cell r="W282">
            <v>0</v>
          </cell>
          <cell r="X282" t="str">
            <v>USD</v>
          </cell>
          <cell r="Y282">
            <v>28</v>
          </cell>
          <cell r="Z282">
            <v>0</v>
          </cell>
          <cell r="AA282">
            <v>0</v>
          </cell>
          <cell r="AB282">
            <v>0</v>
          </cell>
          <cell r="AC282">
            <v>46127</v>
          </cell>
          <cell r="AD282">
            <v>22</v>
          </cell>
          <cell r="AE282">
            <v>46387</v>
          </cell>
          <cell r="AF282">
            <v>20.330000000000002</v>
          </cell>
          <cell r="AG282">
            <v>0</v>
          </cell>
          <cell r="AH282">
            <v>20.330000000000002</v>
          </cell>
          <cell r="AI282">
            <v>28</v>
          </cell>
          <cell r="AJ282">
            <v>0</v>
          </cell>
          <cell r="AK282">
            <v>0</v>
          </cell>
          <cell r="AL282">
            <v>7.6699999999999982</v>
          </cell>
          <cell r="AM282">
            <v>0</v>
          </cell>
          <cell r="AN282">
            <v>7.6699999999999982</v>
          </cell>
          <cell r="AO282">
            <v>0</v>
          </cell>
          <cell r="AP282">
            <v>7.6699999999999982</v>
          </cell>
          <cell r="AQ282" t="str">
            <v>US_27651</v>
          </cell>
          <cell r="AR282">
            <v>0</v>
          </cell>
          <cell r="AS282">
            <v>168</v>
          </cell>
          <cell r="AU282">
            <v>168</v>
          </cell>
          <cell r="AV282">
            <v>0</v>
          </cell>
          <cell r="AW282">
            <v>1288.5599999999997</v>
          </cell>
          <cell r="AX282">
            <v>1275.6743999999997</v>
          </cell>
          <cell r="AY282">
            <v>0</v>
          </cell>
          <cell r="AZ282">
            <v>1288.5599999999997</v>
          </cell>
          <cell r="BA282">
            <v>1275.6743999999997</v>
          </cell>
          <cell r="BB282">
            <v>1288.5599999999997</v>
          </cell>
          <cell r="BC282">
            <v>0</v>
          </cell>
          <cell r="BD282">
            <v>0</v>
          </cell>
          <cell r="BE282">
            <v>0</v>
          </cell>
          <cell r="BG282">
            <v>1275.6743999999997</v>
          </cell>
          <cell r="BI282">
            <v>1275.6743999999997</v>
          </cell>
          <cell r="BJ282">
            <v>4704</v>
          </cell>
          <cell r="BK282">
            <v>4704</v>
          </cell>
          <cell r="BL282">
            <v>3192</v>
          </cell>
          <cell r="BM282">
            <v>1.33</v>
          </cell>
          <cell r="BN282">
            <v>0</v>
          </cell>
          <cell r="BO282">
            <v>223.44</v>
          </cell>
          <cell r="BP282">
            <v>3415.44</v>
          </cell>
          <cell r="BQ282">
            <v>1.33</v>
          </cell>
          <cell r="BR282">
            <v>1288.56</v>
          </cell>
          <cell r="BT282">
            <v>2</v>
          </cell>
          <cell r="BU282">
            <v>1</v>
          </cell>
          <cell r="BV282" t="str">
            <v>Y</v>
          </cell>
          <cell r="BW282">
            <v>0</v>
          </cell>
          <cell r="BX282">
            <v>0</v>
          </cell>
          <cell r="BY282">
            <v>2026</v>
          </cell>
          <cell r="BZ282" t="str">
            <v>-</v>
          </cell>
          <cell r="CA282" t="str">
            <v>-</v>
          </cell>
        </row>
        <row r="283">
          <cell r="A283" t="str">
            <v>Lucknow</v>
          </cell>
          <cell r="B283" t="str">
            <v>Titans</v>
          </cell>
          <cell r="C283" t="str">
            <v>Mid Level</v>
          </cell>
          <cell r="D283" t="str">
            <v>Nitin Saxena</v>
          </cell>
          <cell r="E283" t="str">
            <v>-</v>
          </cell>
          <cell r="F283" t="str">
            <v>Non-MSP</v>
          </cell>
          <cell r="H283" t="str">
            <v>Aman Bajpai</v>
          </cell>
          <cell r="J283" t="str">
            <v>ACH</v>
          </cell>
          <cell r="L283" t="str">
            <v>New</v>
          </cell>
          <cell r="M283">
            <v>46097</v>
          </cell>
          <cell r="N283">
            <v>105</v>
          </cell>
          <cell r="O283">
            <v>46161</v>
          </cell>
          <cell r="P283">
            <v>46462</v>
          </cell>
          <cell r="Q283" t="str">
            <v>PLC-4780</v>
          </cell>
          <cell r="R283" t="str">
            <v>Joshua Foglia</v>
          </cell>
          <cell r="S283" t="str">
            <v>Individual</v>
          </cell>
          <cell r="T283">
            <v>1099</v>
          </cell>
          <cell r="U283" t="str">
            <v>Genpact</v>
          </cell>
          <cell r="V283">
            <v>19</v>
          </cell>
          <cell r="W283">
            <v>0</v>
          </cell>
          <cell r="X283" t="str">
            <v>USD</v>
          </cell>
          <cell r="Y283">
            <v>28</v>
          </cell>
          <cell r="Z283">
            <v>0</v>
          </cell>
          <cell r="AA283">
            <v>0</v>
          </cell>
          <cell r="AB283">
            <v>0</v>
          </cell>
          <cell r="AC283">
            <v>46157</v>
          </cell>
          <cell r="AD283">
            <v>22</v>
          </cell>
          <cell r="AE283">
            <v>46387</v>
          </cell>
          <cell r="AF283">
            <v>20.330000000000002</v>
          </cell>
          <cell r="AG283">
            <v>0</v>
          </cell>
          <cell r="AH283">
            <v>20.330000000000002</v>
          </cell>
          <cell r="AI283">
            <v>28</v>
          </cell>
          <cell r="AJ283">
            <v>0</v>
          </cell>
          <cell r="AK283">
            <v>0</v>
          </cell>
          <cell r="AL283">
            <v>7.6699999999999982</v>
          </cell>
          <cell r="AM283">
            <v>0</v>
          </cell>
          <cell r="AN283">
            <v>7.6699999999999982</v>
          </cell>
          <cell r="AO283">
            <v>0</v>
          </cell>
          <cell r="AP283">
            <v>7.6699999999999982</v>
          </cell>
          <cell r="AQ283" t="str">
            <v>US_27932</v>
          </cell>
          <cell r="AR283">
            <v>0</v>
          </cell>
          <cell r="AS283">
            <v>104</v>
          </cell>
          <cell r="AU283">
            <v>104</v>
          </cell>
          <cell r="AV283">
            <v>0</v>
          </cell>
          <cell r="AW283">
            <v>797.67999999999984</v>
          </cell>
          <cell r="AX283">
            <v>789.70319999999981</v>
          </cell>
          <cell r="AY283">
            <v>0</v>
          </cell>
          <cell r="AZ283">
            <v>797.67999999999984</v>
          </cell>
          <cell r="BA283">
            <v>789.70319999999981</v>
          </cell>
          <cell r="BB283">
            <v>797.67999999999984</v>
          </cell>
          <cell r="BC283">
            <v>0</v>
          </cell>
          <cell r="BD283">
            <v>0</v>
          </cell>
          <cell r="BE283">
            <v>0</v>
          </cell>
          <cell r="BG283">
            <v>789.70319999999981</v>
          </cell>
          <cell r="BI283">
            <v>789.70319999999981</v>
          </cell>
          <cell r="BJ283">
            <v>2912</v>
          </cell>
          <cell r="BK283">
            <v>2912</v>
          </cell>
          <cell r="BL283">
            <v>1976</v>
          </cell>
          <cell r="BM283">
            <v>1.33</v>
          </cell>
          <cell r="BN283">
            <v>0</v>
          </cell>
          <cell r="BO283">
            <v>138.32</v>
          </cell>
          <cell r="BP283">
            <v>2114.3200000000002</v>
          </cell>
          <cell r="BQ283">
            <v>1.33</v>
          </cell>
          <cell r="BR283">
            <v>797.68000000000006</v>
          </cell>
          <cell r="BT283">
            <v>2</v>
          </cell>
          <cell r="BU283">
            <v>1</v>
          </cell>
          <cell r="BV283" t="str">
            <v>Y</v>
          </cell>
          <cell r="BW283">
            <v>0</v>
          </cell>
          <cell r="BX283">
            <v>0</v>
          </cell>
          <cell r="BY283">
            <v>2026</v>
          </cell>
          <cell r="BZ283" t="str">
            <v>-</v>
          </cell>
          <cell r="CA283" t="str">
            <v>-</v>
          </cell>
        </row>
        <row r="284">
          <cell r="A284" t="str">
            <v>Lucknow</v>
          </cell>
          <cell r="B284" t="str">
            <v>Titans</v>
          </cell>
          <cell r="C284" t="str">
            <v>Mid Level</v>
          </cell>
          <cell r="D284" t="str">
            <v>Noor Beg</v>
          </cell>
          <cell r="E284" t="str">
            <v>-</v>
          </cell>
          <cell r="F284" t="str">
            <v>Non-MSP</v>
          </cell>
          <cell r="H284" t="str">
            <v>Pass Through</v>
          </cell>
          <cell r="L284" t="str">
            <v>New</v>
          </cell>
          <cell r="M284">
            <v>46042</v>
          </cell>
          <cell r="N284">
            <v>160</v>
          </cell>
          <cell r="O284">
            <v>46100</v>
          </cell>
          <cell r="P284">
            <v>46407</v>
          </cell>
          <cell r="Q284" t="str">
            <v>PLC-Passthrough</v>
          </cell>
          <cell r="R284" t="str">
            <v>Joshua Suffin</v>
          </cell>
          <cell r="S284" t="str">
            <v>Individual</v>
          </cell>
          <cell r="T284" t="str">
            <v>C2C</v>
          </cell>
          <cell r="U284" t="str">
            <v>Genpact</v>
          </cell>
          <cell r="V284">
            <v>150</v>
          </cell>
          <cell r="W284">
            <v>0</v>
          </cell>
          <cell r="X284" t="str">
            <v>USD</v>
          </cell>
          <cell r="Y284">
            <v>155</v>
          </cell>
          <cell r="Z284">
            <v>0</v>
          </cell>
          <cell r="AA284">
            <v>0</v>
          </cell>
          <cell r="AB284">
            <v>0</v>
          </cell>
          <cell r="AC284">
            <v>46037</v>
          </cell>
          <cell r="AD284">
            <v>8</v>
          </cell>
          <cell r="AE284">
            <v>46387</v>
          </cell>
          <cell r="AF284">
            <v>150</v>
          </cell>
          <cell r="AG284">
            <v>0</v>
          </cell>
          <cell r="AH284">
            <v>150</v>
          </cell>
          <cell r="AI284">
            <v>155</v>
          </cell>
          <cell r="AJ284">
            <v>0</v>
          </cell>
          <cell r="AK284">
            <v>0</v>
          </cell>
          <cell r="AL284">
            <v>5</v>
          </cell>
          <cell r="AM284">
            <v>0</v>
          </cell>
          <cell r="AN284">
            <v>5</v>
          </cell>
          <cell r="AO284">
            <v>0</v>
          </cell>
          <cell r="AP284">
            <v>5</v>
          </cell>
          <cell r="AQ284" t="str">
            <v>US_GB_00009</v>
          </cell>
          <cell r="AR284">
            <v>0</v>
          </cell>
          <cell r="AS284">
            <v>72</v>
          </cell>
          <cell r="AU284">
            <v>72</v>
          </cell>
          <cell r="AV284">
            <v>0</v>
          </cell>
          <cell r="AW284">
            <v>360</v>
          </cell>
          <cell r="AX284">
            <v>360</v>
          </cell>
          <cell r="AY284">
            <v>0</v>
          </cell>
          <cell r="AZ284">
            <v>360</v>
          </cell>
          <cell r="BA284">
            <v>360</v>
          </cell>
          <cell r="BB284">
            <v>360</v>
          </cell>
          <cell r="BC284">
            <v>0</v>
          </cell>
          <cell r="BD284">
            <v>0</v>
          </cell>
          <cell r="BE284">
            <v>0</v>
          </cell>
          <cell r="BG284">
            <v>360</v>
          </cell>
          <cell r="BI284">
            <v>360</v>
          </cell>
          <cell r="BJ284">
            <v>11160</v>
          </cell>
          <cell r="BK284">
            <v>11160</v>
          </cell>
          <cell r="BL284">
            <v>10800</v>
          </cell>
          <cell r="BM284">
            <v>0</v>
          </cell>
          <cell r="BN284">
            <v>0</v>
          </cell>
          <cell r="BO284">
            <v>0</v>
          </cell>
          <cell r="BP284">
            <v>10800</v>
          </cell>
          <cell r="BQ284">
            <v>0</v>
          </cell>
          <cell r="BR284">
            <v>360</v>
          </cell>
          <cell r="BS284" t="str">
            <v>Y</v>
          </cell>
          <cell r="BT284">
            <v>1</v>
          </cell>
          <cell r="BU284">
            <v>1</v>
          </cell>
          <cell r="BV284" t="str">
            <v>Y</v>
          </cell>
          <cell r="BW284">
            <v>0</v>
          </cell>
          <cell r="BX284">
            <v>0</v>
          </cell>
          <cell r="BY284">
            <v>2026</v>
          </cell>
          <cell r="BZ284" t="str">
            <v>-</v>
          </cell>
          <cell r="CA284" t="str">
            <v>-</v>
          </cell>
        </row>
        <row r="285">
          <cell r="A285" t="str">
            <v>Lucknow</v>
          </cell>
          <cell r="B285" t="str">
            <v>Titans</v>
          </cell>
          <cell r="C285" t="str">
            <v>Mid Level</v>
          </cell>
          <cell r="D285" t="str">
            <v>Noor Beg</v>
          </cell>
          <cell r="E285" t="str">
            <v>-</v>
          </cell>
          <cell r="F285" t="str">
            <v>Non-MSP</v>
          </cell>
          <cell r="H285" t="str">
            <v>Pass Through</v>
          </cell>
          <cell r="L285" t="str">
            <v>New</v>
          </cell>
          <cell r="M285">
            <v>46042</v>
          </cell>
          <cell r="N285">
            <v>160</v>
          </cell>
          <cell r="O285">
            <v>46100</v>
          </cell>
          <cell r="P285">
            <v>46407</v>
          </cell>
          <cell r="Q285" t="str">
            <v>PLC-Passthrough</v>
          </cell>
          <cell r="R285" t="str">
            <v>Joshua Suffin</v>
          </cell>
          <cell r="S285" t="str">
            <v>Individual</v>
          </cell>
          <cell r="T285" t="str">
            <v>C2C</v>
          </cell>
          <cell r="U285" t="str">
            <v>Genpact</v>
          </cell>
          <cell r="V285">
            <v>150</v>
          </cell>
          <cell r="W285">
            <v>0</v>
          </cell>
          <cell r="X285" t="str">
            <v>USD</v>
          </cell>
          <cell r="Y285">
            <v>155</v>
          </cell>
          <cell r="Z285">
            <v>0</v>
          </cell>
          <cell r="AA285">
            <v>0</v>
          </cell>
          <cell r="AB285">
            <v>0</v>
          </cell>
          <cell r="AC285">
            <v>46068</v>
          </cell>
          <cell r="AD285">
            <v>20</v>
          </cell>
          <cell r="AE285">
            <v>46387</v>
          </cell>
          <cell r="AF285">
            <v>150</v>
          </cell>
          <cell r="AG285">
            <v>0</v>
          </cell>
          <cell r="AH285">
            <v>150</v>
          </cell>
          <cell r="AI285">
            <v>155</v>
          </cell>
          <cell r="AJ285">
            <v>0</v>
          </cell>
          <cell r="AK285">
            <v>0</v>
          </cell>
          <cell r="AL285">
            <v>5</v>
          </cell>
          <cell r="AM285">
            <v>0</v>
          </cell>
          <cell r="AN285">
            <v>5</v>
          </cell>
          <cell r="AO285">
            <v>0</v>
          </cell>
          <cell r="AP285">
            <v>5</v>
          </cell>
          <cell r="AQ285" t="str">
            <v>US_GB_00022</v>
          </cell>
          <cell r="AR285">
            <v>0</v>
          </cell>
          <cell r="AS285">
            <v>151</v>
          </cell>
          <cell r="AU285">
            <v>151</v>
          </cell>
          <cell r="AV285">
            <v>0</v>
          </cell>
          <cell r="AW285">
            <v>755</v>
          </cell>
          <cell r="AX285">
            <v>755</v>
          </cell>
          <cell r="AY285">
            <v>0</v>
          </cell>
          <cell r="AZ285">
            <v>755</v>
          </cell>
          <cell r="BA285">
            <v>755</v>
          </cell>
          <cell r="BB285">
            <v>755</v>
          </cell>
          <cell r="BC285">
            <v>0</v>
          </cell>
          <cell r="BD285">
            <v>0</v>
          </cell>
          <cell r="BE285">
            <v>0</v>
          </cell>
          <cell r="BG285">
            <v>755</v>
          </cell>
          <cell r="BI285">
            <v>755</v>
          </cell>
          <cell r="BJ285">
            <v>23405</v>
          </cell>
          <cell r="BK285">
            <v>23405</v>
          </cell>
          <cell r="BL285">
            <v>22650</v>
          </cell>
          <cell r="BM285">
            <v>0</v>
          </cell>
          <cell r="BN285">
            <v>0</v>
          </cell>
          <cell r="BO285">
            <v>0</v>
          </cell>
          <cell r="BP285">
            <v>22650</v>
          </cell>
          <cell r="BQ285">
            <v>0</v>
          </cell>
          <cell r="BR285">
            <v>755</v>
          </cell>
          <cell r="BS285" t="str">
            <v>Y</v>
          </cell>
          <cell r="BT285">
            <v>1</v>
          </cell>
          <cell r="BU285">
            <v>1</v>
          </cell>
          <cell r="BV285" t="str">
            <v>Y</v>
          </cell>
          <cell r="BW285">
            <v>0</v>
          </cell>
          <cell r="BX285">
            <v>0</v>
          </cell>
          <cell r="BY285">
            <v>2026</v>
          </cell>
          <cell r="BZ285" t="str">
            <v>-</v>
          </cell>
          <cell r="CA285" t="str">
            <v>-</v>
          </cell>
        </row>
        <row r="286">
          <cell r="A286" t="str">
            <v>Lucknow</v>
          </cell>
          <cell r="B286" t="str">
            <v>Titans</v>
          </cell>
          <cell r="C286" t="str">
            <v>Mid Level</v>
          </cell>
          <cell r="D286" t="str">
            <v>Noor Beg</v>
          </cell>
          <cell r="E286" t="str">
            <v>-</v>
          </cell>
          <cell r="F286" t="str">
            <v>Non-MSP</v>
          </cell>
          <cell r="H286" t="str">
            <v>Pass Through</v>
          </cell>
          <cell r="L286" t="str">
            <v>New</v>
          </cell>
          <cell r="M286">
            <v>46042</v>
          </cell>
          <cell r="N286">
            <v>160</v>
          </cell>
          <cell r="O286">
            <v>46100</v>
          </cell>
          <cell r="P286">
            <v>46407</v>
          </cell>
          <cell r="Q286" t="str">
            <v>PLC-Passthrough</v>
          </cell>
          <cell r="R286" t="str">
            <v>Joshua Suffin</v>
          </cell>
          <cell r="S286" t="str">
            <v>Individual</v>
          </cell>
          <cell r="T286" t="str">
            <v>C2C</v>
          </cell>
          <cell r="U286" t="str">
            <v>Genpact</v>
          </cell>
          <cell r="V286">
            <v>150</v>
          </cell>
          <cell r="W286">
            <v>0</v>
          </cell>
          <cell r="X286" t="str">
            <v>USD</v>
          </cell>
          <cell r="Y286">
            <v>155</v>
          </cell>
          <cell r="Z286">
            <v>0</v>
          </cell>
          <cell r="AA286">
            <v>0</v>
          </cell>
          <cell r="AB286">
            <v>0</v>
          </cell>
          <cell r="AC286">
            <v>46096</v>
          </cell>
          <cell r="AD286">
            <v>22</v>
          </cell>
          <cell r="AE286">
            <v>46387</v>
          </cell>
          <cell r="AF286">
            <v>150</v>
          </cell>
          <cell r="AG286">
            <v>0</v>
          </cell>
          <cell r="AH286">
            <v>150</v>
          </cell>
          <cell r="AI286">
            <v>155</v>
          </cell>
          <cell r="AJ286">
            <v>0</v>
          </cell>
          <cell r="AK286">
            <v>0</v>
          </cell>
          <cell r="AL286">
            <v>5</v>
          </cell>
          <cell r="AM286">
            <v>0</v>
          </cell>
          <cell r="AN286">
            <v>5</v>
          </cell>
          <cell r="AO286">
            <v>0</v>
          </cell>
          <cell r="AP286">
            <v>5</v>
          </cell>
          <cell r="AQ286" t="str">
            <v>US_GB_00037</v>
          </cell>
          <cell r="AR286">
            <v>0</v>
          </cell>
          <cell r="AS286">
            <v>108</v>
          </cell>
          <cell r="AU286">
            <v>108</v>
          </cell>
          <cell r="AV286">
            <v>0</v>
          </cell>
          <cell r="AW286">
            <v>540</v>
          </cell>
          <cell r="AX286">
            <v>540</v>
          </cell>
          <cell r="AY286">
            <v>0</v>
          </cell>
          <cell r="AZ286">
            <v>540</v>
          </cell>
          <cell r="BA286">
            <v>540</v>
          </cell>
          <cell r="BB286">
            <v>540</v>
          </cell>
          <cell r="BC286">
            <v>0</v>
          </cell>
          <cell r="BD286">
            <v>0</v>
          </cell>
          <cell r="BE286">
            <v>0</v>
          </cell>
          <cell r="BG286">
            <v>540</v>
          </cell>
          <cell r="BI286">
            <v>540</v>
          </cell>
          <cell r="BJ286">
            <v>16740</v>
          </cell>
          <cell r="BK286">
            <v>16740</v>
          </cell>
          <cell r="BL286">
            <v>16200</v>
          </cell>
          <cell r="BM286">
            <v>0</v>
          </cell>
          <cell r="BN286">
            <v>0</v>
          </cell>
          <cell r="BO286">
            <v>0</v>
          </cell>
          <cell r="BP286">
            <v>16200</v>
          </cell>
          <cell r="BQ286">
            <v>0</v>
          </cell>
          <cell r="BR286">
            <v>540</v>
          </cell>
          <cell r="BS286" t="str">
            <v>Y</v>
          </cell>
          <cell r="BT286">
            <v>1</v>
          </cell>
          <cell r="BU286">
            <v>1</v>
          </cell>
          <cell r="BV286" t="str">
            <v>Y</v>
          </cell>
          <cell r="BW286">
            <v>0</v>
          </cell>
          <cell r="BX286">
            <v>0</v>
          </cell>
          <cell r="BY286">
            <v>2026</v>
          </cell>
          <cell r="BZ286" t="str">
            <v>-</v>
          </cell>
          <cell r="CA286" t="str">
            <v>-</v>
          </cell>
        </row>
        <row r="287">
          <cell r="A287" t="str">
            <v>Lucknow</v>
          </cell>
          <cell r="B287" t="str">
            <v>Titans</v>
          </cell>
          <cell r="C287" t="str">
            <v>Mid Level</v>
          </cell>
          <cell r="D287" t="str">
            <v>Nitin Saxena</v>
          </cell>
          <cell r="F287" t="str">
            <v>Non-MSP</v>
          </cell>
          <cell r="H287" t="str">
            <v>Aman Bajpai</v>
          </cell>
          <cell r="J287" t="str">
            <v>ACH</v>
          </cell>
          <cell r="L287" t="str">
            <v>New</v>
          </cell>
          <cell r="M287">
            <v>46169</v>
          </cell>
          <cell r="N287">
            <v>33</v>
          </cell>
          <cell r="P287">
            <v>46534</v>
          </cell>
          <cell r="Q287" t="str">
            <v>PLC-4909</v>
          </cell>
          <cell r="R287" t="str">
            <v>Juan Francisco Velez</v>
          </cell>
          <cell r="S287" t="str">
            <v>Individual</v>
          </cell>
          <cell r="T287" t="str">
            <v>W2</v>
          </cell>
          <cell r="U287" t="str">
            <v>Randstad</v>
          </cell>
          <cell r="V287">
            <v>22</v>
          </cell>
          <cell r="W287">
            <v>0</v>
          </cell>
          <cell r="X287" t="str">
            <v>USD</v>
          </cell>
          <cell r="Y287">
            <v>31.24</v>
          </cell>
          <cell r="Z287">
            <v>0</v>
          </cell>
          <cell r="AA287">
            <v>0</v>
          </cell>
          <cell r="AB287">
            <v>0</v>
          </cell>
          <cell r="AC287">
            <v>46157</v>
          </cell>
          <cell r="AD287">
            <v>3</v>
          </cell>
          <cell r="AE287">
            <v>46387</v>
          </cell>
          <cell r="AF287">
            <v>25.299999999999997</v>
          </cell>
          <cell r="AG287">
            <v>0</v>
          </cell>
          <cell r="AH287">
            <v>25.299999999999997</v>
          </cell>
          <cell r="AI287">
            <v>30.302799999999998</v>
          </cell>
          <cell r="AJ287">
            <v>0</v>
          </cell>
          <cell r="AK287">
            <v>0</v>
          </cell>
          <cell r="AL287">
            <v>5.0028000000000006</v>
          </cell>
          <cell r="AM287">
            <v>0</v>
          </cell>
          <cell r="AN287">
            <v>5.0028000000000006</v>
          </cell>
          <cell r="AO287">
            <v>0</v>
          </cell>
          <cell r="AP287">
            <v>5.0028000000000006</v>
          </cell>
          <cell r="AQ287" t="str">
            <v>US_27986</v>
          </cell>
          <cell r="AR287">
            <v>0</v>
          </cell>
          <cell r="AS287">
            <v>25</v>
          </cell>
          <cell r="AU287">
            <v>25</v>
          </cell>
          <cell r="AV287">
            <v>0</v>
          </cell>
          <cell r="AW287">
            <v>125.07000000000002</v>
          </cell>
          <cell r="AX287">
            <v>123.81930000000003</v>
          </cell>
          <cell r="AY287">
            <v>0</v>
          </cell>
          <cell r="AZ287">
            <v>125.07000000000002</v>
          </cell>
          <cell r="BA287">
            <v>123.81930000000003</v>
          </cell>
          <cell r="BB287">
            <v>125.07000000000002</v>
          </cell>
          <cell r="BC287">
            <v>0</v>
          </cell>
          <cell r="BD287">
            <v>0</v>
          </cell>
          <cell r="BE287">
            <v>0</v>
          </cell>
          <cell r="BG287">
            <v>123.81930000000003</v>
          </cell>
          <cell r="BI287">
            <v>0</v>
          </cell>
          <cell r="BJ287">
            <v>781</v>
          </cell>
          <cell r="BK287">
            <v>757.56999999999994</v>
          </cell>
          <cell r="BL287">
            <v>550</v>
          </cell>
          <cell r="BM287">
            <v>3.3</v>
          </cell>
          <cell r="BN287">
            <v>0</v>
          </cell>
          <cell r="BO287">
            <v>82.5</v>
          </cell>
          <cell r="BP287">
            <v>632.5</v>
          </cell>
          <cell r="BQ287">
            <v>3.3</v>
          </cell>
          <cell r="BR287">
            <v>125.06999999999994</v>
          </cell>
          <cell r="BT287">
            <v>2</v>
          </cell>
          <cell r="BU287">
            <v>2</v>
          </cell>
          <cell r="BV287" t="str">
            <v>Y</v>
          </cell>
          <cell r="BW287">
            <v>0</v>
          </cell>
          <cell r="BX287">
            <v>0</v>
          </cell>
          <cell r="BY287">
            <v>2026</v>
          </cell>
          <cell r="BZ287" t="str">
            <v>-</v>
          </cell>
          <cell r="CA287" t="str">
            <v>-</v>
          </cell>
        </row>
        <row r="288">
          <cell r="A288" t="str">
            <v>Lucknow</v>
          </cell>
          <cell r="B288" t="str">
            <v>Titans</v>
          </cell>
          <cell r="C288" t="str">
            <v>Mid Level</v>
          </cell>
          <cell r="D288" t="str">
            <v>Nitin Saxena</v>
          </cell>
          <cell r="E288" t="str">
            <v>-</v>
          </cell>
          <cell r="F288" t="str">
            <v>Non-MSP</v>
          </cell>
          <cell r="H288" t="str">
            <v>Hamza Ali</v>
          </cell>
          <cell r="I288" t="str">
            <v>-</v>
          </cell>
          <cell r="L288" t="str">
            <v>New</v>
          </cell>
          <cell r="M288">
            <v>46143</v>
          </cell>
          <cell r="N288">
            <v>59</v>
          </cell>
          <cell r="O288">
            <v>46135</v>
          </cell>
          <cell r="P288">
            <v>46508</v>
          </cell>
          <cell r="Q288" t="str">
            <v>PLC-4535</v>
          </cell>
          <cell r="R288" t="str">
            <v>Julian Chazz Peavy-2</v>
          </cell>
          <cell r="S288" t="str">
            <v>Individual</v>
          </cell>
          <cell r="T288" t="str">
            <v>FTE</v>
          </cell>
          <cell r="U288" t="str">
            <v>Genpact</v>
          </cell>
          <cell r="V288">
            <v>0</v>
          </cell>
          <cell r="W288">
            <v>0</v>
          </cell>
          <cell r="X288" t="str">
            <v>USD</v>
          </cell>
          <cell r="Y288">
            <v>2184</v>
          </cell>
          <cell r="Z288">
            <v>0</v>
          </cell>
          <cell r="AA288">
            <v>0</v>
          </cell>
          <cell r="AB288">
            <v>0</v>
          </cell>
          <cell r="AC288">
            <v>46157</v>
          </cell>
          <cell r="AD288">
            <v>1</v>
          </cell>
          <cell r="AE288">
            <v>46387</v>
          </cell>
          <cell r="AF288">
            <v>0</v>
          </cell>
          <cell r="AG288">
            <v>0</v>
          </cell>
          <cell r="AH288">
            <v>0</v>
          </cell>
          <cell r="AI288">
            <v>2184</v>
          </cell>
          <cell r="AJ288">
            <v>0</v>
          </cell>
          <cell r="AK288">
            <v>0</v>
          </cell>
          <cell r="AL288">
            <v>2184</v>
          </cell>
          <cell r="AM288">
            <v>0</v>
          </cell>
          <cell r="AN288">
            <v>2184</v>
          </cell>
          <cell r="AO288">
            <v>0</v>
          </cell>
          <cell r="AP288">
            <v>2184</v>
          </cell>
          <cell r="AQ288" t="str">
            <v>US_27572_A</v>
          </cell>
          <cell r="AR288">
            <v>0</v>
          </cell>
          <cell r="AS288">
            <v>1</v>
          </cell>
          <cell r="AU288">
            <v>1</v>
          </cell>
          <cell r="AV288">
            <v>0</v>
          </cell>
          <cell r="AW288">
            <v>2184</v>
          </cell>
          <cell r="AX288">
            <v>2184</v>
          </cell>
          <cell r="AY288">
            <v>0</v>
          </cell>
          <cell r="AZ288">
            <v>2184</v>
          </cell>
          <cell r="BA288">
            <v>2184</v>
          </cell>
          <cell r="BB288">
            <v>2184</v>
          </cell>
          <cell r="BC288">
            <v>50</v>
          </cell>
          <cell r="BD288">
            <v>2882.88</v>
          </cell>
          <cell r="BE288">
            <v>2882.88</v>
          </cell>
          <cell r="BG288">
            <v>2184</v>
          </cell>
          <cell r="BI288">
            <v>0</v>
          </cell>
          <cell r="BJ288">
            <v>2184</v>
          </cell>
          <cell r="BK288">
            <v>2184</v>
          </cell>
          <cell r="BL288">
            <v>0</v>
          </cell>
          <cell r="BM288">
            <v>0</v>
          </cell>
          <cell r="BN288">
            <v>0</v>
          </cell>
          <cell r="BO288">
            <v>0</v>
          </cell>
          <cell r="BP288">
            <v>0</v>
          </cell>
          <cell r="BQ288">
            <v>0</v>
          </cell>
          <cell r="BR288">
            <v>2184</v>
          </cell>
          <cell r="BT288">
            <v>2</v>
          </cell>
          <cell r="BU288">
            <v>2</v>
          </cell>
          <cell r="BV288" t="str">
            <v>Y</v>
          </cell>
          <cell r="BW288">
            <v>5765.76</v>
          </cell>
          <cell r="BX288">
            <v>5765.76</v>
          </cell>
          <cell r="BY288">
            <v>2026</v>
          </cell>
          <cell r="BZ288" t="str">
            <v>-</v>
          </cell>
          <cell r="CA288" t="str">
            <v>-</v>
          </cell>
        </row>
        <row r="289">
          <cell r="A289" t="str">
            <v>Lucknow</v>
          </cell>
          <cell r="B289" t="str">
            <v>Titans</v>
          </cell>
          <cell r="C289" t="str">
            <v>Mid Level</v>
          </cell>
          <cell r="D289" t="str">
            <v>Nitin Saxena</v>
          </cell>
          <cell r="E289" t="str">
            <v>-</v>
          </cell>
          <cell r="F289" t="str">
            <v>Non-MSP</v>
          </cell>
          <cell r="H289" t="str">
            <v>Aviral Shukla</v>
          </cell>
          <cell r="I289" t="str">
            <v>-</v>
          </cell>
          <cell r="L289" t="str">
            <v>New</v>
          </cell>
          <cell r="M289">
            <v>46162</v>
          </cell>
          <cell r="N289">
            <v>40</v>
          </cell>
          <cell r="P289">
            <v>46527</v>
          </cell>
          <cell r="R289" t="str">
            <v>Julian Santosh Montes-2</v>
          </cell>
          <cell r="S289" t="str">
            <v>Individual</v>
          </cell>
          <cell r="T289" t="str">
            <v>FTE</v>
          </cell>
          <cell r="U289" t="str">
            <v>Genpact</v>
          </cell>
          <cell r="V289">
            <v>0</v>
          </cell>
          <cell r="W289">
            <v>0</v>
          </cell>
          <cell r="X289" t="str">
            <v>USD</v>
          </cell>
          <cell r="Y289">
            <v>2184</v>
          </cell>
          <cell r="Z289">
            <v>0</v>
          </cell>
          <cell r="AA289">
            <v>0</v>
          </cell>
          <cell r="AB289">
            <v>0</v>
          </cell>
          <cell r="AC289">
            <v>46157</v>
          </cell>
          <cell r="AD289">
            <v>1</v>
          </cell>
          <cell r="AE289">
            <v>46387</v>
          </cell>
          <cell r="AF289">
            <v>0</v>
          </cell>
          <cell r="AG289">
            <v>0</v>
          </cell>
          <cell r="AH289">
            <v>0</v>
          </cell>
          <cell r="AI289">
            <v>2184</v>
          </cell>
          <cell r="AJ289">
            <v>0</v>
          </cell>
          <cell r="AK289">
            <v>0</v>
          </cell>
          <cell r="AL289">
            <v>2184</v>
          </cell>
          <cell r="AM289">
            <v>0</v>
          </cell>
          <cell r="AN289">
            <v>2184</v>
          </cell>
          <cell r="AO289">
            <v>0</v>
          </cell>
          <cell r="AP289">
            <v>2184</v>
          </cell>
          <cell r="AQ289" t="str">
            <v>US_27684_A</v>
          </cell>
          <cell r="AR289">
            <v>0</v>
          </cell>
          <cell r="AS289">
            <v>1</v>
          </cell>
          <cell r="AU289">
            <v>1</v>
          </cell>
          <cell r="AV289">
            <v>0</v>
          </cell>
          <cell r="AW289">
            <v>2184</v>
          </cell>
          <cell r="AX289">
            <v>2184</v>
          </cell>
          <cell r="AY289">
            <v>0</v>
          </cell>
          <cell r="AZ289">
            <v>2184</v>
          </cell>
          <cell r="BA289">
            <v>2184</v>
          </cell>
          <cell r="BB289">
            <v>2184</v>
          </cell>
          <cell r="BC289">
            <v>0</v>
          </cell>
          <cell r="BD289">
            <v>0</v>
          </cell>
          <cell r="BE289">
            <v>0</v>
          </cell>
          <cell r="BG289">
            <v>2184</v>
          </cell>
          <cell r="BI289">
            <v>0</v>
          </cell>
          <cell r="BJ289">
            <v>2184</v>
          </cell>
          <cell r="BK289">
            <v>2184</v>
          </cell>
          <cell r="BL289">
            <v>0</v>
          </cell>
          <cell r="BM289">
            <v>0</v>
          </cell>
          <cell r="BN289">
            <v>0</v>
          </cell>
          <cell r="BO289">
            <v>0</v>
          </cell>
          <cell r="BP289">
            <v>0</v>
          </cell>
          <cell r="BQ289">
            <v>0</v>
          </cell>
          <cell r="BR289">
            <v>2184</v>
          </cell>
          <cell r="BT289">
            <v>2</v>
          </cell>
          <cell r="BU289">
            <v>2</v>
          </cell>
          <cell r="BV289" t="str">
            <v>Y</v>
          </cell>
          <cell r="BW289">
            <v>0</v>
          </cell>
          <cell r="BX289">
            <v>0</v>
          </cell>
          <cell r="BY289">
            <v>2026</v>
          </cell>
          <cell r="BZ289" t="str">
            <v>-</v>
          </cell>
          <cell r="CA289" t="str">
            <v>-</v>
          </cell>
        </row>
        <row r="290">
          <cell r="A290" t="str">
            <v>Lucknow</v>
          </cell>
          <cell r="B290" t="str">
            <v>Mavericks</v>
          </cell>
          <cell r="C290" t="str">
            <v>Mid Level</v>
          </cell>
          <cell r="D290" t="str">
            <v>Kashif Nabi</v>
          </cell>
          <cell r="E290" t="str">
            <v>Khatib Ur Rahman</v>
          </cell>
          <cell r="F290" t="str">
            <v>Non-MSP</v>
          </cell>
          <cell r="H290" t="str">
            <v>Shraddha Patel</v>
          </cell>
          <cell r="L290" t="str">
            <v>New</v>
          </cell>
          <cell r="M290">
            <v>46055</v>
          </cell>
          <cell r="N290">
            <v>147</v>
          </cell>
          <cell r="O290">
            <v>46150</v>
          </cell>
          <cell r="P290">
            <v>46420</v>
          </cell>
          <cell r="Q290" t="str">
            <v>PLC-4686</v>
          </cell>
          <cell r="R290" t="str">
            <v>Karthigeyan T Thevar</v>
          </cell>
          <cell r="S290" t="str">
            <v>Individual</v>
          </cell>
          <cell r="T290" t="str">
            <v>W2</v>
          </cell>
          <cell r="U290" t="str">
            <v>Nous Infosystems</v>
          </cell>
          <cell r="V290">
            <v>65</v>
          </cell>
          <cell r="W290">
            <v>0</v>
          </cell>
          <cell r="X290" t="str">
            <v>USD</v>
          </cell>
          <cell r="Y290">
            <v>83</v>
          </cell>
          <cell r="Z290">
            <v>0</v>
          </cell>
          <cell r="AA290">
            <v>0</v>
          </cell>
          <cell r="AB290">
            <v>0</v>
          </cell>
          <cell r="AC290">
            <v>46068</v>
          </cell>
          <cell r="AD290">
            <v>20</v>
          </cell>
          <cell r="AE290">
            <v>46387</v>
          </cell>
          <cell r="AF290">
            <v>74.75</v>
          </cell>
          <cell r="AG290">
            <v>0</v>
          </cell>
          <cell r="AH290">
            <v>74.75</v>
          </cell>
          <cell r="AI290">
            <v>83</v>
          </cell>
          <cell r="AJ290">
            <v>0</v>
          </cell>
          <cell r="AK290">
            <v>0</v>
          </cell>
          <cell r="AL290">
            <v>8.25</v>
          </cell>
          <cell r="AM290">
            <v>0</v>
          </cell>
          <cell r="AN290">
            <v>8.25</v>
          </cell>
          <cell r="AO290">
            <v>0</v>
          </cell>
          <cell r="AP290">
            <v>8.25</v>
          </cell>
          <cell r="AQ290" t="str">
            <v>US_27173</v>
          </cell>
          <cell r="AR290">
            <v>0</v>
          </cell>
          <cell r="AS290">
            <v>160</v>
          </cell>
          <cell r="AU290">
            <v>160</v>
          </cell>
          <cell r="AV290">
            <v>0</v>
          </cell>
          <cell r="AW290">
            <v>1320</v>
          </cell>
          <cell r="AX290">
            <v>1320</v>
          </cell>
          <cell r="AY290">
            <v>0</v>
          </cell>
          <cell r="AZ290">
            <v>1320</v>
          </cell>
          <cell r="BA290">
            <v>1320</v>
          </cell>
          <cell r="BB290">
            <v>1320</v>
          </cell>
          <cell r="BC290">
            <v>50</v>
          </cell>
          <cell r="BD290">
            <v>1742.4</v>
          </cell>
          <cell r="BE290">
            <v>1742.4</v>
          </cell>
          <cell r="BG290">
            <v>1320</v>
          </cell>
          <cell r="BI290">
            <v>1320</v>
          </cell>
          <cell r="BJ290">
            <v>13280</v>
          </cell>
          <cell r="BK290">
            <v>13280</v>
          </cell>
          <cell r="BL290">
            <v>10400</v>
          </cell>
          <cell r="BM290">
            <v>9.75</v>
          </cell>
          <cell r="BN290">
            <v>0</v>
          </cell>
          <cell r="BO290">
            <v>1560</v>
          </cell>
          <cell r="BP290">
            <v>11960</v>
          </cell>
          <cell r="BQ290">
            <v>9.75</v>
          </cell>
          <cell r="BR290">
            <v>1320</v>
          </cell>
          <cell r="BS290" t="str">
            <v>Y</v>
          </cell>
          <cell r="BT290">
            <v>1</v>
          </cell>
          <cell r="BU290">
            <v>1</v>
          </cell>
          <cell r="BV290" t="str">
            <v>N</v>
          </cell>
          <cell r="BW290">
            <v>3484.8</v>
          </cell>
          <cell r="BX290">
            <v>3484.8</v>
          </cell>
          <cell r="BY290">
            <v>2026</v>
          </cell>
          <cell r="BZ290" t="str">
            <v>-</v>
          </cell>
          <cell r="CA290" t="str">
            <v>-</v>
          </cell>
        </row>
        <row r="291">
          <cell r="A291" t="str">
            <v>Lucknow</v>
          </cell>
          <cell r="B291" t="str">
            <v>Mavericks</v>
          </cell>
          <cell r="C291" t="str">
            <v>Mid Level</v>
          </cell>
          <cell r="D291" t="str">
            <v>Kashif Nabi</v>
          </cell>
          <cell r="E291" t="str">
            <v>Khatib Ur Rahman</v>
          </cell>
          <cell r="F291" t="str">
            <v>Non-MSP</v>
          </cell>
          <cell r="H291" t="str">
            <v>Shraddha Patel</v>
          </cell>
          <cell r="L291" t="str">
            <v>New</v>
          </cell>
          <cell r="M291">
            <v>46055</v>
          </cell>
          <cell r="N291">
            <v>147</v>
          </cell>
          <cell r="O291">
            <v>46150</v>
          </cell>
          <cell r="P291">
            <v>46420</v>
          </cell>
          <cell r="Q291" t="str">
            <v>PLC-4686</v>
          </cell>
          <cell r="R291" t="str">
            <v>Karthigeyan T Thevar</v>
          </cell>
          <cell r="S291" t="str">
            <v>Individual</v>
          </cell>
          <cell r="T291" t="str">
            <v>W2</v>
          </cell>
          <cell r="U291" t="str">
            <v>Nous Infosystems</v>
          </cell>
          <cell r="V291">
            <v>65</v>
          </cell>
          <cell r="W291">
            <v>0</v>
          </cell>
          <cell r="X291" t="str">
            <v>USD</v>
          </cell>
          <cell r="Y291">
            <v>83</v>
          </cell>
          <cell r="Z291">
            <v>0</v>
          </cell>
          <cell r="AA291">
            <v>0</v>
          </cell>
          <cell r="AB291">
            <v>0</v>
          </cell>
          <cell r="AC291">
            <v>46096</v>
          </cell>
          <cell r="AD291">
            <v>22</v>
          </cell>
          <cell r="AE291">
            <v>46387</v>
          </cell>
          <cell r="AF291">
            <v>74.75</v>
          </cell>
          <cell r="AG291">
            <v>0</v>
          </cell>
          <cell r="AH291">
            <v>74.75</v>
          </cell>
          <cell r="AI291">
            <v>83</v>
          </cell>
          <cell r="AJ291">
            <v>0</v>
          </cell>
          <cell r="AK291">
            <v>0</v>
          </cell>
          <cell r="AL291">
            <v>8.25</v>
          </cell>
          <cell r="AM291">
            <v>0</v>
          </cell>
          <cell r="AN291">
            <v>8.25</v>
          </cell>
          <cell r="AO291">
            <v>0</v>
          </cell>
          <cell r="AP291">
            <v>8.25</v>
          </cell>
          <cell r="AQ291" t="str">
            <v>US_27387</v>
          </cell>
          <cell r="AR291">
            <v>0</v>
          </cell>
          <cell r="AS291">
            <v>180.5</v>
          </cell>
          <cell r="AU291">
            <v>180.5</v>
          </cell>
          <cell r="AV291">
            <v>0</v>
          </cell>
          <cell r="AW291">
            <v>1489.125</v>
          </cell>
          <cell r="AX291">
            <v>1489.125</v>
          </cell>
          <cell r="AY291">
            <v>0</v>
          </cell>
          <cell r="AZ291">
            <v>1489.125</v>
          </cell>
          <cell r="BA291">
            <v>1489.125</v>
          </cell>
          <cell r="BB291">
            <v>1489.125</v>
          </cell>
          <cell r="BC291">
            <v>50</v>
          </cell>
          <cell r="BD291">
            <v>1965.645</v>
          </cell>
          <cell r="BE291">
            <v>1965.645</v>
          </cell>
          <cell r="BG291">
            <v>1489.125</v>
          </cell>
          <cell r="BI291">
            <v>1489.125</v>
          </cell>
          <cell r="BJ291">
            <v>14981.5</v>
          </cell>
          <cell r="BK291">
            <v>14981.5</v>
          </cell>
          <cell r="BL291">
            <v>11732.5</v>
          </cell>
          <cell r="BM291">
            <v>9.75</v>
          </cell>
          <cell r="BN291">
            <v>0</v>
          </cell>
          <cell r="BO291">
            <v>1759.875</v>
          </cell>
          <cell r="BP291">
            <v>13492.375</v>
          </cell>
          <cell r="BQ291">
            <v>9.75</v>
          </cell>
          <cell r="BR291">
            <v>1489.125</v>
          </cell>
          <cell r="BS291" t="str">
            <v>Y</v>
          </cell>
          <cell r="BT291">
            <v>1</v>
          </cell>
          <cell r="BU291">
            <v>1</v>
          </cell>
          <cell r="BV291" t="str">
            <v>N</v>
          </cell>
          <cell r="BW291">
            <v>3931.29</v>
          </cell>
          <cell r="BX291">
            <v>3931.29</v>
          </cell>
          <cell r="BY291">
            <v>2026</v>
          </cell>
          <cell r="BZ291" t="str">
            <v>-</v>
          </cell>
          <cell r="CA291" t="str">
            <v>-</v>
          </cell>
        </row>
        <row r="292">
          <cell r="A292" t="str">
            <v>Lucknow</v>
          </cell>
          <cell r="B292" t="str">
            <v>Mavericks</v>
          </cell>
          <cell r="C292" t="str">
            <v>Mid Level</v>
          </cell>
          <cell r="D292" t="str">
            <v>Kashif Nabi</v>
          </cell>
          <cell r="E292" t="str">
            <v>Khatib Ur Rahman</v>
          </cell>
          <cell r="F292" t="str">
            <v>Non-MSP</v>
          </cell>
          <cell r="H292" t="str">
            <v>Shraddha Patel</v>
          </cell>
          <cell r="J292" t="str">
            <v>ACH</v>
          </cell>
          <cell r="L292" t="str">
            <v>New</v>
          </cell>
          <cell r="M292">
            <v>46055</v>
          </cell>
          <cell r="N292">
            <v>147</v>
          </cell>
          <cell r="O292">
            <v>46150</v>
          </cell>
          <cell r="P292">
            <v>46420</v>
          </cell>
          <cell r="Q292" t="str">
            <v>PLC-4686</v>
          </cell>
          <cell r="R292" t="str">
            <v>Karthigeyan T Thevar</v>
          </cell>
          <cell r="S292" t="str">
            <v>Individual</v>
          </cell>
          <cell r="T292" t="str">
            <v>W2</v>
          </cell>
          <cell r="U292" t="str">
            <v>Nous Infosystems</v>
          </cell>
          <cell r="V292">
            <v>65</v>
          </cell>
          <cell r="W292">
            <v>0</v>
          </cell>
          <cell r="X292" t="str">
            <v>USD</v>
          </cell>
          <cell r="Y292">
            <v>83</v>
          </cell>
          <cell r="Z292">
            <v>0</v>
          </cell>
          <cell r="AA292">
            <v>0</v>
          </cell>
          <cell r="AB292">
            <v>0</v>
          </cell>
          <cell r="AC292">
            <v>46127</v>
          </cell>
          <cell r="AD292">
            <v>22</v>
          </cell>
          <cell r="AE292">
            <v>46387</v>
          </cell>
          <cell r="AF292">
            <v>74.75</v>
          </cell>
          <cell r="AG292">
            <v>0</v>
          </cell>
          <cell r="AH292">
            <v>74.75</v>
          </cell>
          <cell r="AI292">
            <v>83</v>
          </cell>
          <cell r="AJ292">
            <v>0</v>
          </cell>
          <cell r="AK292">
            <v>0</v>
          </cell>
          <cell r="AL292">
            <v>8.25</v>
          </cell>
          <cell r="AM292">
            <v>0</v>
          </cell>
          <cell r="AN292">
            <v>8.25</v>
          </cell>
          <cell r="AO292">
            <v>0</v>
          </cell>
          <cell r="AP292">
            <v>8.25</v>
          </cell>
          <cell r="AQ292" t="str">
            <v>US_27621</v>
          </cell>
          <cell r="AR292">
            <v>0</v>
          </cell>
          <cell r="AS292">
            <v>176</v>
          </cell>
          <cell r="AU292">
            <v>176</v>
          </cell>
          <cell r="AV292">
            <v>0</v>
          </cell>
          <cell r="AW292">
            <v>1452</v>
          </cell>
          <cell r="AX292">
            <v>1437.48</v>
          </cell>
          <cell r="AY292">
            <v>0</v>
          </cell>
          <cell r="AZ292">
            <v>1452</v>
          </cell>
          <cell r="BA292">
            <v>1437.48</v>
          </cell>
          <cell r="BB292">
            <v>1452</v>
          </cell>
          <cell r="BC292">
            <v>50</v>
          </cell>
          <cell r="BD292">
            <v>1897.4736000000003</v>
          </cell>
          <cell r="BE292">
            <v>1897.4736000000003</v>
          </cell>
          <cell r="BG292">
            <v>1437.48</v>
          </cell>
          <cell r="BI292">
            <v>1437.48</v>
          </cell>
          <cell r="BJ292">
            <v>14608</v>
          </cell>
          <cell r="BK292">
            <v>14608</v>
          </cell>
          <cell r="BL292">
            <v>11440</v>
          </cell>
          <cell r="BM292">
            <v>9.75</v>
          </cell>
          <cell r="BN292">
            <v>0</v>
          </cell>
          <cell r="BO292">
            <v>1716</v>
          </cell>
          <cell r="BP292">
            <v>13156</v>
          </cell>
          <cell r="BQ292">
            <v>9.75</v>
          </cell>
          <cell r="BR292">
            <v>1452</v>
          </cell>
          <cell r="BS292" t="str">
            <v>Y</v>
          </cell>
          <cell r="BT292">
            <v>2</v>
          </cell>
          <cell r="BU292">
            <v>1</v>
          </cell>
          <cell r="BV292" t="str">
            <v>N</v>
          </cell>
          <cell r="BW292">
            <v>3794.9472000000005</v>
          </cell>
          <cell r="BX292">
            <v>3794.9472000000005</v>
          </cell>
          <cell r="BY292">
            <v>2026</v>
          </cell>
          <cell r="BZ292" t="str">
            <v>-</v>
          </cell>
          <cell r="CA292" t="str">
            <v>-</v>
          </cell>
        </row>
        <row r="293">
          <cell r="A293" t="str">
            <v>Lucknow</v>
          </cell>
          <cell r="B293" t="str">
            <v>Mavericks</v>
          </cell>
          <cell r="C293" t="str">
            <v>Mid Level</v>
          </cell>
          <cell r="D293" t="str">
            <v>Kashif Nabi</v>
          </cell>
          <cell r="E293" t="str">
            <v>Khatib Ur Rahman</v>
          </cell>
          <cell r="F293" t="str">
            <v>Non-MSP</v>
          </cell>
          <cell r="H293" t="str">
            <v>Shraddha Patel</v>
          </cell>
          <cell r="J293" t="str">
            <v>ACH</v>
          </cell>
          <cell r="L293" t="str">
            <v>New</v>
          </cell>
          <cell r="M293">
            <v>46055</v>
          </cell>
          <cell r="N293">
            <v>147</v>
          </cell>
          <cell r="O293">
            <v>46150</v>
          </cell>
          <cell r="P293">
            <v>46420</v>
          </cell>
          <cell r="Q293" t="str">
            <v>PLC-4686</v>
          </cell>
          <cell r="R293" t="str">
            <v>Karthigeyan T Thevar</v>
          </cell>
          <cell r="S293" t="str">
            <v>Individual</v>
          </cell>
          <cell r="T293" t="str">
            <v>W2</v>
          </cell>
          <cell r="U293" t="str">
            <v>Nous Infosystems</v>
          </cell>
          <cell r="V293">
            <v>65</v>
          </cell>
          <cell r="W293">
            <v>0</v>
          </cell>
          <cell r="X293" t="str">
            <v>USD</v>
          </cell>
          <cell r="Y293">
            <v>83</v>
          </cell>
          <cell r="Z293">
            <v>0</v>
          </cell>
          <cell r="AA293">
            <v>0</v>
          </cell>
          <cell r="AB293">
            <v>0</v>
          </cell>
          <cell r="AC293">
            <v>46157</v>
          </cell>
          <cell r="AD293">
            <v>22</v>
          </cell>
          <cell r="AE293">
            <v>46387</v>
          </cell>
          <cell r="AF293">
            <v>74.75</v>
          </cell>
          <cell r="AG293">
            <v>0</v>
          </cell>
          <cell r="AH293">
            <v>74.75</v>
          </cell>
          <cell r="AI293">
            <v>83</v>
          </cell>
          <cell r="AJ293">
            <v>0</v>
          </cell>
          <cell r="AK293">
            <v>0</v>
          </cell>
          <cell r="AL293">
            <v>8.25</v>
          </cell>
          <cell r="AM293">
            <v>0</v>
          </cell>
          <cell r="AN293">
            <v>8.25</v>
          </cell>
          <cell r="AO293">
            <v>0</v>
          </cell>
          <cell r="AP293">
            <v>8.25</v>
          </cell>
          <cell r="AQ293" t="str">
            <v>US_27736</v>
          </cell>
          <cell r="AR293">
            <v>0</v>
          </cell>
          <cell r="AS293">
            <v>53</v>
          </cell>
          <cell r="AU293">
            <v>53</v>
          </cell>
          <cell r="AV293">
            <v>0</v>
          </cell>
          <cell r="AW293">
            <v>437.25</v>
          </cell>
          <cell r="AX293">
            <v>432.8775</v>
          </cell>
          <cell r="AY293">
            <v>0</v>
          </cell>
          <cell r="AZ293">
            <v>437.25</v>
          </cell>
          <cell r="BA293">
            <v>432.8775</v>
          </cell>
          <cell r="BB293">
            <v>437.25</v>
          </cell>
          <cell r="BC293">
            <v>50</v>
          </cell>
          <cell r="BD293">
            <v>571.39830000000006</v>
          </cell>
          <cell r="BE293">
            <v>571.39830000000006</v>
          </cell>
          <cell r="BG293">
            <v>432.8775</v>
          </cell>
          <cell r="BI293">
            <v>432.8775</v>
          </cell>
          <cell r="BJ293">
            <v>4399</v>
          </cell>
          <cell r="BK293">
            <v>4399</v>
          </cell>
          <cell r="BL293">
            <v>3445</v>
          </cell>
          <cell r="BM293">
            <v>9.75</v>
          </cell>
          <cell r="BN293">
            <v>0</v>
          </cell>
          <cell r="BO293">
            <v>516.75</v>
          </cell>
          <cell r="BP293">
            <v>3961.75</v>
          </cell>
          <cell r="BQ293">
            <v>9.75</v>
          </cell>
          <cell r="BR293">
            <v>437.25</v>
          </cell>
          <cell r="BT293">
            <v>2</v>
          </cell>
          <cell r="BU293">
            <v>1</v>
          </cell>
          <cell r="BV293" t="str">
            <v>N</v>
          </cell>
          <cell r="BW293">
            <v>1142.7966000000001</v>
          </cell>
          <cell r="BX293">
            <v>1142.7966000000001</v>
          </cell>
          <cell r="BY293">
            <v>2026</v>
          </cell>
          <cell r="BZ293" t="str">
            <v>-</v>
          </cell>
          <cell r="CA293" t="str">
            <v>-</v>
          </cell>
        </row>
        <row r="294">
          <cell r="A294" t="str">
            <v>Lucknow</v>
          </cell>
          <cell r="B294" t="str">
            <v>Titans</v>
          </cell>
          <cell r="C294" t="str">
            <v>Mid Level</v>
          </cell>
          <cell r="D294" t="str">
            <v>Nitin Saxena</v>
          </cell>
          <cell r="E294" t="str">
            <v>-</v>
          </cell>
          <cell r="F294" t="str">
            <v>Non-MSP</v>
          </cell>
          <cell r="H294" t="str">
            <v>Nitin Saxena</v>
          </cell>
          <cell r="J294" t="str">
            <v>ACH</v>
          </cell>
          <cell r="L294" t="str">
            <v>New</v>
          </cell>
          <cell r="M294">
            <v>46023</v>
          </cell>
          <cell r="N294">
            <v>179</v>
          </cell>
          <cell r="P294">
            <v>46388</v>
          </cell>
          <cell r="Q294" t="str">
            <v>PLC-3852</v>
          </cell>
          <cell r="R294" t="str">
            <v>Karthik Kurra</v>
          </cell>
          <cell r="S294" t="str">
            <v>Individual</v>
          </cell>
          <cell r="T294" t="str">
            <v>W2</v>
          </cell>
          <cell r="U294" t="str">
            <v>Genpact</v>
          </cell>
          <cell r="V294">
            <v>20</v>
          </cell>
          <cell r="W294">
            <v>30</v>
          </cell>
          <cell r="X294" t="str">
            <v>USD</v>
          </cell>
          <cell r="Y294">
            <v>28</v>
          </cell>
          <cell r="Z294">
            <v>42</v>
          </cell>
          <cell r="AA294">
            <v>0</v>
          </cell>
          <cell r="AB294">
            <v>0</v>
          </cell>
          <cell r="AC294">
            <v>46037</v>
          </cell>
          <cell r="AD294">
            <v>22</v>
          </cell>
          <cell r="AE294">
            <v>46387</v>
          </cell>
          <cell r="AF294">
            <v>23</v>
          </cell>
          <cell r="AG294">
            <v>34.5</v>
          </cell>
          <cell r="AH294">
            <v>23</v>
          </cell>
          <cell r="AI294">
            <v>28</v>
          </cell>
          <cell r="AJ294">
            <v>42</v>
          </cell>
          <cell r="AK294">
            <v>7.5</v>
          </cell>
          <cell r="AL294">
            <v>5</v>
          </cell>
          <cell r="AM294">
            <v>7.5</v>
          </cell>
          <cell r="AN294">
            <v>5</v>
          </cell>
          <cell r="AO294">
            <v>7.5</v>
          </cell>
          <cell r="AP294">
            <v>5</v>
          </cell>
          <cell r="AQ294" t="str">
            <v>US_26821</v>
          </cell>
          <cell r="AR294">
            <v>8</v>
          </cell>
          <cell r="AS294">
            <v>144</v>
          </cell>
          <cell r="AU294">
            <v>144</v>
          </cell>
          <cell r="AV294">
            <v>60</v>
          </cell>
          <cell r="AW294">
            <v>720</v>
          </cell>
          <cell r="AX294">
            <v>772.2</v>
          </cell>
          <cell r="AY294">
            <v>60</v>
          </cell>
          <cell r="AZ294">
            <v>720</v>
          </cell>
          <cell r="BA294">
            <v>772.2</v>
          </cell>
          <cell r="BB294">
            <v>720</v>
          </cell>
          <cell r="BC294">
            <v>0</v>
          </cell>
          <cell r="BD294">
            <v>0</v>
          </cell>
          <cell r="BE294">
            <v>0</v>
          </cell>
          <cell r="BG294">
            <v>772.2</v>
          </cell>
          <cell r="BI294">
            <v>772.2</v>
          </cell>
          <cell r="BJ294">
            <v>4032</v>
          </cell>
          <cell r="BK294">
            <v>4032</v>
          </cell>
          <cell r="BL294">
            <v>2880</v>
          </cell>
          <cell r="BM294">
            <v>3</v>
          </cell>
          <cell r="BN294">
            <v>0</v>
          </cell>
          <cell r="BO294">
            <v>432</v>
          </cell>
          <cell r="BP294">
            <v>3312</v>
          </cell>
          <cell r="BQ294">
            <v>3</v>
          </cell>
          <cell r="BR294">
            <v>720</v>
          </cell>
          <cell r="BS294" t="str">
            <v>Y</v>
          </cell>
          <cell r="BT294">
            <v>1</v>
          </cell>
          <cell r="BU294">
            <v>1</v>
          </cell>
          <cell r="BV294" t="str">
            <v>N</v>
          </cell>
          <cell r="BW294">
            <v>0</v>
          </cell>
          <cell r="BX294">
            <v>0</v>
          </cell>
          <cell r="BY294">
            <v>2026</v>
          </cell>
          <cell r="BZ294" t="str">
            <v>-</v>
          </cell>
          <cell r="CA294" t="str">
            <v>-</v>
          </cell>
        </row>
        <row r="295">
          <cell r="A295" t="str">
            <v>Lucknow</v>
          </cell>
          <cell r="B295" t="str">
            <v>Titans</v>
          </cell>
          <cell r="C295" t="str">
            <v>Mid Level</v>
          </cell>
          <cell r="D295" t="str">
            <v>Nitin Saxena</v>
          </cell>
          <cell r="E295" t="str">
            <v>-</v>
          </cell>
          <cell r="F295" t="str">
            <v>Non-MSP</v>
          </cell>
          <cell r="H295" t="str">
            <v>Nitin Saxena</v>
          </cell>
          <cell r="J295" t="str">
            <v>ACH</v>
          </cell>
          <cell r="L295" t="str">
            <v>New</v>
          </cell>
          <cell r="M295">
            <v>46023</v>
          </cell>
          <cell r="N295">
            <v>179</v>
          </cell>
          <cell r="P295">
            <v>46388</v>
          </cell>
          <cell r="Q295" t="str">
            <v>PLC-3852</v>
          </cell>
          <cell r="R295" t="str">
            <v>Karthik Kurra</v>
          </cell>
          <cell r="S295" t="str">
            <v>Individual</v>
          </cell>
          <cell r="T295" t="str">
            <v>W2</v>
          </cell>
          <cell r="U295" t="str">
            <v>Genpact</v>
          </cell>
          <cell r="V295">
            <v>20</v>
          </cell>
          <cell r="W295">
            <v>30</v>
          </cell>
          <cell r="X295" t="str">
            <v>USD</v>
          </cell>
          <cell r="Y295">
            <v>28</v>
          </cell>
          <cell r="Z295">
            <v>42</v>
          </cell>
          <cell r="AA295">
            <v>0</v>
          </cell>
          <cell r="AB295">
            <v>0</v>
          </cell>
          <cell r="AC295">
            <v>46068</v>
          </cell>
          <cell r="AD295">
            <v>20</v>
          </cell>
          <cell r="AE295">
            <v>46387</v>
          </cell>
          <cell r="AF295">
            <v>23</v>
          </cell>
          <cell r="AG295">
            <v>34.5</v>
          </cell>
          <cell r="AH295">
            <v>23</v>
          </cell>
          <cell r="AI295">
            <v>28</v>
          </cell>
          <cell r="AJ295">
            <v>42</v>
          </cell>
          <cell r="AK295">
            <v>7.5</v>
          </cell>
          <cell r="AL295">
            <v>5</v>
          </cell>
          <cell r="AM295">
            <v>7.5</v>
          </cell>
          <cell r="AN295">
            <v>5</v>
          </cell>
          <cell r="AO295">
            <v>7.5</v>
          </cell>
          <cell r="AP295">
            <v>5</v>
          </cell>
          <cell r="AQ295" t="str">
            <v>US_27064</v>
          </cell>
          <cell r="AR295">
            <v>10</v>
          </cell>
          <cell r="AS295">
            <v>168</v>
          </cell>
          <cell r="AU295">
            <v>168</v>
          </cell>
          <cell r="AV295">
            <v>75</v>
          </cell>
          <cell r="AW295">
            <v>840</v>
          </cell>
          <cell r="AX295">
            <v>905.85</v>
          </cell>
          <cell r="AY295">
            <v>75</v>
          </cell>
          <cell r="AZ295">
            <v>840</v>
          </cell>
          <cell r="BA295">
            <v>905.85</v>
          </cell>
          <cell r="BB295">
            <v>840</v>
          </cell>
          <cell r="BC295">
            <v>0</v>
          </cell>
          <cell r="BD295">
            <v>0</v>
          </cell>
          <cell r="BE295">
            <v>0</v>
          </cell>
          <cell r="BG295">
            <v>905.85</v>
          </cell>
          <cell r="BI295">
            <v>905.85</v>
          </cell>
          <cell r="BJ295">
            <v>4704</v>
          </cell>
          <cell r="BK295">
            <v>4704</v>
          </cell>
          <cell r="BL295">
            <v>3360</v>
          </cell>
          <cell r="BM295">
            <v>3</v>
          </cell>
          <cell r="BN295">
            <v>0</v>
          </cell>
          <cell r="BO295">
            <v>504</v>
          </cell>
          <cell r="BP295">
            <v>3864</v>
          </cell>
          <cell r="BQ295">
            <v>3</v>
          </cell>
          <cell r="BR295">
            <v>840</v>
          </cell>
          <cell r="BS295" t="str">
            <v>Y</v>
          </cell>
          <cell r="BT295">
            <v>1</v>
          </cell>
          <cell r="BU295">
            <v>1</v>
          </cell>
          <cell r="BV295" t="str">
            <v>N</v>
          </cell>
          <cell r="BW295">
            <v>0</v>
          </cell>
          <cell r="BX295">
            <v>0</v>
          </cell>
          <cell r="BY295">
            <v>2026</v>
          </cell>
          <cell r="BZ295" t="str">
            <v>-</v>
          </cell>
          <cell r="CA295" t="str">
            <v>-</v>
          </cell>
        </row>
        <row r="296">
          <cell r="A296" t="str">
            <v>Lucknow</v>
          </cell>
          <cell r="B296" t="str">
            <v>Titans</v>
          </cell>
          <cell r="C296" t="str">
            <v>Mid Level</v>
          </cell>
          <cell r="D296" t="str">
            <v>Nitin Saxena</v>
          </cell>
          <cell r="E296" t="str">
            <v>-</v>
          </cell>
          <cell r="F296" t="str">
            <v>Non-MSP</v>
          </cell>
          <cell r="H296" t="str">
            <v>Nitin Saxena</v>
          </cell>
          <cell r="L296" t="str">
            <v>New</v>
          </cell>
          <cell r="M296">
            <v>46023</v>
          </cell>
          <cell r="N296">
            <v>179</v>
          </cell>
          <cell r="P296">
            <v>46388</v>
          </cell>
          <cell r="Q296" t="str">
            <v>PLC-3852</v>
          </cell>
          <cell r="R296" t="str">
            <v>Karthik Kurra</v>
          </cell>
          <cell r="S296" t="str">
            <v>Individual</v>
          </cell>
          <cell r="T296" t="str">
            <v>W2</v>
          </cell>
          <cell r="U296" t="str">
            <v>Genpact</v>
          </cell>
          <cell r="V296">
            <v>20</v>
          </cell>
          <cell r="W296">
            <v>30</v>
          </cell>
          <cell r="X296" t="str">
            <v>USD</v>
          </cell>
          <cell r="Y296">
            <v>28</v>
          </cell>
          <cell r="Z296">
            <v>42</v>
          </cell>
          <cell r="AA296">
            <v>0</v>
          </cell>
          <cell r="AB296">
            <v>0</v>
          </cell>
          <cell r="AC296">
            <v>46096</v>
          </cell>
          <cell r="AD296">
            <v>22</v>
          </cell>
          <cell r="AE296">
            <v>46387</v>
          </cell>
          <cell r="AF296">
            <v>23</v>
          </cell>
          <cell r="AG296">
            <v>34.5</v>
          </cell>
          <cell r="AH296">
            <v>23</v>
          </cell>
          <cell r="AI296">
            <v>28</v>
          </cell>
          <cell r="AJ296">
            <v>42</v>
          </cell>
          <cell r="AK296">
            <v>7.5</v>
          </cell>
          <cell r="AL296">
            <v>5</v>
          </cell>
          <cell r="AM296">
            <v>7.5</v>
          </cell>
          <cell r="AN296">
            <v>5</v>
          </cell>
          <cell r="AO296">
            <v>7.5</v>
          </cell>
          <cell r="AP296">
            <v>5</v>
          </cell>
          <cell r="AQ296" t="str">
            <v>US_27290</v>
          </cell>
          <cell r="AR296">
            <v>30</v>
          </cell>
          <cell r="AS296">
            <v>184</v>
          </cell>
          <cell r="AU296">
            <v>184</v>
          </cell>
          <cell r="AV296">
            <v>225</v>
          </cell>
          <cell r="AW296">
            <v>920</v>
          </cell>
          <cell r="AX296">
            <v>1145</v>
          </cell>
          <cell r="AY296">
            <v>225</v>
          </cell>
          <cell r="AZ296">
            <v>920</v>
          </cell>
          <cell r="BA296">
            <v>1145</v>
          </cell>
          <cell r="BB296">
            <v>920</v>
          </cell>
          <cell r="BC296">
            <v>0</v>
          </cell>
          <cell r="BD296">
            <v>0</v>
          </cell>
          <cell r="BE296">
            <v>0</v>
          </cell>
          <cell r="BG296">
            <v>1145</v>
          </cell>
          <cell r="BI296">
            <v>1145</v>
          </cell>
          <cell r="BJ296">
            <v>5152</v>
          </cell>
          <cell r="BK296">
            <v>5152</v>
          </cell>
          <cell r="BL296">
            <v>3680</v>
          </cell>
          <cell r="BM296">
            <v>3</v>
          </cell>
          <cell r="BN296">
            <v>0</v>
          </cell>
          <cell r="BO296">
            <v>552</v>
          </cell>
          <cell r="BP296">
            <v>4232</v>
          </cell>
          <cell r="BQ296">
            <v>3</v>
          </cell>
          <cell r="BR296">
            <v>920</v>
          </cell>
          <cell r="BS296" t="str">
            <v>Y</v>
          </cell>
          <cell r="BT296">
            <v>1</v>
          </cell>
          <cell r="BU296">
            <v>1</v>
          </cell>
          <cell r="BV296" t="str">
            <v>N</v>
          </cell>
          <cell r="BW296">
            <v>0</v>
          </cell>
          <cell r="BX296">
            <v>0</v>
          </cell>
          <cell r="BY296">
            <v>2026</v>
          </cell>
          <cell r="BZ296" t="str">
            <v>-</v>
          </cell>
          <cell r="CA296" t="str">
            <v>-</v>
          </cell>
        </row>
        <row r="297">
          <cell r="A297" t="str">
            <v>Lucknow</v>
          </cell>
          <cell r="B297" t="str">
            <v>Titans</v>
          </cell>
          <cell r="C297" t="str">
            <v>Mid Level</v>
          </cell>
          <cell r="D297" t="str">
            <v>Nitin Saxena</v>
          </cell>
          <cell r="E297" t="str">
            <v>-</v>
          </cell>
          <cell r="F297" t="str">
            <v>Non-MSP</v>
          </cell>
          <cell r="H297" t="str">
            <v>Nitin Saxena</v>
          </cell>
          <cell r="J297" t="str">
            <v>ACH</v>
          </cell>
          <cell r="L297" t="str">
            <v>New</v>
          </cell>
          <cell r="M297">
            <v>46023</v>
          </cell>
          <cell r="N297">
            <v>179</v>
          </cell>
          <cell r="P297">
            <v>46388</v>
          </cell>
          <cell r="Q297" t="str">
            <v>PLC-3852</v>
          </cell>
          <cell r="R297" t="str">
            <v>Karthik Kurra</v>
          </cell>
          <cell r="S297" t="str">
            <v>Individual</v>
          </cell>
          <cell r="T297" t="str">
            <v>W2</v>
          </cell>
          <cell r="U297" t="str">
            <v>Genpact</v>
          </cell>
          <cell r="V297">
            <v>20</v>
          </cell>
          <cell r="W297">
            <v>30</v>
          </cell>
          <cell r="X297" t="str">
            <v>USD</v>
          </cell>
          <cell r="Y297">
            <v>28</v>
          </cell>
          <cell r="Z297">
            <v>42</v>
          </cell>
          <cell r="AA297">
            <v>0</v>
          </cell>
          <cell r="AB297">
            <v>0</v>
          </cell>
          <cell r="AC297">
            <v>46127</v>
          </cell>
          <cell r="AD297">
            <v>22</v>
          </cell>
          <cell r="AE297">
            <v>46387</v>
          </cell>
          <cell r="AF297">
            <v>23</v>
          </cell>
          <cell r="AG297">
            <v>34.5</v>
          </cell>
          <cell r="AH297">
            <v>23</v>
          </cell>
          <cell r="AI297">
            <v>28</v>
          </cell>
          <cell r="AJ297">
            <v>42</v>
          </cell>
          <cell r="AK297">
            <v>7.5</v>
          </cell>
          <cell r="AL297">
            <v>5</v>
          </cell>
          <cell r="AM297">
            <v>7.5</v>
          </cell>
          <cell r="AN297">
            <v>5</v>
          </cell>
          <cell r="AO297">
            <v>7.5</v>
          </cell>
          <cell r="AP297">
            <v>5</v>
          </cell>
          <cell r="AQ297" t="str">
            <v>US_27536</v>
          </cell>
          <cell r="AR297">
            <v>0</v>
          </cell>
          <cell r="AS297">
            <v>176</v>
          </cell>
          <cell r="AU297">
            <v>176</v>
          </cell>
          <cell r="AV297">
            <v>0</v>
          </cell>
          <cell r="AW297">
            <v>880</v>
          </cell>
          <cell r="AX297">
            <v>871.2</v>
          </cell>
          <cell r="AY297">
            <v>0</v>
          </cell>
          <cell r="AZ297">
            <v>880</v>
          </cell>
          <cell r="BA297">
            <v>871.2</v>
          </cell>
          <cell r="BB297">
            <v>880</v>
          </cell>
          <cell r="BC297">
            <v>0</v>
          </cell>
          <cell r="BD297">
            <v>0</v>
          </cell>
          <cell r="BE297">
            <v>0</v>
          </cell>
          <cell r="BG297">
            <v>871.2</v>
          </cell>
          <cell r="BI297">
            <v>871.2</v>
          </cell>
          <cell r="BJ297">
            <v>4928</v>
          </cell>
          <cell r="BK297">
            <v>4928</v>
          </cell>
          <cell r="BL297">
            <v>3520</v>
          </cell>
          <cell r="BM297">
            <v>3</v>
          </cell>
          <cell r="BN297">
            <v>0</v>
          </cell>
          <cell r="BO297">
            <v>528</v>
          </cell>
          <cell r="BP297">
            <v>4048</v>
          </cell>
          <cell r="BQ297">
            <v>3</v>
          </cell>
          <cell r="BR297">
            <v>880</v>
          </cell>
          <cell r="BT297">
            <v>2</v>
          </cell>
          <cell r="BU297">
            <v>1</v>
          </cell>
          <cell r="BV297" t="str">
            <v>N</v>
          </cell>
          <cell r="BW297">
            <v>0</v>
          </cell>
          <cell r="BX297">
            <v>0</v>
          </cell>
          <cell r="BY297">
            <v>2026</v>
          </cell>
          <cell r="BZ297" t="str">
            <v>-</v>
          </cell>
          <cell r="CA297" t="str">
            <v>-</v>
          </cell>
        </row>
        <row r="298">
          <cell r="A298" t="str">
            <v>Lucknow</v>
          </cell>
          <cell r="B298" t="str">
            <v>Titans</v>
          </cell>
          <cell r="C298" t="str">
            <v>Mid Level</v>
          </cell>
          <cell r="D298" t="str">
            <v>Nitin Saxena</v>
          </cell>
          <cell r="E298" t="str">
            <v>-</v>
          </cell>
          <cell r="F298" t="str">
            <v>Non-MSP</v>
          </cell>
          <cell r="H298" t="str">
            <v>Nitin Saxena</v>
          </cell>
          <cell r="J298" t="str">
            <v>ACH</v>
          </cell>
          <cell r="L298" t="str">
            <v>New</v>
          </cell>
          <cell r="M298">
            <v>46023</v>
          </cell>
          <cell r="N298">
            <v>179</v>
          </cell>
          <cell r="P298">
            <v>46388</v>
          </cell>
          <cell r="Q298" t="str">
            <v>PLC-3852</v>
          </cell>
          <cell r="R298" t="str">
            <v>Karthik Kurra</v>
          </cell>
          <cell r="S298" t="str">
            <v>Individual</v>
          </cell>
          <cell r="T298" t="str">
            <v>W2</v>
          </cell>
          <cell r="U298" t="str">
            <v>Genpact</v>
          </cell>
          <cell r="V298">
            <v>20</v>
          </cell>
          <cell r="W298">
            <v>30</v>
          </cell>
          <cell r="X298" t="str">
            <v>USD</v>
          </cell>
          <cell r="Y298">
            <v>28</v>
          </cell>
          <cell r="Z298">
            <v>42</v>
          </cell>
          <cell r="AA298">
            <v>0</v>
          </cell>
          <cell r="AB298">
            <v>0</v>
          </cell>
          <cell r="AC298">
            <v>46157</v>
          </cell>
          <cell r="AD298">
            <v>22</v>
          </cell>
          <cell r="AE298">
            <v>46387</v>
          </cell>
          <cell r="AF298">
            <v>23</v>
          </cell>
          <cell r="AG298">
            <v>34.5</v>
          </cell>
          <cell r="AH298">
            <v>23</v>
          </cell>
          <cell r="AI298">
            <v>28</v>
          </cell>
          <cell r="AJ298">
            <v>42</v>
          </cell>
          <cell r="AK298">
            <v>7.5</v>
          </cell>
          <cell r="AL298">
            <v>5</v>
          </cell>
          <cell r="AM298">
            <v>7.5</v>
          </cell>
          <cell r="AN298">
            <v>5</v>
          </cell>
          <cell r="AO298">
            <v>7.5</v>
          </cell>
          <cell r="AP298">
            <v>5</v>
          </cell>
          <cell r="AQ298" t="str">
            <v>US_27810</v>
          </cell>
          <cell r="AR298">
            <v>8</v>
          </cell>
          <cell r="AS298">
            <v>152</v>
          </cell>
          <cell r="AU298">
            <v>152</v>
          </cell>
          <cell r="AV298">
            <v>60</v>
          </cell>
          <cell r="AW298">
            <v>760</v>
          </cell>
          <cell r="AX298">
            <v>811.8</v>
          </cell>
          <cell r="AY298">
            <v>60</v>
          </cell>
          <cell r="AZ298">
            <v>760</v>
          </cell>
          <cell r="BA298">
            <v>811.8</v>
          </cell>
          <cell r="BB298">
            <v>760</v>
          </cell>
          <cell r="BC298">
            <v>0</v>
          </cell>
          <cell r="BD298">
            <v>0</v>
          </cell>
          <cell r="BE298">
            <v>0</v>
          </cell>
          <cell r="BG298">
            <v>811.8</v>
          </cell>
          <cell r="BI298">
            <v>811.8</v>
          </cell>
          <cell r="BJ298">
            <v>4256</v>
          </cell>
          <cell r="BK298">
            <v>4256</v>
          </cell>
          <cell r="BL298">
            <v>3040</v>
          </cell>
          <cell r="BM298">
            <v>3</v>
          </cell>
          <cell r="BN298">
            <v>0</v>
          </cell>
          <cell r="BO298">
            <v>456</v>
          </cell>
          <cell r="BP298">
            <v>3496</v>
          </cell>
          <cell r="BQ298">
            <v>3</v>
          </cell>
          <cell r="BR298">
            <v>760</v>
          </cell>
          <cell r="BT298">
            <v>2</v>
          </cell>
          <cell r="BU298">
            <v>1</v>
          </cell>
          <cell r="BV298" t="str">
            <v>N</v>
          </cell>
          <cell r="BW298">
            <v>0</v>
          </cell>
          <cell r="BX298">
            <v>0</v>
          </cell>
          <cell r="BY298">
            <v>2026</v>
          </cell>
          <cell r="BZ298" t="str">
            <v>-</v>
          </cell>
          <cell r="CA298" t="str">
            <v>-</v>
          </cell>
        </row>
        <row r="299">
          <cell r="A299" t="str">
            <v>Noida</v>
          </cell>
          <cell r="B299" t="str">
            <v>Noida IT</v>
          </cell>
          <cell r="C299" t="str">
            <v>Mid Level</v>
          </cell>
          <cell r="D299" t="str">
            <v>Abdul Rahman</v>
          </cell>
          <cell r="E299" t="str">
            <v>-</v>
          </cell>
          <cell r="F299" t="str">
            <v>Non-MSP</v>
          </cell>
          <cell r="H299" t="str">
            <v>Mohd Ateeq</v>
          </cell>
          <cell r="L299" t="str">
            <v>New</v>
          </cell>
          <cell r="M299">
            <v>46062</v>
          </cell>
          <cell r="N299">
            <v>140</v>
          </cell>
          <cell r="P299">
            <v>46427</v>
          </cell>
          <cell r="Q299" t="str">
            <v>PLC-4284</v>
          </cell>
          <cell r="R299" t="str">
            <v>Karthik Polisetty 2</v>
          </cell>
          <cell r="S299" t="str">
            <v>Individual</v>
          </cell>
          <cell r="T299" t="str">
            <v>C2C</v>
          </cell>
          <cell r="U299" t="str">
            <v>Xebia</v>
          </cell>
          <cell r="V299">
            <v>56</v>
          </cell>
          <cell r="W299">
            <v>0</v>
          </cell>
          <cell r="X299" t="str">
            <v>USD</v>
          </cell>
          <cell r="Y299">
            <v>76</v>
          </cell>
          <cell r="Z299">
            <v>0</v>
          </cell>
          <cell r="AA299">
            <v>0</v>
          </cell>
          <cell r="AB299">
            <v>3</v>
          </cell>
          <cell r="AC299">
            <v>46068</v>
          </cell>
          <cell r="AD299">
            <v>15</v>
          </cell>
          <cell r="AE299">
            <v>46387</v>
          </cell>
          <cell r="AF299">
            <v>56</v>
          </cell>
          <cell r="AG299">
            <v>0</v>
          </cell>
          <cell r="AH299">
            <v>59</v>
          </cell>
          <cell r="AI299">
            <v>76</v>
          </cell>
          <cell r="AJ299">
            <v>0</v>
          </cell>
          <cell r="AK299">
            <v>0</v>
          </cell>
          <cell r="AL299">
            <v>17</v>
          </cell>
          <cell r="AM299">
            <v>0</v>
          </cell>
          <cell r="AN299">
            <v>17</v>
          </cell>
          <cell r="AO299">
            <v>0</v>
          </cell>
          <cell r="AP299">
            <v>17</v>
          </cell>
          <cell r="AQ299" t="str">
            <v>US_27187</v>
          </cell>
          <cell r="AR299">
            <v>0</v>
          </cell>
          <cell r="AS299">
            <v>120</v>
          </cell>
          <cell r="AU299">
            <v>120</v>
          </cell>
          <cell r="AV299">
            <v>0</v>
          </cell>
          <cell r="AW299">
            <v>2040</v>
          </cell>
          <cell r="AX299">
            <v>2040</v>
          </cell>
          <cell r="AY299">
            <v>0</v>
          </cell>
          <cell r="AZ299">
            <v>2040</v>
          </cell>
          <cell r="BA299">
            <v>2040</v>
          </cell>
          <cell r="BB299">
            <v>2040</v>
          </cell>
          <cell r="BC299">
            <v>57.142857142857139</v>
          </cell>
          <cell r="BD299">
            <v>2692.8</v>
          </cell>
          <cell r="BE299">
            <v>2692.8</v>
          </cell>
          <cell r="BG299">
            <v>2040</v>
          </cell>
          <cell r="BI299">
            <v>2040</v>
          </cell>
          <cell r="BJ299">
            <v>9120</v>
          </cell>
          <cell r="BK299">
            <v>9120</v>
          </cell>
          <cell r="BL299">
            <v>6720</v>
          </cell>
          <cell r="BM299">
            <v>0</v>
          </cell>
          <cell r="BN299">
            <v>360</v>
          </cell>
          <cell r="BO299">
            <v>0</v>
          </cell>
          <cell r="BP299">
            <v>7080</v>
          </cell>
          <cell r="BQ299">
            <v>3</v>
          </cell>
          <cell r="BR299">
            <v>2040</v>
          </cell>
          <cell r="BS299" t="str">
            <v>Y</v>
          </cell>
          <cell r="BT299">
            <v>1</v>
          </cell>
          <cell r="BU299">
            <v>1</v>
          </cell>
          <cell r="BV299" t="str">
            <v>N</v>
          </cell>
          <cell r="BW299">
            <v>5385.6</v>
          </cell>
          <cell r="BX299">
            <v>5385.6</v>
          </cell>
          <cell r="BY299">
            <v>2026</v>
          </cell>
          <cell r="BZ299" t="str">
            <v>-</v>
          </cell>
          <cell r="CA299" t="str">
            <v>-</v>
          </cell>
        </row>
        <row r="300">
          <cell r="A300" t="str">
            <v>Noida</v>
          </cell>
          <cell r="B300" t="str">
            <v>Noida IT</v>
          </cell>
          <cell r="C300" t="str">
            <v>Mid Level</v>
          </cell>
          <cell r="D300" t="str">
            <v>Abdul Rahman</v>
          </cell>
          <cell r="E300" t="str">
            <v>-</v>
          </cell>
          <cell r="F300" t="str">
            <v>Non-MSP</v>
          </cell>
          <cell r="H300" t="str">
            <v>Mohd Ateeq</v>
          </cell>
          <cell r="L300" t="str">
            <v>New</v>
          </cell>
          <cell r="M300">
            <v>46062</v>
          </cell>
          <cell r="N300">
            <v>140</v>
          </cell>
          <cell r="P300">
            <v>46427</v>
          </cell>
          <cell r="Q300" t="str">
            <v>PLC-4284</v>
          </cell>
          <cell r="R300" t="str">
            <v>Karthik Polisetty 2</v>
          </cell>
          <cell r="S300" t="str">
            <v>Individual</v>
          </cell>
          <cell r="T300" t="str">
            <v>C2C</v>
          </cell>
          <cell r="U300" t="str">
            <v>Xebia</v>
          </cell>
          <cell r="V300">
            <v>56</v>
          </cell>
          <cell r="W300">
            <v>0</v>
          </cell>
          <cell r="X300" t="str">
            <v>USD</v>
          </cell>
          <cell r="Y300">
            <v>76</v>
          </cell>
          <cell r="Z300">
            <v>0</v>
          </cell>
          <cell r="AA300">
            <v>0</v>
          </cell>
          <cell r="AB300">
            <v>3</v>
          </cell>
          <cell r="AC300">
            <v>46096</v>
          </cell>
          <cell r="AD300">
            <v>22</v>
          </cell>
          <cell r="AE300">
            <v>46387</v>
          </cell>
          <cell r="AF300">
            <v>56</v>
          </cell>
          <cell r="AG300">
            <v>0</v>
          </cell>
          <cell r="AH300">
            <v>59</v>
          </cell>
          <cell r="AI300">
            <v>76</v>
          </cell>
          <cell r="AJ300">
            <v>0</v>
          </cell>
          <cell r="AK300">
            <v>0</v>
          </cell>
          <cell r="AL300">
            <v>17</v>
          </cell>
          <cell r="AM300">
            <v>0</v>
          </cell>
          <cell r="AN300">
            <v>17</v>
          </cell>
          <cell r="AO300">
            <v>0</v>
          </cell>
          <cell r="AP300">
            <v>17</v>
          </cell>
          <cell r="AQ300" t="str">
            <v>US_27400</v>
          </cell>
          <cell r="AR300">
            <v>0</v>
          </cell>
          <cell r="AS300">
            <v>176</v>
          </cell>
          <cell r="AU300">
            <v>176</v>
          </cell>
          <cell r="AV300">
            <v>0</v>
          </cell>
          <cell r="AW300">
            <v>2992</v>
          </cell>
          <cell r="AX300">
            <v>2992</v>
          </cell>
          <cell r="AY300">
            <v>0</v>
          </cell>
          <cell r="AZ300">
            <v>2992</v>
          </cell>
          <cell r="BA300">
            <v>2992</v>
          </cell>
          <cell r="BB300">
            <v>2992</v>
          </cell>
          <cell r="BC300">
            <v>57.142857142857139</v>
          </cell>
          <cell r="BD300">
            <v>3949.44</v>
          </cell>
          <cell r="BE300">
            <v>3949.44</v>
          </cell>
          <cell r="BG300">
            <v>2992</v>
          </cell>
          <cell r="BI300">
            <v>2992</v>
          </cell>
          <cell r="BJ300">
            <v>13376</v>
          </cell>
          <cell r="BK300">
            <v>13376</v>
          </cell>
          <cell r="BL300">
            <v>9856</v>
          </cell>
          <cell r="BM300">
            <v>0</v>
          </cell>
          <cell r="BN300">
            <v>528</v>
          </cell>
          <cell r="BO300">
            <v>0</v>
          </cell>
          <cell r="BP300">
            <v>10384</v>
          </cell>
          <cell r="BQ300">
            <v>3</v>
          </cell>
          <cell r="BR300">
            <v>2992</v>
          </cell>
          <cell r="BT300">
            <v>1</v>
          </cell>
          <cell r="BU300">
            <v>1</v>
          </cell>
          <cell r="BV300" t="str">
            <v>N</v>
          </cell>
          <cell r="BW300">
            <v>7898.88</v>
          </cell>
          <cell r="BX300">
            <v>7898.88</v>
          </cell>
          <cell r="BY300">
            <v>2026</v>
          </cell>
          <cell r="BZ300" t="str">
            <v>-</v>
          </cell>
          <cell r="CA300" t="str">
            <v>-</v>
          </cell>
        </row>
        <row r="301">
          <cell r="A301" t="str">
            <v>Noida</v>
          </cell>
          <cell r="B301" t="str">
            <v>Noida IT</v>
          </cell>
          <cell r="C301" t="str">
            <v>Mid Level</v>
          </cell>
          <cell r="D301" t="str">
            <v>Abdul Rahman</v>
          </cell>
          <cell r="E301" t="str">
            <v>-</v>
          </cell>
          <cell r="F301" t="str">
            <v>Non-MSP</v>
          </cell>
          <cell r="H301" t="str">
            <v>Mohd Ateeq</v>
          </cell>
          <cell r="J301" t="str">
            <v>ACH</v>
          </cell>
          <cell r="L301" t="str">
            <v>New</v>
          </cell>
          <cell r="M301">
            <v>46062</v>
          </cell>
          <cell r="N301">
            <v>140</v>
          </cell>
          <cell r="P301">
            <v>46427</v>
          </cell>
          <cell r="Q301" t="str">
            <v>PLC-4284</v>
          </cell>
          <cell r="R301" t="str">
            <v>Karthik Polisetty 2</v>
          </cell>
          <cell r="S301" t="str">
            <v>Individual</v>
          </cell>
          <cell r="T301" t="str">
            <v>C2C</v>
          </cell>
          <cell r="U301" t="str">
            <v>Xebia</v>
          </cell>
          <cell r="V301">
            <v>56</v>
          </cell>
          <cell r="W301">
            <v>0</v>
          </cell>
          <cell r="X301" t="str">
            <v>USD</v>
          </cell>
          <cell r="Y301">
            <v>76</v>
          </cell>
          <cell r="Z301">
            <v>0</v>
          </cell>
          <cell r="AA301">
            <v>0</v>
          </cell>
          <cell r="AB301">
            <v>3</v>
          </cell>
          <cell r="AC301">
            <v>46127</v>
          </cell>
          <cell r="AD301">
            <v>22</v>
          </cell>
          <cell r="AE301">
            <v>46387</v>
          </cell>
          <cell r="AF301">
            <v>56</v>
          </cell>
          <cell r="AG301">
            <v>0</v>
          </cell>
          <cell r="AH301">
            <v>59</v>
          </cell>
          <cell r="AI301">
            <v>76</v>
          </cell>
          <cell r="AJ301">
            <v>0</v>
          </cell>
          <cell r="AK301">
            <v>0</v>
          </cell>
          <cell r="AL301">
            <v>17</v>
          </cell>
          <cell r="AM301">
            <v>0</v>
          </cell>
          <cell r="AN301">
            <v>17</v>
          </cell>
          <cell r="AO301">
            <v>0</v>
          </cell>
          <cell r="AP301">
            <v>17</v>
          </cell>
          <cell r="AQ301" t="str">
            <v>US_27633</v>
          </cell>
          <cell r="AR301">
            <v>0</v>
          </cell>
          <cell r="AS301">
            <v>168</v>
          </cell>
          <cell r="AU301">
            <v>168</v>
          </cell>
          <cell r="AV301">
            <v>0</v>
          </cell>
          <cell r="AW301">
            <v>2856</v>
          </cell>
          <cell r="AX301">
            <v>2827.44</v>
          </cell>
          <cell r="AY301">
            <v>0</v>
          </cell>
          <cell r="AZ301">
            <v>2856</v>
          </cell>
          <cell r="BA301">
            <v>2827.44</v>
          </cell>
          <cell r="BB301">
            <v>2856</v>
          </cell>
          <cell r="BC301">
            <v>57.142857142857139</v>
          </cell>
          <cell r="BD301">
            <v>3732.2208000000001</v>
          </cell>
          <cell r="BE301">
            <v>3732.2208000000001</v>
          </cell>
          <cell r="BG301">
            <v>2827.44</v>
          </cell>
          <cell r="BI301">
            <v>2827.44</v>
          </cell>
          <cell r="BJ301">
            <v>12768</v>
          </cell>
          <cell r="BK301">
            <v>12768</v>
          </cell>
          <cell r="BL301">
            <v>9408</v>
          </cell>
          <cell r="BM301">
            <v>0</v>
          </cell>
          <cell r="BN301">
            <v>504</v>
          </cell>
          <cell r="BO301">
            <v>0</v>
          </cell>
          <cell r="BP301">
            <v>9912</v>
          </cell>
          <cell r="BQ301">
            <v>3</v>
          </cell>
          <cell r="BR301">
            <v>2856</v>
          </cell>
          <cell r="BT301">
            <v>2</v>
          </cell>
          <cell r="BU301">
            <v>1</v>
          </cell>
          <cell r="BV301" t="str">
            <v>N</v>
          </cell>
          <cell r="BW301">
            <v>7464.4416000000001</v>
          </cell>
          <cell r="BX301">
            <v>7464.4416000000001</v>
          </cell>
          <cell r="BY301">
            <v>2026</v>
          </cell>
          <cell r="BZ301" t="str">
            <v>-</v>
          </cell>
          <cell r="CA301" t="str">
            <v>-</v>
          </cell>
        </row>
        <row r="302">
          <cell r="A302" t="str">
            <v>Noida</v>
          </cell>
          <cell r="B302" t="str">
            <v>Noida IT</v>
          </cell>
          <cell r="C302" t="str">
            <v>Mid Level</v>
          </cell>
          <cell r="D302" t="str">
            <v>Abdul Rahman</v>
          </cell>
          <cell r="E302" t="str">
            <v>-</v>
          </cell>
          <cell r="F302" t="str">
            <v>Non-MSP</v>
          </cell>
          <cell r="H302" t="str">
            <v>Mohd Ateeq</v>
          </cell>
          <cell r="J302" t="str">
            <v>ACH</v>
          </cell>
          <cell r="L302" t="str">
            <v>New</v>
          </cell>
          <cell r="M302">
            <v>46062</v>
          </cell>
          <cell r="N302">
            <v>140</v>
          </cell>
          <cell r="P302">
            <v>46427</v>
          </cell>
          <cell r="Q302" t="str">
            <v>PLC-4284</v>
          </cell>
          <cell r="R302" t="str">
            <v>Karthik Polisetty 2</v>
          </cell>
          <cell r="S302" t="str">
            <v>Individual</v>
          </cell>
          <cell r="T302" t="str">
            <v>C2C</v>
          </cell>
          <cell r="U302" t="str">
            <v>Xebia</v>
          </cell>
          <cell r="V302">
            <v>56</v>
          </cell>
          <cell r="W302">
            <v>0</v>
          </cell>
          <cell r="X302" t="str">
            <v>USD</v>
          </cell>
          <cell r="Y302">
            <v>76</v>
          </cell>
          <cell r="Z302">
            <v>0</v>
          </cell>
          <cell r="AA302">
            <v>0</v>
          </cell>
          <cell r="AB302">
            <v>3</v>
          </cell>
          <cell r="AC302">
            <v>46157</v>
          </cell>
          <cell r="AD302">
            <v>22</v>
          </cell>
          <cell r="AE302">
            <v>46387</v>
          </cell>
          <cell r="AF302">
            <v>56</v>
          </cell>
          <cell r="AG302">
            <v>0</v>
          </cell>
          <cell r="AH302">
            <v>59</v>
          </cell>
          <cell r="AI302">
            <v>76</v>
          </cell>
          <cell r="AJ302">
            <v>0</v>
          </cell>
          <cell r="AK302">
            <v>0</v>
          </cell>
          <cell r="AL302">
            <v>17</v>
          </cell>
          <cell r="AM302">
            <v>0</v>
          </cell>
          <cell r="AN302">
            <v>17</v>
          </cell>
          <cell r="AO302">
            <v>0</v>
          </cell>
          <cell r="AP302">
            <v>17</v>
          </cell>
          <cell r="AQ302" t="str">
            <v>US_27918</v>
          </cell>
          <cell r="AR302">
            <v>0</v>
          </cell>
          <cell r="AS302">
            <v>160</v>
          </cell>
          <cell r="AU302">
            <v>160</v>
          </cell>
          <cell r="AV302">
            <v>0</v>
          </cell>
          <cell r="AW302">
            <v>2720</v>
          </cell>
          <cell r="AX302">
            <v>2692.8</v>
          </cell>
          <cell r="AY302">
            <v>0</v>
          </cell>
          <cell r="AZ302">
            <v>2720</v>
          </cell>
          <cell r="BA302">
            <v>2692.8</v>
          </cell>
          <cell r="BB302">
            <v>2720</v>
          </cell>
          <cell r="BC302">
            <v>57.142857142857139</v>
          </cell>
          <cell r="BD302">
            <v>3554.4960000000005</v>
          </cell>
          <cell r="BE302">
            <v>3554.4960000000005</v>
          </cell>
          <cell r="BG302">
            <v>2692.8</v>
          </cell>
          <cell r="BI302">
            <v>2692.8</v>
          </cell>
          <cell r="BJ302">
            <v>12160</v>
          </cell>
          <cell r="BK302">
            <v>12160</v>
          </cell>
          <cell r="BL302">
            <v>8960</v>
          </cell>
          <cell r="BM302">
            <v>0</v>
          </cell>
          <cell r="BN302">
            <v>480</v>
          </cell>
          <cell r="BO302">
            <v>0</v>
          </cell>
          <cell r="BP302">
            <v>9440</v>
          </cell>
          <cell r="BQ302">
            <v>3</v>
          </cell>
          <cell r="BR302">
            <v>2720</v>
          </cell>
          <cell r="BT302">
            <v>2</v>
          </cell>
          <cell r="BU302">
            <v>1</v>
          </cell>
          <cell r="BV302" t="str">
            <v>N</v>
          </cell>
          <cell r="BW302">
            <v>7108.9920000000011</v>
          </cell>
          <cell r="BX302">
            <v>7108.9920000000011</v>
          </cell>
          <cell r="BY302">
            <v>2026</v>
          </cell>
          <cell r="BZ302" t="str">
            <v>-</v>
          </cell>
          <cell r="CA302" t="str">
            <v>-</v>
          </cell>
        </row>
        <row r="303">
          <cell r="A303" t="str">
            <v>Lucknow</v>
          </cell>
          <cell r="B303" t="str">
            <v>Mavericks</v>
          </cell>
          <cell r="C303" t="str">
            <v>Mid Level</v>
          </cell>
          <cell r="D303" t="str">
            <v>Rohit Gupta</v>
          </cell>
          <cell r="E303" t="str">
            <v>Yogesh Bisht</v>
          </cell>
          <cell r="F303" t="str">
            <v>Non-MSP</v>
          </cell>
          <cell r="H303" t="str">
            <v>Nilesh Shahi</v>
          </cell>
          <cell r="J303" t="str">
            <v>ACH</v>
          </cell>
          <cell r="L303" t="str">
            <v>New</v>
          </cell>
          <cell r="M303">
            <v>46160</v>
          </cell>
          <cell r="N303">
            <v>42</v>
          </cell>
          <cell r="P303">
            <v>46525</v>
          </cell>
          <cell r="Q303" t="str">
            <v>PLC-4871</v>
          </cell>
          <cell r="R303" t="str">
            <v>Kaushik Vecha</v>
          </cell>
          <cell r="S303" t="str">
            <v>Individual</v>
          </cell>
          <cell r="T303" t="str">
            <v>C2C</v>
          </cell>
          <cell r="U303" t="str">
            <v>Mphasis</v>
          </cell>
          <cell r="V303">
            <v>65</v>
          </cell>
          <cell r="W303">
            <v>0</v>
          </cell>
          <cell r="X303" t="str">
            <v>USD</v>
          </cell>
          <cell r="Y303">
            <v>72</v>
          </cell>
          <cell r="Z303">
            <v>0</v>
          </cell>
          <cell r="AA303">
            <v>0</v>
          </cell>
          <cell r="AB303">
            <v>0</v>
          </cell>
          <cell r="AC303">
            <v>46157</v>
          </cell>
          <cell r="AD303">
            <v>10</v>
          </cell>
          <cell r="AE303">
            <v>46387</v>
          </cell>
          <cell r="AF303">
            <v>65</v>
          </cell>
          <cell r="AG303">
            <v>0</v>
          </cell>
          <cell r="AH303">
            <v>65</v>
          </cell>
          <cell r="AI303">
            <v>72</v>
          </cell>
          <cell r="AJ303">
            <v>0</v>
          </cell>
          <cell r="AK303">
            <v>0</v>
          </cell>
          <cell r="AL303">
            <v>7</v>
          </cell>
          <cell r="AM303">
            <v>0</v>
          </cell>
          <cell r="AN303">
            <v>7</v>
          </cell>
          <cell r="AO303">
            <v>0</v>
          </cell>
          <cell r="AP303">
            <v>7</v>
          </cell>
          <cell r="AQ303" t="str">
            <v>US_27981</v>
          </cell>
          <cell r="AR303">
            <v>0</v>
          </cell>
          <cell r="AS303">
            <v>72</v>
          </cell>
          <cell r="AU303">
            <v>72</v>
          </cell>
          <cell r="AV303">
            <v>0</v>
          </cell>
          <cell r="AW303">
            <v>504</v>
          </cell>
          <cell r="AX303">
            <v>498.96</v>
          </cell>
          <cell r="AY303">
            <v>0</v>
          </cell>
          <cell r="AZ303">
            <v>504</v>
          </cell>
          <cell r="BA303">
            <v>498.96</v>
          </cell>
          <cell r="BB303">
            <v>504</v>
          </cell>
          <cell r="BC303">
            <v>50</v>
          </cell>
          <cell r="BD303">
            <v>658.62720000000002</v>
          </cell>
          <cell r="BE303">
            <v>658.62720000000002</v>
          </cell>
          <cell r="BG303">
            <v>498.96</v>
          </cell>
          <cell r="BI303">
            <v>0</v>
          </cell>
          <cell r="BJ303">
            <v>5184</v>
          </cell>
          <cell r="BK303">
            <v>5184</v>
          </cell>
          <cell r="BL303">
            <v>4680</v>
          </cell>
          <cell r="BM303">
            <v>0</v>
          </cell>
          <cell r="BN303">
            <v>0</v>
          </cell>
          <cell r="BO303">
            <v>0</v>
          </cell>
          <cell r="BP303">
            <v>4680</v>
          </cell>
          <cell r="BQ303">
            <v>0</v>
          </cell>
          <cell r="BR303">
            <v>504</v>
          </cell>
          <cell r="BT303">
            <v>2</v>
          </cell>
          <cell r="BU303">
            <v>2</v>
          </cell>
          <cell r="BV303" t="str">
            <v>N</v>
          </cell>
          <cell r="BW303">
            <v>1317.2544</v>
          </cell>
          <cell r="BX303">
            <v>1317.2544</v>
          </cell>
          <cell r="BY303">
            <v>2026</v>
          </cell>
          <cell r="BZ303" t="str">
            <v>-</v>
          </cell>
          <cell r="CA303" t="str">
            <v>-</v>
          </cell>
        </row>
        <row r="304">
          <cell r="A304" t="str">
            <v>Lucknow</v>
          </cell>
          <cell r="B304" t="str">
            <v>Mavericks</v>
          </cell>
          <cell r="C304" t="str">
            <v>Mid Level</v>
          </cell>
          <cell r="D304" t="str">
            <v>Mohammad Fakhrul</v>
          </cell>
          <cell r="E304" t="str">
            <v>-</v>
          </cell>
          <cell r="F304" t="str">
            <v>MSP</v>
          </cell>
          <cell r="H304" t="str">
            <v>Pass Through/MSP</v>
          </cell>
          <cell r="J304" t="str">
            <v>ACH</v>
          </cell>
          <cell r="L304" t="str">
            <v>New</v>
          </cell>
          <cell r="M304">
            <v>46077</v>
          </cell>
          <cell r="N304">
            <v>125</v>
          </cell>
          <cell r="O304">
            <v>46142</v>
          </cell>
          <cell r="P304">
            <v>46442</v>
          </cell>
          <cell r="Q304" t="str">
            <v>PLC-Passthrough</v>
          </cell>
          <cell r="R304" t="str">
            <v>Khalil Mustapha</v>
          </cell>
          <cell r="S304" t="str">
            <v>Individual</v>
          </cell>
          <cell r="T304" t="str">
            <v>C2C</v>
          </cell>
          <cell r="U304" t="str">
            <v>CoForge</v>
          </cell>
          <cell r="V304">
            <v>74</v>
          </cell>
          <cell r="W304">
            <v>0</v>
          </cell>
          <cell r="X304" t="str">
            <v>USD</v>
          </cell>
          <cell r="Y304">
            <v>75</v>
          </cell>
          <cell r="Z304">
            <v>0</v>
          </cell>
          <cell r="AA304">
            <v>0</v>
          </cell>
          <cell r="AB304">
            <v>0</v>
          </cell>
          <cell r="AC304">
            <v>46068</v>
          </cell>
          <cell r="AD304">
            <v>4</v>
          </cell>
          <cell r="AE304">
            <v>46387</v>
          </cell>
          <cell r="AF304">
            <v>74</v>
          </cell>
          <cell r="AG304">
            <v>0</v>
          </cell>
          <cell r="AH304">
            <v>74</v>
          </cell>
          <cell r="AI304">
            <v>75</v>
          </cell>
          <cell r="AJ304">
            <v>0</v>
          </cell>
          <cell r="AK304">
            <v>0</v>
          </cell>
          <cell r="AL304">
            <v>1</v>
          </cell>
          <cell r="AM304">
            <v>0</v>
          </cell>
          <cell r="AN304">
            <v>1</v>
          </cell>
          <cell r="AO304">
            <v>0</v>
          </cell>
          <cell r="AP304">
            <v>1</v>
          </cell>
          <cell r="AQ304" t="str">
            <v>US_CMSP_00555</v>
          </cell>
          <cell r="AR304">
            <v>0</v>
          </cell>
          <cell r="AS304">
            <v>32</v>
          </cell>
          <cell r="AU304">
            <v>32</v>
          </cell>
          <cell r="AV304">
            <v>0</v>
          </cell>
          <cell r="AW304">
            <v>32</v>
          </cell>
          <cell r="AX304">
            <v>31.68</v>
          </cell>
          <cell r="AY304">
            <v>0</v>
          </cell>
          <cell r="AZ304">
            <v>32</v>
          </cell>
          <cell r="BA304">
            <v>31.68</v>
          </cell>
          <cell r="BB304">
            <v>32</v>
          </cell>
          <cell r="BC304">
            <v>0</v>
          </cell>
          <cell r="BD304">
            <v>0</v>
          </cell>
          <cell r="BE304">
            <v>0</v>
          </cell>
          <cell r="BG304">
            <v>31.68</v>
          </cell>
          <cell r="BI304">
            <v>31.68</v>
          </cell>
          <cell r="BJ304">
            <v>2400</v>
          </cell>
          <cell r="BK304">
            <v>2400</v>
          </cell>
          <cell r="BL304">
            <v>2368</v>
          </cell>
          <cell r="BM304">
            <v>0</v>
          </cell>
          <cell r="BN304">
            <v>0</v>
          </cell>
          <cell r="BO304">
            <v>0</v>
          </cell>
          <cell r="BP304">
            <v>2368</v>
          </cell>
          <cell r="BQ304">
            <v>0</v>
          </cell>
          <cell r="BR304">
            <v>32</v>
          </cell>
          <cell r="BS304" t="str">
            <v>Y</v>
          </cell>
          <cell r="BT304">
            <v>1</v>
          </cell>
          <cell r="BU304">
            <v>1</v>
          </cell>
          <cell r="BV304" t="str">
            <v>N</v>
          </cell>
          <cell r="BW304">
            <v>0</v>
          </cell>
          <cell r="BX304">
            <v>0</v>
          </cell>
          <cell r="BY304">
            <v>2026</v>
          </cell>
          <cell r="BZ304" t="str">
            <v>-</v>
          </cell>
          <cell r="CA304" t="str">
            <v>-</v>
          </cell>
        </row>
        <row r="305">
          <cell r="A305" t="str">
            <v>Lucknow</v>
          </cell>
          <cell r="B305" t="str">
            <v>Mavericks</v>
          </cell>
          <cell r="C305" t="str">
            <v>Mid Level</v>
          </cell>
          <cell r="D305" t="str">
            <v>Mohammad Fakhrul</v>
          </cell>
          <cell r="E305" t="str">
            <v>-</v>
          </cell>
          <cell r="F305" t="str">
            <v>MSP</v>
          </cell>
          <cell r="H305" t="str">
            <v>Pass Through/MSP</v>
          </cell>
          <cell r="J305" t="str">
            <v>ACH</v>
          </cell>
          <cell r="L305" t="str">
            <v>New</v>
          </cell>
          <cell r="M305">
            <v>46077</v>
          </cell>
          <cell r="N305">
            <v>125</v>
          </cell>
          <cell r="O305">
            <v>46142</v>
          </cell>
          <cell r="P305">
            <v>46442</v>
          </cell>
          <cell r="Q305" t="str">
            <v>PLC-Passthrough</v>
          </cell>
          <cell r="R305" t="str">
            <v>Khalil Mustapha</v>
          </cell>
          <cell r="S305" t="str">
            <v>Individual</v>
          </cell>
          <cell r="T305" t="str">
            <v>C2C</v>
          </cell>
          <cell r="U305" t="str">
            <v>CoForge</v>
          </cell>
          <cell r="V305">
            <v>74</v>
          </cell>
          <cell r="W305">
            <v>0</v>
          </cell>
          <cell r="X305" t="str">
            <v>USD</v>
          </cell>
          <cell r="Y305">
            <v>75</v>
          </cell>
          <cell r="Z305">
            <v>0</v>
          </cell>
          <cell r="AA305">
            <v>0</v>
          </cell>
          <cell r="AB305">
            <v>0</v>
          </cell>
          <cell r="AC305">
            <v>46096</v>
          </cell>
          <cell r="AD305">
            <v>22</v>
          </cell>
          <cell r="AE305">
            <v>46387</v>
          </cell>
          <cell r="AF305">
            <v>74</v>
          </cell>
          <cell r="AG305">
            <v>0</v>
          </cell>
          <cell r="AH305">
            <v>74</v>
          </cell>
          <cell r="AI305">
            <v>75</v>
          </cell>
          <cell r="AJ305">
            <v>0</v>
          </cell>
          <cell r="AK305">
            <v>0</v>
          </cell>
          <cell r="AL305">
            <v>1</v>
          </cell>
          <cell r="AM305">
            <v>0</v>
          </cell>
          <cell r="AN305">
            <v>1</v>
          </cell>
          <cell r="AO305">
            <v>0</v>
          </cell>
          <cell r="AP305">
            <v>1</v>
          </cell>
          <cell r="AQ305" t="str">
            <v>US_CMSP_00590</v>
          </cell>
          <cell r="AR305">
            <v>0</v>
          </cell>
          <cell r="AS305">
            <v>176</v>
          </cell>
          <cell r="AU305">
            <v>176</v>
          </cell>
          <cell r="AV305">
            <v>0</v>
          </cell>
          <cell r="AW305">
            <v>176</v>
          </cell>
          <cell r="AX305">
            <v>174.24</v>
          </cell>
          <cell r="AY305">
            <v>0</v>
          </cell>
          <cell r="AZ305">
            <v>176</v>
          </cell>
          <cell r="BA305">
            <v>174.24</v>
          </cell>
          <cell r="BB305">
            <v>176</v>
          </cell>
          <cell r="BC305">
            <v>0</v>
          </cell>
          <cell r="BD305">
            <v>0</v>
          </cell>
          <cell r="BE305">
            <v>0</v>
          </cell>
          <cell r="BG305">
            <v>174.24</v>
          </cell>
          <cell r="BI305">
            <v>174.24</v>
          </cell>
          <cell r="BJ305">
            <v>13200</v>
          </cell>
          <cell r="BK305">
            <v>13200</v>
          </cell>
          <cell r="BL305">
            <v>13024</v>
          </cell>
          <cell r="BM305">
            <v>0</v>
          </cell>
          <cell r="BN305">
            <v>0</v>
          </cell>
          <cell r="BO305">
            <v>0</v>
          </cell>
          <cell r="BP305">
            <v>13024</v>
          </cell>
          <cell r="BQ305">
            <v>0</v>
          </cell>
          <cell r="BR305">
            <v>176</v>
          </cell>
          <cell r="BS305" t="str">
            <v>Y</v>
          </cell>
          <cell r="BT305">
            <v>1</v>
          </cell>
          <cell r="BU305">
            <v>1</v>
          </cell>
          <cell r="BV305" t="str">
            <v>N</v>
          </cell>
          <cell r="BW305">
            <v>0</v>
          </cell>
          <cell r="BX305">
            <v>0</v>
          </cell>
          <cell r="BY305">
            <v>2026</v>
          </cell>
          <cell r="BZ305" t="str">
            <v>-</v>
          </cell>
          <cell r="CA305" t="str">
            <v>-</v>
          </cell>
        </row>
        <row r="306">
          <cell r="A306" t="str">
            <v>Lucknow</v>
          </cell>
          <cell r="B306" t="str">
            <v>Mavericks</v>
          </cell>
          <cell r="C306" t="str">
            <v>Mid Level</v>
          </cell>
          <cell r="D306" t="str">
            <v>Mohammad Fakhrul</v>
          </cell>
          <cell r="E306" t="str">
            <v>-</v>
          </cell>
          <cell r="F306" t="str">
            <v>MSP</v>
          </cell>
          <cell r="H306" t="str">
            <v>Pass Through/MSP</v>
          </cell>
          <cell r="J306" t="str">
            <v>ACH</v>
          </cell>
          <cell r="L306" t="str">
            <v>New</v>
          </cell>
          <cell r="M306">
            <v>46077</v>
          </cell>
          <cell r="N306">
            <v>125</v>
          </cell>
          <cell r="O306">
            <v>46142</v>
          </cell>
          <cell r="P306">
            <v>46442</v>
          </cell>
          <cell r="Q306" t="str">
            <v>PLC-Passthrough</v>
          </cell>
          <cell r="R306" t="str">
            <v>Khalil Mustapha</v>
          </cell>
          <cell r="S306" t="str">
            <v>Individual</v>
          </cell>
          <cell r="T306" t="str">
            <v>C2C</v>
          </cell>
          <cell r="U306" t="str">
            <v>CoForge</v>
          </cell>
          <cell r="V306">
            <v>74</v>
          </cell>
          <cell r="W306">
            <v>0</v>
          </cell>
          <cell r="X306" t="str">
            <v>USD</v>
          </cell>
          <cell r="Y306">
            <v>75</v>
          </cell>
          <cell r="Z306">
            <v>0</v>
          </cell>
          <cell r="AA306">
            <v>0</v>
          </cell>
          <cell r="AB306">
            <v>0</v>
          </cell>
          <cell r="AC306">
            <v>46127</v>
          </cell>
          <cell r="AD306">
            <v>22</v>
          </cell>
          <cell r="AE306">
            <v>46387</v>
          </cell>
          <cell r="AF306">
            <v>74</v>
          </cell>
          <cell r="AG306">
            <v>0</v>
          </cell>
          <cell r="AH306">
            <v>74</v>
          </cell>
          <cell r="AI306">
            <v>75</v>
          </cell>
          <cell r="AJ306">
            <v>0</v>
          </cell>
          <cell r="AK306">
            <v>0</v>
          </cell>
          <cell r="AL306">
            <v>1</v>
          </cell>
          <cell r="AM306">
            <v>0</v>
          </cell>
          <cell r="AN306">
            <v>1</v>
          </cell>
          <cell r="AO306">
            <v>0</v>
          </cell>
          <cell r="AP306">
            <v>1</v>
          </cell>
          <cell r="AQ306" t="str">
            <v>US_CMSP_00731</v>
          </cell>
          <cell r="AR306">
            <v>0</v>
          </cell>
          <cell r="AS306">
            <v>176</v>
          </cell>
          <cell r="AU306">
            <v>176</v>
          </cell>
          <cell r="AV306">
            <v>0</v>
          </cell>
          <cell r="AW306">
            <v>176</v>
          </cell>
          <cell r="AX306">
            <v>174.24</v>
          </cell>
          <cell r="AY306">
            <v>0</v>
          </cell>
          <cell r="AZ306">
            <v>176</v>
          </cell>
          <cell r="BA306">
            <v>174.24</v>
          </cell>
          <cell r="BB306">
            <v>176</v>
          </cell>
          <cell r="BC306">
            <v>0</v>
          </cell>
          <cell r="BD306">
            <v>0</v>
          </cell>
          <cell r="BE306">
            <v>0</v>
          </cell>
          <cell r="BG306">
            <v>174.24</v>
          </cell>
          <cell r="BI306">
            <v>174.24</v>
          </cell>
          <cell r="BJ306">
            <v>13200</v>
          </cell>
          <cell r="BK306">
            <v>13200</v>
          </cell>
          <cell r="BL306">
            <v>13024</v>
          </cell>
          <cell r="BM306">
            <v>0</v>
          </cell>
          <cell r="BN306">
            <v>0</v>
          </cell>
          <cell r="BO306">
            <v>0</v>
          </cell>
          <cell r="BP306">
            <v>13024</v>
          </cell>
          <cell r="BQ306">
            <v>0</v>
          </cell>
          <cell r="BR306">
            <v>176</v>
          </cell>
          <cell r="BS306" t="str">
            <v>Y</v>
          </cell>
          <cell r="BT306">
            <v>2</v>
          </cell>
          <cell r="BU306">
            <v>1</v>
          </cell>
          <cell r="BV306" t="str">
            <v>N</v>
          </cell>
          <cell r="BW306">
            <v>0</v>
          </cell>
          <cell r="BX306">
            <v>0</v>
          </cell>
          <cell r="BY306">
            <v>2026</v>
          </cell>
          <cell r="BZ306" t="str">
            <v>-</v>
          </cell>
          <cell r="CA306" t="str">
            <v>-</v>
          </cell>
        </row>
        <row r="307">
          <cell r="A307" t="str">
            <v>Noida</v>
          </cell>
          <cell r="B307" t="str">
            <v>Mavericks</v>
          </cell>
          <cell r="C307" t="str">
            <v>Mid Level</v>
          </cell>
          <cell r="D307" t="str">
            <v>Akash Saxena</v>
          </cell>
          <cell r="F307" t="str">
            <v>Non-MSP</v>
          </cell>
          <cell r="H307" t="str">
            <v>Sneha Singh</v>
          </cell>
          <cell r="J307" t="str">
            <v>ACH</v>
          </cell>
          <cell r="L307" t="str">
            <v>New</v>
          </cell>
          <cell r="M307">
            <v>46153</v>
          </cell>
          <cell r="N307">
            <v>49</v>
          </cell>
          <cell r="P307">
            <v>46518</v>
          </cell>
          <cell r="Q307" t="str">
            <v>PLC-4886</v>
          </cell>
          <cell r="R307" t="str">
            <v>Kishore Kumar Darsha</v>
          </cell>
          <cell r="S307" t="str">
            <v>Individual</v>
          </cell>
          <cell r="T307" t="str">
            <v>C2C</v>
          </cell>
          <cell r="U307" t="str">
            <v>Citius Tech</v>
          </cell>
          <cell r="V307">
            <v>70</v>
          </cell>
          <cell r="W307">
            <v>0</v>
          </cell>
          <cell r="X307" t="str">
            <v>USD</v>
          </cell>
          <cell r="Y307">
            <v>86</v>
          </cell>
          <cell r="Z307">
            <v>0</v>
          </cell>
          <cell r="AA307">
            <v>0</v>
          </cell>
          <cell r="AB307">
            <v>3</v>
          </cell>
          <cell r="AC307">
            <v>46157</v>
          </cell>
          <cell r="AD307">
            <v>15</v>
          </cell>
          <cell r="AE307">
            <v>46387</v>
          </cell>
          <cell r="AF307">
            <v>70</v>
          </cell>
          <cell r="AG307">
            <v>0</v>
          </cell>
          <cell r="AH307">
            <v>73</v>
          </cell>
          <cell r="AI307">
            <v>86</v>
          </cell>
          <cell r="AJ307">
            <v>0</v>
          </cell>
          <cell r="AK307">
            <v>0</v>
          </cell>
          <cell r="AL307">
            <v>13</v>
          </cell>
          <cell r="AM307">
            <v>0</v>
          </cell>
          <cell r="AN307">
            <v>13</v>
          </cell>
          <cell r="AO307">
            <v>0</v>
          </cell>
          <cell r="AP307">
            <v>13</v>
          </cell>
          <cell r="AQ307" t="str">
            <v>US_27802</v>
          </cell>
          <cell r="AR307">
            <v>0</v>
          </cell>
          <cell r="AS307">
            <v>112</v>
          </cell>
          <cell r="AU307">
            <v>112</v>
          </cell>
          <cell r="AV307">
            <v>0</v>
          </cell>
          <cell r="AW307">
            <v>1456</v>
          </cell>
          <cell r="AX307">
            <v>1441.44</v>
          </cell>
          <cell r="AY307">
            <v>0</v>
          </cell>
          <cell r="AZ307">
            <v>1456</v>
          </cell>
          <cell r="BA307">
            <v>1441.44</v>
          </cell>
          <cell r="BB307">
            <v>1456</v>
          </cell>
          <cell r="BC307">
            <v>0</v>
          </cell>
          <cell r="BD307">
            <v>0</v>
          </cell>
          <cell r="BE307">
            <v>0</v>
          </cell>
          <cell r="BG307">
            <v>1441.44</v>
          </cell>
          <cell r="BI307">
            <v>0</v>
          </cell>
          <cell r="BJ307">
            <v>9632</v>
          </cell>
          <cell r="BK307">
            <v>9632</v>
          </cell>
          <cell r="BL307">
            <v>7840</v>
          </cell>
          <cell r="BM307">
            <v>0</v>
          </cell>
          <cell r="BN307">
            <v>336</v>
          </cell>
          <cell r="BO307">
            <v>0</v>
          </cell>
          <cell r="BP307">
            <v>8176</v>
          </cell>
          <cell r="BQ307">
            <v>3</v>
          </cell>
          <cell r="BR307">
            <v>1456</v>
          </cell>
          <cell r="BT307">
            <v>2</v>
          </cell>
          <cell r="BU307">
            <v>2</v>
          </cell>
          <cell r="BV307" t="str">
            <v>N</v>
          </cell>
          <cell r="BW307">
            <v>0</v>
          </cell>
          <cell r="BX307">
            <v>0</v>
          </cell>
          <cell r="BY307">
            <v>2026</v>
          </cell>
          <cell r="BZ307" t="str">
            <v>-</v>
          </cell>
          <cell r="CA307" t="str">
            <v>-</v>
          </cell>
        </row>
        <row r="308">
          <cell r="A308" t="str">
            <v>Lucknow</v>
          </cell>
          <cell r="B308" t="str">
            <v>Pioneer</v>
          </cell>
          <cell r="C308" t="str">
            <v>Mid Level</v>
          </cell>
          <cell r="D308" t="str">
            <v>Ankit Pandey</v>
          </cell>
          <cell r="E308" t="str">
            <v>-</v>
          </cell>
          <cell r="F308" t="str">
            <v>Non-MSP</v>
          </cell>
          <cell r="H308" t="str">
            <v>Priyanka Mishra</v>
          </cell>
          <cell r="L308" t="str">
            <v>New</v>
          </cell>
          <cell r="M308">
            <v>46139</v>
          </cell>
          <cell r="N308">
            <v>63</v>
          </cell>
          <cell r="P308">
            <v>46504</v>
          </cell>
          <cell r="R308" t="str">
            <v>Kishore Pradeep Anbazhagan</v>
          </cell>
          <cell r="S308" t="str">
            <v>Individual</v>
          </cell>
          <cell r="T308" t="str">
            <v>FTE</v>
          </cell>
          <cell r="U308" t="str">
            <v>EXL</v>
          </cell>
          <cell r="V308">
            <v>0</v>
          </cell>
          <cell r="W308">
            <v>0</v>
          </cell>
          <cell r="X308" t="str">
            <v>USD</v>
          </cell>
          <cell r="Y308">
            <v>11440</v>
          </cell>
          <cell r="Z308">
            <v>0</v>
          </cell>
          <cell r="AA308">
            <v>0</v>
          </cell>
          <cell r="AB308">
            <v>0</v>
          </cell>
          <cell r="AC308">
            <v>46127</v>
          </cell>
          <cell r="AD308">
            <v>1</v>
          </cell>
          <cell r="AE308">
            <v>46387</v>
          </cell>
          <cell r="AF308">
            <v>0</v>
          </cell>
          <cell r="AG308">
            <v>0</v>
          </cell>
          <cell r="AH308">
            <v>0</v>
          </cell>
          <cell r="AI308">
            <v>11440</v>
          </cell>
          <cell r="AJ308">
            <v>0</v>
          </cell>
          <cell r="AK308">
            <v>0</v>
          </cell>
          <cell r="AL308">
            <v>11440</v>
          </cell>
          <cell r="AM308">
            <v>0</v>
          </cell>
          <cell r="AN308">
            <v>11440</v>
          </cell>
          <cell r="AO308">
            <v>0</v>
          </cell>
          <cell r="AP308">
            <v>11440</v>
          </cell>
          <cell r="AQ308" t="str">
            <v>US_27699</v>
          </cell>
          <cell r="AR308">
            <v>0</v>
          </cell>
          <cell r="AS308">
            <v>1</v>
          </cell>
          <cell r="AU308">
            <v>1</v>
          </cell>
          <cell r="AV308">
            <v>0</v>
          </cell>
          <cell r="AW308">
            <v>11440</v>
          </cell>
          <cell r="AX308">
            <v>11440</v>
          </cell>
          <cell r="AY308">
            <v>0</v>
          </cell>
          <cell r="AZ308">
            <v>11440</v>
          </cell>
          <cell r="BA308">
            <v>11440</v>
          </cell>
          <cell r="BB308">
            <v>11440</v>
          </cell>
          <cell r="BC308">
            <v>0</v>
          </cell>
          <cell r="BD308">
            <v>0</v>
          </cell>
          <cell r="BE308">
            <v>0</v>
          </cell>
          <cell r="BG308">
            <v>11440</v>
          </cell>
          <cell r="BI308">
            <v>0</v>
          </cell>
          <cell r="BJ308">
            <v>11440</v>
          </cell>
          <cell r="BK308">
            <v>11440</v>
          </cell>
          <cell r="BL308">
            <v>0</v>
          </cell>
          <cell r="BM308">
            <v>0</v>
          </cell>
          <cell r="BN308">
            <v>0</v>
          </cell>
          <cell r="BO308">
            <v>0</v>
          </cell>
          <cell r="BP308">
            <v>0</v>
          </cell>
          <cell r="BQ308">
            <v>0</v>
          </cell>
          <cell r="BR308">
            <v>11440</v>
          </cell>
          <cell r="BT308">
            <v>2</v>
          </cell>
          <cell r="BU308">
            <v>2</v>
          </cell>
          <cell r="BV308" t="str">
            <v>N</v>
          </cell>
          <cell r="BW308">
            <v>0</v>
          </cell>
          <cell r="BX308">
            <v>0</v>
          </cell>
          <cell r="BY308">
            <v>2026</v>
          </cell>
          <cell r="BZ308" t="str">
            <v>-</v>
          </cell>
          <cell r="CA308" t="str">
            <v>-</v>
          </cell>
        </row>
        <row r="309">
          <cell r="A309" t="str">
            <v>Noida</v>
          </cell>
          <cell r="B309" t="str">
            <v>Noida IT</v>
          </cell>
          <cell r="C309" t="str">
            <v>Mid Level</v>
          </cell>
          <cell r="D309" t="str">
            <v>Akash Saxena</v>
          </cell>
          <cell r="E309" t="str">
            <v>-</v>
          </cell>
          <cell r="F309" t="str">
            <v>Non-MSP</v>
          </cell>
          <cell r="H309" t="str">
            <v>Hema</v>
          </cell>
          <cell r="L309" t="str">
            <v>New</v>
          </cell>
          <cell r="M309">
            <v>46094</v>
          </cell>
          <cell r="N309">
            <v>108</v>
          </cell>
          <cell r="P309">
            <v>46459</v>
          </cell>
          <cell r="Q309" t="str">
            <v>PLC-4802</v>
          </cell>
          <cell r="R309" t="str">
            <v>Komala Balineni</v>
          </cell>
          <cell r="S309" t="str">
            <v>Individual</v>
          </cell>
          <cell r="T309" t="str">
            <v>C2C</v>
          </cell>
          <cell r="U309" t="str">
            <v>Citius Tech</v>
          </cell>
          <cell r="V309">
            <v>58</v>
          </cell>
          <cell r="W309">
            <v>0</v>
          </cell>
          <cell r="X309" t="str">
            <v>USD</v>
          </cell>
          <cell r="Y309">
            <v>74</v>
          </cell>
          <cell r="Z309">
            <v>0</v>
          </cell>
          <cell r="AA309">
            <v>0</v>
          </cell>
          <cell r="AB309">
            <v>3</v>
          </cell>
          <cell r="AC309">
            <v>46096</v>
          </cell>
          <cell r="AD309">
            <v>13</v>
          </cell>
          <cell r="AE309">
            <v>46387</v>
          </cell>
          <cell r="AF309">
            <v>58</v>
          </cell>
          <cell r="AG309">
            <v>0</v>
          </cell>
          <cell r="AH309">
            <v>61</v>
          </cell>
          <cell r="AI309">
            <v>74</v>
          </cell>
          <cell r="AJ309">
            <v>0</v>
          </cell>
          <cell r="AK309">
            <v>0</v>
          </cell>
          <cell r="AL309">
            <v>13</v>
          </cell>
          <cell r="AM309">
            <v>0</v>
          </cell>
          <cell r="AN309">
            <v>13</v>
          </cell>
          <cell r="AO309">
            <v>0</v>
          </cell>
          <cell r="AP309">
            <v>13</v>
          </cell>
          <cell r="AQ309" t="str">
            <v>US_27437</v>
          </cell>
          <cell r="AR309">
            <v>0</v>
          </cell>
          <cell r="AS309">
            <v>104</v>
          </cell>
          <cell r="AU309">
            <v>104</v>
          </cell>
          <cell r="AV309">
            <v>0</v>
          </cell>
          <cell r="AW309">
            <v>1352</v>
          </cell>
          <cell r="AX309">
            <v>1352</v>
          </cell>
          <cell r="AY309">
            <v>0</v>
          </cell>
          <cell r="AZ309">
            <v>1352</v>
          </cell>
          <cell r="BA309">
            <v>1352</v>
          </cell>
          <cell r="BB309">
            <v>1352</v>
          </cell>
          <cell r="BC309">
            <v>50</v>
          </cell>
          <cell r="BD309">
            <v>1784.64</v>
          </cell>
          <cell r="BE309">
            <v>1784.64</v>
          </cell>
          <cell r="BG309">
            <v>1352</v>
          </cell>
          <cell r="BI309">
            <v>1352</v>
          </cell>
          <cell r="BJ309">
            <v>7696</v>
          </cell>
          <cell r="BK309">
            <v>7696</v>
          </cell>
          <cell r="BL309">
            <v>6032</v>
          </cell>
          <cell r="BM309">
            <v>0</v>
          </cell>
          <cell r="BN309">
            <v>312</v>
          </cell>
          <cell r="BO309">
            <v>0</v>
          </cell>
          <cell r="BP309">
            <v>6344</v>
          </cell>
          <cell r="BQ309">
            <v>3</v>
          </cell>
          <cell r="BR309">
            <v>1352</v>
          </cell>
          <cell r="BT309">
            <v>1</v>
          </cell>
          <cell r="BU309">
            <v>1</v>
          </cell>
          <cell r="BV309" t="str">
            <v>N</v>
          </cell>
          <cell r="BW309">
            <v>3569.28</v>
          </cell>
          <cell r="BX309">
            <v>3569.28</v>
          </cell>
          <cell r="BY309">
            <v>2026</v>
          </cell>
          <cell r="BZ309" t="str">
            <v>-</v>
          </cell>
          <cell r="CA309" t="str">
            <v>-</v>
          </cell>
        </row>
        <row r="310">
          <cell r="A310" t="str">
            <v>Noida</v>
          </cell>
          <cell r="B310" t="str">
            <v>Noida IT</v>
          </cell>
          <cell r="C310" t="str">
            <v>Mid Level</v>
          </cell>
          <cell r="D310" t="str">
            <v>Akash Saxena</v>
          </cell>
          <cell r="E310" t="str">
            <v>-</v>
          </cell>
          <cell r="F310" t="str">
            <v>Non-MSP</v>
          </cell>
          <cell r="H310" t="str">
            <v>Hema</v>
          </cell>
          <cell r="J310" t="str">
            <v>ACH</v>
          </cell>
          <cell r="L310" t="str">
            <v>New</v>
          </cell>
          <cell r="M310">
            <v>46094</v>
          </cell>
          <cell r="N310">
            <v>108</v>
          </cell>
          <cell r="P310">
            <v>46459</v>
          </cell>
          <cell r="Q310" t="str">
            <v>PLC-4802</v>
          </cell>
          <cell r="R310" t="str">
            <v>Komala Balineni</v>
          </cell>
          <cell r="S310" t="str">
            <v>Individual</v>
          </cell>
          <cell r="T310" t="str">
            <v>C2C</v>
          </cell>
          <cell r="U310" t="str">
            <v>Citius Tech</v>
          </cell>
          <cell r="V310">
            <v>58</v>
          </cell>
          <cell r="W310">
            <v>0</v>
          </cell>
          <cell r="X310" t="str">
            <v>USD</v>
          </cell>
          <cell r="Y310">
            <v>74</v>
          </cell>
          <cell r="Z310">
            <v>0</v>
          </cell>
          <cell r="AA310">
            <v>0</v>
          </cell>
          <cell r="AB310">
            <v>3</v>
          </cell>
          <cell r="AC310">
            <v>46127</v>
          </cell>
          <cell r="AD310">
            <v>22</v>
          </cell>
          <cell r="AE310">
            <v>46387</v>
          </cell>
          <cell r="AF310">
            <v>58</v>
          </cell>
          <cell r="AG310">
            <v>0</v>
          </cell>
          <cell r="AH310">
            <v>61</v>
          </cell>
          <cell r="AI310">
            <v>74</v>
          </cell>
          <cell r="AJ310">
            <v>0</v>
          </cell>
          <cell r="AK310">
            <v>0</v>
          </cell>
          <cell r="AL310">
            <v>13</v>
          </cell>
          <cell r="AM310">
            <v>0</v>
          </cell>
          <cell r="AN310">
            <v>13</v>
          </cell>
          <cell r="AO310">
            <v>0</v>
          </cell>
          <cell r="AP310">
            <v>13</v>
          </cell>
          <cell r="AQ310" t="str">
            <v>US_27666</v>
          </cell>
          <cell r="AR310">
            <v>0</v>
          </cell>
          <cell r="AS310">
            <v>176</v>
          </cell>
          <cell r="AU310">
            <v>176</v>
          </cell>
          <cell r="AV310">
            <v>0</v>
          </cell>
          <cell r="AW310">
            <v>2288</v>
          </cell>
          <cell r="AX310">
            <v>2265.12</v>
          </cell>
          <cell r="AY310">
            <v>0</v>
          </cell>
          <cell r="AZ310">
            <v>2288</v>
          </cell>
          <cell r="BA310">
            <v>2265.12</v>
          </cell>
          <cell r="BB310">
            <v>2288</v>
          </cell>
          <cell r="BC310">
            <v>50</v>
          </cell>
          <cell r="BD310">
            <v>2989.9583999999995</v>
          </cell>
          <cell r="BE310">
            <v>2989.9583999999995</v>
          </cell>
          <cell r="BG310">
            <v>2265.12</v>
          </cell>
          <cell r="BI310">
            <v>2265.12</v>
          </cell>
          <cell r="BJ310">
            <v>13024</v>
          </cell>
          <cell r="BK310">
            <v>13024</v>
          </cell>
          <cell r="BL310">
            <v>10208</v>
          </cell>
          <cell r="BM310">
            <v>0</v>
          </cell>
          <cell r="BN310">
            <v>528</v>
          </cell>
          <cell r="BO310">
            <v>0</v>
          </cell>
          <cell r="BP310">
            <v>10736</v>
          </cell>
          <cell r="BQ310">
            <v>3</v>
          </cell>
          <cell r="BR310">
            <v>2288</v>
          </cell>
          <cell r="BS310" t="str">
            <v>Y</v>
          </cell>
          <cell r="BT310">
            <v>2</v>
          </cell>
          <cell r="BU310">
            <v>1</v>
          </cell>
          <cell r="BV310" t="str">
            <v>N</v>
          </cell>
          <cell r="BW310">
            <v>5979.9167999999991</v>
          </cell>
          <cell r="BX310">
            <v>5979.9167999999991</v>
          </cell>
          <cell r="BY310">
            <v>2026</v>
          </cell>
          <cell r="BZ310" t="str">
            <v>-</v>
          </cell>
          <cell r="CA310" t="str">
            <v>-</v>
          </cell>
        </row>
        <row r="311">
          <cell r="A311" t="str">
            <v>Noida</v>
          </cell>
          <cell r="B311" t="str">
            <v>Noida IT</v>
          </cell>
          <cell r="C311" t="str">
            <v>Mid Level</v>
          </cell>
          <cell r="D311" t="str">
            <v>Akash Saxena</v>
          </cell>
          <cell r="E311" t="str">
            <v>-</v>
          </cell>
          <cell r="F311" t="str">
            <v>Non-MSP</v>
          </cell>
          <cell r="H311" t="str">
            <v>Hema</v>
          </cell>
          <cell r="J311" t="str">
            <v>ACH</v>
          </cell>
          <cell r="L311" t="str">
            <v>New</v>
          </cell>
          <cell r="M311">
            <v>46094</v>
          </cell>
          <cell r="N311">
            <v>108</v>
          </cell>
          <cell r="P311">
            <v>46459</v>
          </cell>
          <cell r="Q311" t="str">
            <v>PLC-4802</v>
          </cell>
          <cell r="R311" t="str">
            <v>Komala Balineni</v>
          </cell>
          <cell r="S311" t="str">
            <v>Individual</v>
          </cell>
          <cell r="T311" t="str">
            <v>C2C</v>
          </cell>
          <cell r="U311" t="str">
            <v>Citius Tech</v>
          </cell>
          <cell r="V311">
            <v>58</v>
          </cell>
          <cell r="W311">
            <v>0</v>
          </cell>
          <cell r="X311" t="str">
            <v>USD</v>
          </cell>
          <cell r="Y311">
            <v>74</v>
          </cell>
          <cell r="Z311">
            <v>0</v>
          </cell>
          <cell r="AA311">
            <v>0</v>
          </cell>
          <cell r="AB311">
            <v>3</v>
          </cell>
          <cell r="AC311">
            <v>46157</v>
          </cell>
          <cell r="AD311">
            <v>22</v>
          </cell>
          <cell r="AE311">
            <v>46387</v>
          </cell>
          <cell r="AF311">
            <v>58</v>
          </cell>
          <cell r="AG311">
            <v>0</v>
          </cell>
          <cell r="AH311">
            <v>61</v>
          </cell>
          <cell r="AI311">
            <v>74</v>
          </cell>
          <cell r="AJ311">
            <v>0</v>
          </cell>
          <cell r="AK311">
            <v>0</v>
          </cell>
          <cell r="AL311">
            <v>13</v>
          </cell>
          <cell r="AM311">
            <v>0</v>
          </cell>
          <cell r="AN311">
            <v>13</v>
          </cell>
          <cell r="AO311">
            <v>0</v>
          </cell>
          <cell r="AP311">
            <v>13</v>
          </cell>
          <cell r="AQ311" t="str">
            <v>US_27783</v>
          </cell>
          <cell r="AR311">
            <v>0</v>
          </cell>
          <cell r="AS311">
            <v>160</v>
          </cell>
          <cell r="AU311">
            <v>160</v>
          </cell>
          <cell r="AV311">
            <v>0</v>
          </cell>
          <cell r="AW311">
            <v>2080</v>
          </cell>
          <cell r="AX311">
            <v>2059.1999999999998</v>
          </cell>
          <cell r="AY311">
            <v>0</v>
          </cell>
          <cell r="AZ311">
            <v>2080</v>
          </cell>
          <cell r="BA311">
            <v>2059.1999999999998</v>
          </cell>
          <cell r="BB311">
            <v>2080</v>
          </cell>
          <cell r="BC311">
            <v>50</v>
          </cell>
          <cell r="BD311">
            <v>2718.1439999999998</v>
          </cell>
          <cell r="BE311">
            <v>2718.1439999999998</v>
          </cell>
          <cell r="BG311">
            <v>2059.1999999999998</v>
          </cell>
          <cell r="BI311">
            <v>2059.1999999999998</v>
          </cell>
          <cell r="BJ311">
            <v>11840</v>
          </cell>
          <cell r="BK311">
            <v>11840</v>
          </cell>
          <cell r="BL311">
            <v>9280</v>
          </cell>
          <cell r="BM311">
            <v>0</v>
          </cell>
          <cell r="BN311">
            <v>480</v>
          </cell>
          <cell r="BO311">
            <v>0</v>
          </cell>
          <cell r="BP311">
            <v>9760</v>
          </cell>
          <cell r="BQ311">
            <v>3</v>
          </cell>
          <cell r="BR311">
            <v>2080</v>
          </cell>
          <cell r="BS311" t="str">
            <v>Y</v>
          </cell>
          <cell r="BT311">
            <v>2</v>
          </cell>
          <cell r="BU311">
            <v>1</v>
          </cell>
          <cell r="BV311" t="str">
            <v>N</v>
          </cell>
          <cell r="BW311">
            <v>5436.2879999999996</v>
          </cell>
          <cell r="BX311">
            <v>5436.2879999999996</v>
          </cell>
          <cell r="BY311">
            <v>2026</v>
          </cell>
          <cell r="BZ311" t="str">
            <v>-</v>
          </cell>
          <cell r="CA311" t="str">
            <v>-</v>
          </cell>
        </row>
        <row r="312">
          <cell r="A312" t="str">
            <v>Chennai</v>
          </cell>
          <cell r="B312" t="str">
            <v>Chennai</v>
          </cell>
          <cell r="C312" t="str">
            <v>Mid Level</v>
          </cell>
          <cell r="D312" t="str">
            <v>Vinoth L</v>
          </cell>
          <cell r="E312" t="str">
            <v>-</v>
          </cell>
          <cell r="F312" t="str">
            <v>Non-MSP</v>
          </cell>
          <cell r="H312" t="str">
            <v>Jagan Prabhu Vedhagiri</v>
          </cell>
          <cell r="L312" t="str">
            <v>New</v>
          </cell>
          <cell r="M312">
            <v>46042</v>
          </cell>
          <cell r="N312">
            <v>160</v>
          </cell>
          <cell r="P312">
            <v>46407</v>
          </cell>
          <cell r="Q312" t="str">
            <v>PLC-4704</v>
          </cell>
          <cell r="R312" t="str">
            <v>Koteswara Rao Jonnalagadda</v>
          </cell>
          <cell r="S312" t="str">
            <v>Individual</v>
          </cell>
          <cell r="T312" t="str">
            <v>C2C</v>
          </cell>
          <cell r="U312" t="str">
            <v>Apexon</v>
          </cell>
          <cell r="V312">
            <v>70</v>
          </cell>
          <cell r="W312">
            <v>0</v>
          </cell>
          <cell r="X312" t="str">
            <v>USD</v>
          </cell>
          <cell r="Y312">
            <v>85</v>
          </cell>
          <cell r="Z312">
            <v>0</v>
          </cell>
          <cell r="AA312">
            <v>0</v>
          </cell>
          <cell r="AB312">
            <v>0</v>
          </cell>
          <cell r="AC312">
            <v>46037</v>
          </cell>
          <cell r="AD312">
            <v>9</v>
          </cell>
          <cell r="AE312">
            <v>46387</v>
          </cell>
          <cell r="AF312">
            <v>70</v>
          </cell>
          <cell r="AG312">
            <v>0</v>
          </cell>
          <cell r="AH312">
            <v>70</v>
          </cell>
          <cell r="AI312">
            <v>85</v>
          </cell>
          <cell r="AJ312">
            <v>0</v>
          </cell>
          <cell r="AK312">
            <v>0</v>
          </cell>
          <cell r="AL312">
            <v>15</v>
          </cell>
          <cell r="AM312">
            <v>0</v>
          </cell>
          <cell r="AN312">
            <v>15</v>
          </cell>
          <cell r="AO312">
            <v>0</v>
          </cell>
          <cell r="AP312">
            <v>15</v>
          </cell>
          <cell r="AQ312" t="str">
            <v>US_26964</v>
          </cell>
          <cell r="AR312">
            <v>0</v>
          </cell>
          <cell r="AS312">
            <v>72</v>
          </cell>
          <cell r="AU312">
            <v>72</v>
          </cell>
          <cell r="AV312">
            <v>0</v>
          </cell>
          <cell r="AW312">
            <v>1080</v>
          </cell>
          <cell r="AX312">
            <v>1080</v>
          </cell>
          <cell r="AY312">
            <v>0</v>
          </cell>
          <cell r="AZ312">
            <v>1080</v>
          </cell>
          <cell r="BA312">
            <v>1080</v>
          </cell>
          <cell r="BB312">
            <v>1080</v>
          </cell>
          <cell r="BC312">
            <v>0</v>
          </cell>
          <cell r="BD312">
            <v>0</v>
          </cell>
          <cell r="BE312">
            <v>0</v>
          </cell>
          <cell r="BG312">
            <v>1080</v>
          </cell>
          <cell r="BI312">
            <v>1080</v>
          </cell>
          <cell r="BJ312">
            <v>6120</v>
          </cell>
          <cell r="BK312">
            <v>6120</v>
          </cell>
          <cell r="BL312">
            <v>5040</v>
          </cell>
          <cell r="BM312">
            <v>0</v>
          </cell>
          <cell r="BN312">
            <v>0</v>
          </cell>
          <cell r="BO312">
            <v>0</v>
          </cell>
          <cell r="BP312">
            <v>5040</v>
          </cell>
          <cell r="BQ312">
            <v>0</v>
          </cell>
          <cell r="BR312">
            <v>1080</v>
          </cell>
          <cell r="BS312" t="str">
            <v>Y</v>
          </cell>
          <cell r="BT312">
            <v>1</v>
          </cell>
          <cell r="BU312">
            <v>1</v>
          </cell>
          <cell r="BV312" t="str">
            <v>N</v>
          </cell>
          <cell r="BW312">
            <v>0</v>
          </cell>
          <cell r="BX312">
            <v>0</v>
          </cell>
          <cell r="BY312">
            <v>2026</v>
          </cell>
          <cell r="BZ312" t="str">
            <v>-</v>
          </cell>
          <cell r="CA312" t="str">
            <v>-</v>
          </cell>
        </row>
        <row r="313">
          <cell r="A313" t="str">
            <v>Chennai</v>
          </cell>
          <cell r="B313" t="str">
            <v>Chennai</v>
          </cell>
          <cell r="C313" t="str">
            <v>Mid Level</v>
          </cell>
          <cell r="D313" t="str">
            <v>Vinoth L</v>
          </cell>
          <cell r="E313" t="str">
            <v>-</v>
          </cell>
          <cell r="F313" t="str">
            <v>Non-MSP</v>
          </cell>
          <cell r="H313" t="str">
            <v>Jagan Prabhu Vedhagiri</v>
          </cell>
          <cell r="L313" t="str">
            <v>New</v>
          </cell>
          <cell r="M313">
            <v>46042</v>
          </cell>
          <cell r="N313">
            <v>160</v>
          </cell>
          <cell r="P313">
            <v>46407</v>
          </cell>
          <cell r="Q313" t="str">
            <v>PLC-4704</v>
          </cell>
          <cell r="R313" t="str">
            <v>Koteswara Rao Jonnalagadda</v>
          </cell>
          <cell r="S313" t="str">
            <v>Individual</v>
          </cell>
          <cell r="T313" t="str">
            <v>C2C</v>
          </cell>
          <cell r="U313" t="str">
            <v>Apexon</v>
          </cell>
          <cell r="V313">
            <v>70</v>
          </cell>
          <cell r="W313">
            <v>0</v>
          </cell>
          <cell r="X313" t="str">
            <v>USD</v>
          </cell>
          <cell r="Y313">
            <v>85</v>
          </cell>
          <cell r="Z313">
            <v>0</v>
          </cell>
          <cell r="AA313">
            <v>0</v>
          </cell>
          <cell r="AB313">
            <v>0</v>
          </cell>
          <cell r="AC313">
            <v>46068</v>
          </cell>
          <cell r="AD313">
            <v>20</v>
          </cell>
          <cell r="AE313">
            <v>46387</v>
          </cell>
          <cell r="AF313">
            <v>70</v>
          </cell>
          <cell r="AG313">
            <v>0</v>
          </cell>
          <cell r="AH313">
            <v>70</v>
          </cell>
          <cell r="AI313">
            <v>85</v>
          </cell>
          <cell r="AJ313">
            <v>0</v>
          </cell>
          <cell r="AK313">
            <v>0</v>
          </cell>
          <cell r="AL313">
            <v>15</v>
          </cell>
          <cell r="AM313">
            <v>0</v>
          </cell>
          <cell r="AN313">
            <v>15</v>
          </cell>
          <cell r="AO313">
            <v>0</v>
          </cell>
          <cell r="AP313">
            <v>15</v>
          </cell>
          <cell r="AQ313" t="str">
            <v>US_27158</v>
          </cell>
          <cell r="AR313">
            <v>0</v>
          </cell>
          <cell r="AS313">
            <v>160</v>
          </cell>
          <cell r="AU313">
            <v>160</v>
          </cell>
          <cell r="AV313">
            <v>0</v>
          </cell>
          <cell r="AW313">
            <v>2400</v>
          </cell>
          <cell r="AX313">
            <v>2400</v>
          </cell>
          <cell r="AY313">
            <v>0</v>
          </cell>
          <cell r="AZ313">
            <v>2400</v>
          </cell>
          <cell r="BA313">
            <v>2400</v>
          </cell>
          <cell r="BB313">
            <v>2400</v>
          </cell>
          <cell r="BC313">
            <v>0</v>
          </cell>
          <cell r="BD313">
            <v>0</v>
          </cell>
          <cell r="BE313">
            <v>0</v>
          </cell>
          <cell r="BG313">
            <v>2400</v>
          </cell>
          <cell r="BI313">
            <v>2400</v>
          </cell>
          <cell r="BJ313">
            <v>13600</v>
          </cell>
          <cell r="BK313">
            <v>13600</v>
          </cell>
          <cell r="BL313">
            <v>11200</v>
          </cell>
          <cell r="BM313">
            <v>0</v>
          </cell>
          <cell r="BN313">
            <v>0</v>
          </cell>
          <cell r="BO313">
            <v>0</v>
          </cell>
          <cell r="BP313">
            <v>11200</v>
          </cell>
          <cell r="BQ313">
            <v>0</v>
          </cell>
          <cell r="BR313">
            <v>2400</v>
          </cell>
          <cell r="BS313" t="str">
            <v>Y</v>
          </cell>
          <cell r="BT313">
            <v>1</v>
          </cell>
          <cell r="BU313">
            <v>1</v>
          </cell>
          <cell r="BV313" t="str">
            <v>N</v>
          </cell>
          <cell r="BW313">
            <v>0</v>
          </cell>
          <cell r="BX313">
            <v>0</v>
          </cell>
          <cell r="BY313">
            <v>2026</v>
          </cell>
          <cell r="BZ313" t="str">
            <v>-</v>
          </cell>
          <cell r="CA313" t="str">
            <v>-</v>
          </cell>
        </row>
        <row r="314">
          <cell r="A314" t="str">
            <v>Chennai</v>
          </cell>
          <cell r="B314" t="str">
            <v>Chennai</v>
          </cell>
          <cell r="C314" t="str">
            <v>Mid Level</v>
          </cell>
          <cell r="D314" t="str">
            <v>Vinoth L</v>
          </cell>
          <cell r="E314" t="str">
            <v>-</v>
          </cell>
          <cell r="F314" t="str">
            <v>Non-MSP</v>
          </cell>
          <cell r="H314" t="str">
            <v>Jagan Prabhu Vedhagiri</v>
          </cell>
          <cell r="L314" t="str">
            <v>New</v>
          </cell>
          <cell r="M314">
            <v>46042</v>
          </cell>
          <cell r="N314">
            <v>160</v>
          </cell>
          <cell r="P314">
            <v>46407</v>
          </cell>
          <cell r="Q314" t="str">
            <v>PLC-4704</v>
          </cell>
          <cell r="R314" t="str">
            <v>Koteswara Rao Jonnalagadda</v>
          </cell>
          <cell r="S314" t="str">
            <v>Individual</v>
          </cell>
          <cell r="T314" t="str">
            <v>C2C</v>
          </cell>
          <cell r="U314" t="str">
            <v>Apexon</v>
          </cell>
          <cell r="V314">
            <v>70</v>
          </cell>
          <cell r="W314">
            <v>0</v>
          </cell>
          <cell r="X314" t="str">
            <v>USD</v>
          </cell>
          <cell r="Y314">
            <v>85</v>
          </cell>
          <cell r="Z314">
            <v>0</v>
          </cell>
          <cell r="AA314">
            <v>0</v>
          </cell>
          <cell r="AB314">
            <v>0</v>
          </cell>
          <cell r="AC314">
            <v>46096</v>
          </cell>
          <cell r="AD314">
            <v>22</v>
          </cell>
          <cell r="AE314">
            <v>46387</v>
          </cell>
          <cell r="AF314">
            <v>70</v>
          </cell>
          <cell r="AG314">
            <v>0</v>
          </cell>
          <cell r="AH314">
            <v>70</v>
          </cell>
          <cell r="AI314">
            <v>85</v>
          </cell>
          <cell r="AJ314">
            <v>0</v>
          </cell>
          <cell r="AK314">
            <v>0</v>
          </cell>
          <cell r="AL314">
            <v>15</v>
          </cell>
          <cell r="AM314">
            <v>0</v>
          </cell>
          <cell r="AN314">
            <v>15</v>
          </cell>
          <cell r="AO314">
            <v>0</v>
          </cell>
          <cell r="AP314">
            <v>15</v>
          </cell>
          <cell r="AQ314" t="str">
            <v>US_27373</v>
          </cell>
          <cell r="AR314">
            <v>0</v>
          </cell>
          <cell r="AS314">
            <v>176</v>
          </cell>
          <cell r="AU314">
            <v>176</v>
          </cell>
          <cell r="AV314">
            <v>0</v>
          </cell>
          <cell r="AW314">
            <v>2640</v>
          </cell>
          <cell r="AX314">
            <v>2640</v>
          </cell>
          <cell r="AY314">
            <v>0</v>
          </cell>
          <cell r="AZ314">
            <v>2640</v>
          </cell>
          <cell r="BA314">
            <v>2640</v>
          </cell>
          <cell r="BB314">
            <v>2640</v>
          </cell>
          <cell r="BC314">
            <v>0</v>
          </cell>
          <cell r="BD314">
            <v>0</v>
          </cell>
          <cell r="BE314">
            <v>0</v>
          </cell>
          <cell r="BG314">
            <v>2640</v>
          </cell>
          <cell r="BI314">
            <v>2640</v>
          </cell>
          <cell r="BJ314">
            <v>14960</v>
          </cell>
          <cell r="BK314">
            <v>14960</v>
          </cell>
          <cell r="BL314">
            <v>12320</v>
          </cell>
          <cell r="BM314">
            <v>0</v>
          </cell>
          <cell r="BN314">
            <v>0</v>
          </cell>
          <cell r="BO314">
            <v>0</v>
          </cell>
          <cell r="BP314">
            <v>12320</v>
          </cell>
          <cell r="BQ314">
            <v>0</v>
          </cell>
          <cell r="BR314">
            <v>2640</v>
          </cell>
          <cell r="BS314" t="str">
            <v>Y</v>
          </cell>
          <cell r="BT314">
            <v>1</v>
          </cell>
          <cell r="BU314">
            <v>1</v>
          </cell>
          <cell r="BV314" t="str">
            <v>N</v>
          </cell>
          <cell r="BW314">
            <v>0</v>
          </cell>
          <cell r="BX314">
            <v>0</v>
          </cell>
          <cell r="BY314">
            <v>2026</v>
          </cell>
          <cell r="BZ314" t="str">
            <v>-</v>
          </cell>
          <cell r="CA314" t="str">
            <v>-</v>
          </cell>
        </row>
        <row r="315">
          <cell r="A315" t="str">
            <v>Chennai</v>
          </cell>
          <cell r="B315" t="str">
            <v>Chennai</v>
          </cell>
          <cell r="C315" t="str">
            <v>Mid Level</v>
          </cell>
          <cell r="D315" t="str">
            <v>Vinoth L</v>
          </cell>
          <cell r="E315" t="str">
            <v>-</v>
          </cell>
          <cell r="F315" t="str">
            <v>Non-MSP</v>
          </cell>
          <cell r="H315" t="str">
            <v>Jagan Prabhu Vedhagiri</v>
          </cell>
          <cell r="J315" t="str">
            <v>ACH</v>
          </cell>
          <cell r="L315" t="str">
            <v>New</v>
          </cell>
          <cell r="M315">
            <v>46042</v>
          </cell>
          <cell r="N315">
            <v>160</v>
          </cell>
          <cell r="P315">
            <v>46407</v>
          </cell>
          <cell r="Q315" t="str">
            <v>PLC-4704</v>
          </cell>
          <cell r="R315" t="str">
            <v>Koteswara Rao Jonnalagadda</v>
          </cell>
          <cell r="S315" t="str">
            <v>Individual</v>
          </cell>
          <cell r="T315" t="str">
            <v>C2C</v>
          </cell>
          <cell r="U315" t="str">
            <v>Apexon</v>
          </cell>
          <cell r="V315">
            <v>70</v>
          </cell>
          <cell r="W315">
            <v>0</v>
          </cell>
          <cell r="X315" t="str">
            <v>USD</v>
          </cell>
          <cell r="Y315">
            <v>85</v>
          </cell>
          <cell r="Z315">
            <v>0</v>
          </cell>
          <cell r="AA315">
            <v>0</v>
          </cell>
          <cell r="AB315">
            <v>0</v>
          </cell>
          <cell r="AC315">
            <v>46127</v>
          </cell>
          <cell r="AD315">
            <v>22</v>
          </cell>
          <cell r="AE315">
            <v>46387</v>
          </cell>
          <cell r="AF315">
            <v>70</v>
          </cell>
          <cell r="AG315">
            <v>0</v>
          </cell>
          <cell r="AH315">
            <v>70</v>
          </cell>
          <cell r="AI315">
            <v>85</v>
          </cell>
          <cell r="AJ315">
            <v>0</v>
          </cell>
          <cell r="AK315">
            <v>0</v>
          </cell>
          <cell r="AL315">
            <v>15</v>
          </cell>
          <cell r="AM315">
            <v>0</v>
          </cell>
          <cell r="AN315">
            <v>15</v>
          </cell>
          <cell r="AO315">
            <v>0</v>
          </cell>
          <cell r="AP315">
            <v>15</v>
          </cell>
          <cell r="AQ315" t="str">
            <v>US_27610</v>
          </cell>
          <cell r="AR315">
            <v>0</v>
          </cell>
          <cell r="AS315">
            <v>176</v>
          </cell>
          <cell r="AU315">
            <v>176</v>
          </cell>
          <cell r="AV315">
            <v>0</v>
          </cell>
          <cell r="AW315">
            <v>2640</v>
          </cell>
          <cell r="AX315">
            <v>2613.6</v>
          </cell>
          <cell r="AY315">
            <v>0</v>
          </cell>
          <cell r="AZ315">
            <v>2640</v>
          </cell>
          <cell r="BA315">
            <v>2613.6</v>
          </cell>
          <cell r="BB315">
            <v>2640</v>
          </cell>
          <cell r="BC315">
            <v>0</v>
          </cell>
          <cell r="BD315">
            <v>0</v>
          </cell>
          <cell r="BE315">
            <v>0</v>
          </cell>
          <cell r="BG315">
            <v>2613.6</v>
          </cell>
          <cell r="BI315">
            <v>2613.6</v>
          </cell>
          <cell r="BJ315">
            <v>14960</v>
          </cell>
          <cell r="BK315">
            <v>14960</v>
          </cell>
          <cell r="BL315">
            <v>12320</v>
          </cell>
          <cell r="BM315">
            <v>0</v>
          </cell>
          <cell r="BN315">
            <v>0</v>
          </cell>
          <cell r="BO315">
            <v>0</v>
          </cell>
          <cell r="BP315">
            <v>12320</v>
          </cell>
          <cell r="BQ315">
            <v>0</v>
          </cell>
          <cell r="BR315">
            <v>2640</v>
          </cell>
          <cell r="BT315">
            <v>2</v>
          </cell>
          <cell r="BU315">
            <v>1</v>
          </cell>
          <cell r="BV315" t="str">
            <v>N</v>
          </cell>
          <cell r="BW315">
            <v>0</v>
          </cell>
          <cell r="BX315">
            <v>0</v>
          </cell>
          <cell r="BY315">
            <v>2026</v>
          </cell>
          <cell r="BZ315" t="str">
            <v>-</v>
          </cell>
          <cell r="CA315" t="str">
            <v>-</v>
          </cell>
        </row>
        <row r="316">
          <cell r="A316" t="str">
            <v>Chennai</v>
          </cell>
          <cell r="B316" t="str">
            <v>Chennai</v>
          </cell>
          <cell r="C316" t="str">
            <v>Mid Level</v>
          </cell>
          <cell r="D316" t="str">
            <v>Vinoth L</v>
          </cell>
          <cell r="E316" t="str">
            <v>-</v>
          </cell>
          <cell r="F316" t="str">
            <v>Non-MSP</v>
          </cell>
          <cell r="H316" t="str">
            <v>Jagan Prabhu Vedhagiri</v>
          </cell>
          <cell r="J316" t="str">
            <v>ACH</v>
          </cell>
          <cell r="L316" t="str">
            <v>New</v>
          </cell>
          <cell r="M316">
            <v>46042</v>
          </cell>
          <cell r="N316">
            <v>160</v>
          </cell>
          <cell r="P316">
            <v>46407</v>
          </cell>
          <cell r="Q316" t="str">
            <v>PLC-4704</v>
          </cell>
          <cell r="R316" t="str">
            <v>Koteswara Rao Jonnalagadda</v>
          </cell>
          <cell r="S316" t="str">
            <v>Individual</v>
          </cell>
          <cell r="T316" t="str">
            <v>C2C</v>
          </cell>
          <cell r="U316" t="str">
            <v>Apexon</v>
          </cell>
          <cell r="V316">
            <v>70</v>
          </cell>
          <cell r="W316">
            <v>0</v>
          </cell>
          <cell r="X316" t="str">
            <v>USD</v>
          </cell>
          <cell r="Y316">
            <v>85</v>
          </cell>
          <cell r="Z316">
            <v>0</v>
          </cell>
          <cell r="AA316">
            <v>0</v>
          </cell>
          <cell r="AB316">
            <v>0</v>
          </cell>
          <cell r="AC316">
            <v>46157</v>
          </cell>
          <cell r="AD316">
            <v>22</v>
          </cell>
          <cell r="AE316">
            <v>46387</v>
          </cell>
          <cell r="AF316">
            <v>70</v>
          </cell>
          <cell r="AG316">
            <v>0</v>
          </cell>
          <cell r="AH316">
            <v>70</v>
          </cell>
          <cell r="AI316">
            <v>85</v>
          </cell>
          <cell r="AJ316">
            <v>0</v>
          </cell>
          <cell r="AK316">
            <v>0</v>
          </cell>
          <cell r="AL316">
            <v>15</v>
          </cell>
          <cell r="AM316">
            <v>0</v>
          </cell>
          <cell r="AN316">
            <v>15</v>
          </cell>
          <cell r="AO316">
            <v>0</v>
          </cell>
          <cell r="AP316">
            <v>15</v>
          </cell>
          <cell r="AQ316" t="str">
            <v>US_27903</v>
          </cell>
          <cell r="AR316">
            <v>0</v>
          </cell>
          <cell r="AS316">
            <v>160</v>
          </cell>
          <cell r="AU316">
            <v>160</v>
          </cell>
          <cell r="AV316">
            <v>0</v>
          </cell>
          <cell r="AW316">
            <v>2400</v>
          </cell>
          <cell r="AX316">
            <v>2376</v>
          </cell>
          <cell r="AY316">
            <v>0</v>
          </cell>
          <cell r="AZ316">
            <v>2400</v>
          </cell>
          <cell r="BA316">
            <v>2376</v>
          </cell>
          <cell r="BB316">
            <v>2400</v>
          </cell>
          <cell r="BC316">
            <v>0</v>
          </cell>
          <cell r="BD316">
            <v>0</v>
          </cell>
          <cell r="BE316">
            <v>0</v>
          </cell>
          <cell r="BG316">
            <v>2376</v>
          </cell>
          <cell r="BI316">
            <v>2376</v>
          </cell>
          <cell r="BJ316">
            <v>13600</v>
          </cell>
          <cell r="BK316">
            <v>13600</v>
          </cell>
          <cell r="BL316">
            <v>11200</v>
          </cell>
          <cell r="BM316">
            <v>0</v>
          </cell>
          <cell r="BN316">
            <v>0</v>
          </cell>
          <cell r="BO316">
            <v>0</v>
          </cell>
          <cell r="BP316">
            <v>11200</v>
          </cell>
          <cell r="BQ316">
            <v>0</v>
          </cell>
          <cell r="BR316">
            <v>2400</v>
          </cell>
          <cell r="BT316">
            <v>2</v>
          </cell>
          <cell r="BU316">
            <v>1</v>
          </cell>
          <cell r="BV316" t="str">
            <v>N</v>
          </cell>
          <cell r="BW316">
            <v>0</v>
          </cell>
          <cell r="BX316">
            <v>0</v>
          </cell>
          <cell r="BY316">
            <v>2026</v>
          </cell>
          <cell r="BZ316" t="str">
            <v>-</v>
          </cell>
          <cell r="CA316" t="str">
            <v>-</v>
          </cell>
        </row>
        <row r="317">
          <cell r="A317" t="str">
            <v>Lucknow</v>
          </cell>
          <cell r="B317" t="str">
            <v>Mavericks</v>
          </cell>
          <cell r="C317" t="str">
            <v>Mid Level</v>
          </cell>
          <cell r="D317" t="str">
            <v>Mohammad Fakhrul</v>
          </cell>
          <cell r="F317" t="str">
            <v>MSP</v>
          </cell>
          <cell r="H317" t="str">
            <v>Pass Through</v>
          </cell>
          <cell r="J317" t="str">
            <v>ACH</v>
          </cell>
          <cell r="L317" t="str">
            <v>New</v>
          </cell>
          <cell r="M317">
            <v>46170</v>
          </cell>
          <cell r="N317">
            <v>32</v>
          </cell>
          <cell r="P317">
            <v>46535</v>
          </cell>
          <cell r="R317" t="str">
            <v>Krishna Chaitanya Batchu</v>
          </cell>
          <cell r="S317" t="str">
            <v>Individual</v>
          </cell>
          <cell r="T317" t="str">
            <v>C2C</v>
          </cell>
          <cell r="U317" t="str">
            <v>Cigniti</v>
          </cell>
          <cell r="V317">
            <v>65</v>
          </cell>
          <cell r="W317">
            <v>0</v>
          </cell>
          <cell r="X317" t="str">
            <v>USD</v>
          </cell>
          <cell r="Y317">
            <v>68</v>
          </cell>
          <cell r="Z317">
            <v>0</v>
          </cell>
          <cell r="AA317">
            <v>0</v>
          </cell>
          <cell r="AB317">
            <v>0</v>
          </cell>
          <cell r="AC317">
            <v>46157</v>
          </cell>
          <cell r="AD317">
            <v>2</v>
          </cell>
          <cell r="AE317">
            <v>46387</v>
          </cell>
          <cell r="AF317">
            <v>65</v>
          </cell>
          <cell r="AG317">
            <v>0</v>
          </cell>
          <cell r="AH317">
            <v>65</v>
          </cell>
          <cell r="AI317">
            <v>68</v>
          </cell>
          <cell r="AJ317">
            <v>0</v>
          </cell>
          <cell r="AK317">
            <v>0</v>
          </cell>
          <cell r="AL317">
            <v>3</v>
          </cell>
          <cell r="AM317">
            <v>0</v>
          </cell>
          <cell r="AN317">
            <v>3</v>
          </cell>
          <cell r="AO317">
            <v>0</v>
          </cell>
          <cell r="AP317">
            <v>3</v>
          </cell>
          <cell r="AU317">
            <v>16</v>
          </cell>
          <cell r="BB317">
            <v>48</v>
          </cell>
          <cell r="BC317">
            <v>0</v>
          </cell>
          <cell r="BD317">
            <v>0</v>
          </cell>
          <cell r="BE317">
            <v>0</v>
          </cell>
          <cell r="BI317">
            <v>0</v>
          </cell>
          <cell r="BK317">
            <v>1088</v>
          </cell>
          <cell r="BL317">
            <v>1040</v>
          </cell>
          <cell r="BM317">
            <v>0</v>
          </cell>
          <cell r="BN317">
            <v>0</v>
          </cell>
          <cell r="BO317">
            <v>0</v>
          </cell>
          <cell r="BP317">
            <v>1040</v>
          </cell>
          <cell r="BQ317">
            <v>0</v>
          </cell>
          <cell r="BR317">
            <v>48</v>
          </cell>
          <cell r="BT317">
            <v>2</v>
          </cell>
          <cell r="BU317">
            <v>2</v>
          </cell>
          <cell r="BV317" t="str">
            <v>Y</v>
          </cell>
          <cell r="BW317">
            <v>0</v>
          </cell>
          <cell r="BX317">
            <v>0</v>
          </cell>
          <cell r="BY317">
            <v>2026</v>
          </cell>
          <cell r="BZ317" t="str">
            <v>-</v>
          </cell>
          <cell r="CA317" t="str">
            <v>-</v>
          </cell>
        </row>
        <row r="318">
          <cell r="A318" t="str">
            <v>Lucknow</v>
          </cell>
          <cell r="B318" t="str">
            <v>Mavericks</v>
          </cell>
          <cell r="C318" t="str">
            <v>Mid Level</v>
          </cell>
          <cell r="D318" t="str">
            <v>Akbar Ibrahim</v>
          </cell>
          <cell r="E318" t="str">
            <v>-</v>
          </cell>
          <cell r="F318" t="str">
            <v>MSP</v>
          </cell>
          <cell r="H318" t="str">
            <v>Pass Through</v>
          </cell>
          <cell r="L318" t="str">
            <v>New</v>
          </cell>
          <cell r="M318">
            <v>46029</v>
          </cell>
          <cell r="N318">
            <v>173</v>
          </cell>
          <cell r="P318">
            <v>46394</v>
          </cell>
          <cell r="Q318" t="str">
            <v>PLC-Passthrough</v>
          </cell>
          <cell r="R318" t="str">
            <v>Krishna Sudheer Chalamcharla</v>
          </cell>
          <cell r="S318" t="str">
            <v>Individual</v>
          </cell>
          <cell r="T318" t="str">
            <v>C2C</v>
          </cell>
          <cell r="U318" t="str">
            <v>CoForge</v>
          </cell>
          <cell r="V318">
            <v>93</v>
          </cell>
          <cell r="W318">
            <v>0</v>
          </cell>
          <cell r="X318" t="str">
            <v>USD</v>
          </cell>
          <cell r="Y318">
            <v>95</v>
          </cell>
          <cell r="Z318">
            <v>0</v>
          </cell>
          <cell r="AA318">
            <v>0</v>
          </cell>
          <cell r="AB318">
            <v>0</v>
          </cell>
          <cell r="AC318">
            <v>46037</v>
          </cell>
          <cell r="AD318">
            <v>18</v>
          </cell>
          <cell r="AE318">
            <v>46387</v>
          </cell>
          <cell r="AF318">
            <v>93</v>
          </cell>
          <cell r="AG318">
            <v>0</v>
          </cell>
          <cell r="AH318">
            <v>93</v>
          </cell>
          <cell r="AI318">
            <v>95</v>
          </cell>
          <cell r="AJ318">
            <v>0</v>
          </cell>
          <cell r="AK318">
            <v>0</v>
          </cell>
          <cell r="AL318">
            <v>2</v>
          </cell>
          <cell r="AM318">
            <v>0</v>
          </cell>
          <cell r="AN318">
            <v>2</v>
          </cell>
          <cell r="AO318">
            <v>0</v>
          </cell>
          <cell r="AP318">
            <v>2</v>
          </cell>
          <cell r="AQ318" t="str">
            <v>US_CMSP_00318</v>
          </cell>
          <cell r="AR318">
            <v>0</v>
          </cell>
          <cell r="AS318">
            <v>152</v>
          </cell>
          <cell r="AU318">
            <v>152</v>
          </cell>
          <cell r="AV318">
            <v>0</v>
          </cell>
          <cell r="AW318">
            <v>304</v>
          </cell>
          <cell r="AX318">
            <v>304</v>
          </cell>
          <cell r="AY318">
            <v>0</v>
          </cell>
          <cell r="AZ318">
            <v>304</v>
          </cell>
          <cell r="BA318">
            <v>304</v>
          </cell>
          <cell r="BB318">
            <v>304</v>
          </cell>
          <cell r="BC318">
            <v>0</v>
          </cell>
          <cell r="BD318">
            <v>0</v>
          </cell>
          <cell r="BE318">
            <v>0</v>
          </cell>
          <cell r="BG318">
            <v>304</v>
          </cell>
          <cell r="BI318">
            <v>304</v>
          </cell>
          <cell r="BJ318">
            <v>14440</v>
          </cell>
          <cell r="BK318">
            <v>14440</v>
          </cell>
          <cell r="BL318">
            <v>14136</v>
          </cell>
          <cell r="BM318">
            <v>0</v>
          </cell>
          <cell r="BN318">
            <v>0</v>
          </cell>
          <cell r="BO318">
            <v>0</v>
          </cell>
          <cell r="BP318">
            <v>14136</v>
          </cell>
          <cell r="BQ318">
            <v>0</v>
          </cell>
          <cell r="BR318">
            <v>304</v>
          </cell>
          <cell r="BT318">
            <v>1</v>
          </cell>
          <cell r="BU318">
            <v>1</v>
          </cell>
          <cell r="BV318" t="str">
            <v>Y</v>
          </cell>
          <cell r="BW318">
            <v>0</v>
          </cell>
          <cell r="BX318">
            <v>0</v>
          </cell>
          <cell r="BY318">
            <v>2026</v>
          </cell>
          <cell r="BZ318" t="str">
            <v>-</v>
          </cell>
          <cell r="CA318" t="str">
            <v>-</v>
          </cell>
        </row>
        <row r="319">
          <cell r="A319" t="str">
            <v>Lucknow</v>
          </cell>
          <cell r="B319" t="str">
            <v>Mavericks</v>
          </cell>
          <cell r="C319" t="str">
            <v>Mid Level</v>
          </cell>
          <cell r="D319" t="str">
            <v>Akbar Ibrahim</v>
          </cell>
          <cell r="E319" t="str">
            <v>-</v>
          </cell>
          <cell r="F319" t="str">
            <v>MSP</v>
          </cell>
          <cell r="H319" t="str">
            <v>Pass Through</v>
          </cell>
          <cell r="L319" t="str">
            <v>New</v>
          </cell>
          <cell r="M319">
            <v>46029</v>
          </cell>
          <cell r="N319">
            <v>173</v>
          </cell>
          <cell r="P319">
            <v>46394</v>
          </cell>
          <cell r="Q319" t="str">
            <v>PLC-Passthrough</v>
          </cell>
          <cell r="R319" t="str">
            <v>Krishna Sudheer Chalamcharla</v>
          </cell>
          <cell r="S319" t="str">
            <v>Individual</v>
          </cell>
          <cell r="T319" t="str">
            <v>C2C</v>
          </cell>
          <cell r="U319" t="str">
            <v>CoForge</v>
          </cell>
          <cell r="V319">
            <v>93</v>
          </cell>
          <cell r="W319">
            <v>0</v>
          </cell>
          <cell r="X319" t="str">
            <v>USD</v>
          </cell>
          <cell r="Y319">
            <v>95</v>
          </cell>
          <cell r="Z319">
            <v>0</v>
          </cell>
          <cell r="AA319">
            <v>0</v>
          </cell>
          <cell r="AB319">
            <v>0</v>
          </cell>
          <cell r="AC319">
            <v>46068</v>
          </cell>
          <cell r="AD319">
            <v>20</v>
          </cell>
          <cell r="AE319">
            <v>46387</v>
          </cell>
          <cell r="AF319">
            <v>93</v>
          </cell>
          <cell r="AG319">
            <v>0</v>
          </cell>
          <cell r="AH319">
            <v>93</v>
          </cell>
          <cell r="AI319">
            <v>95</v>
          </cell>
          <cell r="AJ319">
            <v>0</v>
          </cell>
          <cell r="AK319">
            <v>0</v>
          </cell>
          <cell r="AL319">
            <v>2</v>
          </cell>
          <cell r="AM319">
            <v>0</v>
          </cell>
          <cell r="AN319">
            <v>2</v>
          </cell>
          <cell r="AO319">
            <v>0</v>
          </cell>
          <cell r="AP319">
            <v>2</v>
          </cell>
          <cell r="AQ319" t="str">
            <v>US_CMSP_00431</v>
          </cell>
          <cell r="AR319">
            <v>0</v>
          </cell>
          <cell r="AS319">
            <v>152</v>
          </cell>
          <cell r="AU319">
            <v>152</v>
          </cell>
          <cell r="AV319">
            <v>0</v>
          </cell>
          <cell r="AW319">
            <v>304</v>
          </cell>
          <cell r="AX319">
            <v>304</v>
          </cell>
          <cell r="AY319">
            <v>0</v>
          </cell>
          <cell r="AZ319">
            <v>304</v>
          </cell>
          <cell r="BA319">
            <v>304</v>
          </cell>
          <cell r="BB319">
            <v>304</v>
          </cell>
          <cell r="BC319">
            <v>0</v>
          </cell>
          <cell r="BD319">
            <v>0</v>
          </cell>
          <cell r="BE319">
            <v>0</v>
          </cell>
          <cell r="BG319">
            <v>304</v>
          </cell>
          <cell r="BI319">
            <v>304</v>
          </cell>
          <cell r="BJ319">
            <v>14440</v>
          </cell>
          <cell r="BK319">
            <v>14440</v>
          </cell>
          <cell r="BL319">
            <v>14136</v>
          </cell>
          <cell r="BM319">
            <v>0</v>
          </cell>
          <cell r="BN319">
            <v>0</v>
          </cell>
          <cell r="BO319">
            <v>0</v>
          </cell>
          <cell r="BP319">
            <v>14136</v>
          </cell>
          <cell r="BQ319">
            <v>0</v>
          </cell>
          <cell r="BR319">
            <v>304</v>
          </cell>
          <cell r="BS319" t="str">
            <v>Y</v>
          </cell>
          <cell r="BT319">
            <v>1</v>
          </cell>
          <cell r="BU319">
            <v>1</v>
          </cell>
          <cell r="BV319" t="str">
            <v>Y</v>
          </cell>
          <cell r="BW319">
            <v>0</v>
          </cell>
          <cell r="BX319">
            <v>0</v>
          </cell>
          <cell r="BY319">
            <v>2026</v>
          </cell>
          <cell r="BZ319" t="str">
            <v>-</v>
          </cell>
          <cell r="CA319" t="str">
            <v>-</v>
          </cell>
        </row>
        <row r="320">
          <cell r="A320" t="str">
            <v>Lucknow</v>
          </cell>
          <cell r="B320" t="str">
            <v>Mavericks</v>
          </cell>
          <cell r="C320" t="str">
            <v>Mid Level</v>
          </cell>
          <cell r="D320" t="str">
            <v>Akbar Ibrahim</v>
          </cell>
          <cell r="E320" t="str">
            <v>-</v>
          </cell>
          <cell r="F320" t="str">
            <v>MSP</v>
          </cell>
          <cell r="H320" t="str">
            <v>Pass Through</v>
          </cell>
          <cell r="L320" t="str">
            <v>New</v>
          </cell>
          <cell r="M320">
            <v>46029</v>
          </cell>
          <cell r="N320">
            <v>173</v>
          </cell>
          <cell r="P320">
            <v>46394</v>
          </cell>
          <cell r="Q320" t="str">
            <v>PLC-Passthrough</v>
          </cell>
          <cell r="R320" t="str">
            <v>Krishna Sudheer Chalamcharla</v>
          </cell>
          <cell r="S320" t="str">
            <v>Individual</v>
          </cell>
          <cell r="T320" t="str">
            <v>C2C</v>
          </cell>
          <cell r="U320" t="str">
            <v>CoForge</v>
          </cell>
          <cell r="V320">
            <v>93</v>
          </cell>
          <cell r="W320">
            <v>0</v>
          </cell>
          <cell r="X320" t="str">
            <v>USD</v>
          </cell>
          <cell r="Y320">
            <v>95</v>
          </cell>
          <cell r="Z320">
            <v>0</v>
          </cell>
          <cell r="AA320">
            <v>0</v>
          </cell>
          <cell r="AB320">
            <v>0</v>
          </cell>
          <cell r="AC320">
            <v>46096</v>
          </cell>
          <cell r="AD320">
            <v>22</v>
          </cell>
          <cell r="AE320">
            <v>46387</v>
          </cell>
          <cell r="AF320">
            <v>93</v>
          </cell>
          <cell r="AG320">
            <v>0</v>
          </cell>
          <cell r="AH320">
            <v>93</v>
          </cell>
          <cell r="AI320">
            <v>95</v>
          </cell>
          <cell r="AJ320">
            <v>0</v>
          </cell>
          <cell r="AK320">
            <v>0</v>
          </cell>
          <cell r="AL320">
            <v>2</v>
          </cell>
          <cell r="AM320">
            <v>0</v>
          </cell>
          <cell r="AN320">
            <v>2</v>
          </cell>
          <cell r="AO320">
            <v>0</v>
          </cell>
          <cell r="AP320">
            <v>2</v>
          </cell>
          <cell r="AQ320" t="str">
            <v>US_CMSP_00539</v>
          </cell>
          <cell r="AR320">
            <v>0</v>
          </cell>
          <cell r="AS320">
            <v>176</v>
          </cell>
          <cell r="AU320">
            <v>176</v>
          </cell>
          <cell r="AV320">
            <v>0</v>
          </cell>
          <cell r="AW320">
            <v>352</v>
          </cell>
          <cell r="AX320">
            <v>352</v>
          </cell>
          <cell r="AY320">
            <v>0</v>
          </cell>
          <cell r="AZ320">
            <v>352</v>
          </cell>
          <cell r="BA320">
            <v>352</v>
          </cell>
          <cell r="BB320">
            <v>352</v>
          </cell>
          <cell r="BC320">
            <v>0</v>
          </cell>
          <cell r="BD320">
            <v>0</v>
          </cell>
          <cell r="BE320">
            <v>0</v>
          </cell>
          <cell r="BG320">
            <v>352</v>
          </cell>
          <cell r="BI320">
            <v>352</v>
          </cell>
          <cell r="BJ320">
            <v>16720</v>
          </cell>
          <cell r="BK320">
            <v>16720</v>
          </cell>
          <cell r="BL320">
            <v>16368</v>
          </cell>
          <cell r="BM320">
            <v>0</v>
          </cell>
          <cell r="BN320">
            <v>0</v>
          </cell>
          <cell r="BO320">
            <v>0</v>
          </cell>
          <cell r="BP320">
            <v>16368</v>
          </cell>
          <cell r="BQ320">
            <v>0</v>
          </cell>
          <cell r="BR320">
            <v>352</v>
          </cell>
          <cell r="BS320" t="str">
            <v>Y</v>
          </cell>
          <cell r="BT320">
            <v>1</v>
          </cell>
          <cell r="BU320">
            <v>1</v>
          </cell>
          <cell r="BV320" t="str">
            <v>Y</v>
          </cell>
          <cell r="BW320">
            <v>0</v>
          </cell>
          <cell r="BX320">
            <v>0</v>
          </cell>
          <cell r="BY320">
            <v>2026</v>
          </cell>
          <cell r="BZ320" t="str">
            <v>-</v>
          </cell>
          <cell r="CA320" t="str">
            <v>-</v>
          </cell>
        </row>
        <row r="321">
          <cell r="A321" t="str">
            <v>Lucknow</v>
          </cell>
          <cell r="B321" t="str">
            <v>Mavericks</v>
          </cell>
          <cell r="C321" t="str">
            <v>Mid Level</v>
          </cell>
          <cell r="D321" t="str">
            <v>Akbar Ibrahim</v>
          </cell>
          <cell r="E321" t="str">
            <v>-</v>
          </cell>
          <cell r="F321" t="str">
            <v>MSP</v>
          </cell>
          <cell r="H321" t="str">
            <v>Pass Through</v>
          </cell>
          <cell r="J321" t="str">
            <v>ACH</v>
          </cell>
          <cell r="L321" t="str">
            <v>New</v>
          </cell>
          <cell r="M321">
            <v>46029</v>
          </cell>
          <cell r="N321">
            <v>173</v>
          </cell>
          <cell r="P321">
            <v>46394</v>
          </cell>
          <cell r="Q321" t="str">
            <v>PLC-Passthrough</v>
          </cell>
          <cell r="R321" t="str">
            <v>Krishna Sudheer Chalamcharla</v>
          </cell>
          <cell r="S321" t="str">
            <v>Individual</v>
          </cell>
          <cell r="T321" t="str">
            <v>C2C</v>
          </cell>
          <cell r="U321" t="str">
            <v>CoForge</v>
          </cell>
          <cell r="V321">
            <v>93</v>
          </cell>
          <cell r="W321">
            <v>0</v>
          </cell>
          <cell r="X321" t="str">
            <v>USD</v>
          </cell>
          <cell r="Y321">
            <v>95</v>
          </cell>
          <cell r="Z321">
            <v>0</v>
          </cell>
          <cell r="AA321">
            <v>0</v>
          </cell>
          <cell r="AB321">
            <v>0</v>
          </cell>
          <cell r="AC321">
            <v>46127</v>
          </cell>
          <cell r="AD321">
            <v>22</v>
          </cell>
          <cell r="AE321">
            <v>46387</v>
          </cell>
          <cell r="AF321">
            <v>93</v>
          </cell>
          <cell r="AG321">
            <v>0</v>
          </cell>
          <cell r="AH321">
            <v>93</v>
          </cell>
          <cell r="AI321">
            <v>95</v>
          </cell>
          <cell r="AJ321">
            <v>0</v>
          </cell>
          <cell r="AK321">
            <v>0</v>
          </cell>
          <cell r="AL321">
            <v>2</v>
          </cell>
          <cell r="AM321">
            <v>0</v>
          </cell>
          <cell r="AN321">
            <v>2</v>
          </cell>
          <cell r="AO321">
            <v>0</v>
          </cell>
          <cell r="AP321">
            <v>2</v>
          </cell>
          <cell r="AQ321" t="str">
            <v>US_CMSP_00686</v>
          </cell>
          <cell r="AR321">
            <v>0</v>
          </cell>
          <cell r="AS321">
            <v>176</v>
          </cell>
          <cell r="AU321">
            <v>176</v>
          </cell>
          <cell r="AV321">
            <v>0</v>
          </cell>
          <cell r="AW321">
            <v>352</v>
          </cell>
          <cell r="AX321">
            <v>348.48</v>
          </cell>
          <cell r="AY321">
            <v>0</v>
          </cell>
          <cell r="AZ321">
            <v>352</v>
          </cell>
          <cell r="BA321">
            <v>348.48</v>
          </cell>
          <cell r="BB321">
            <v>352</v>
          </cell>
          <cell r="BC321">
            <v>0</v>
          </cell>
          <cell r="BD321">
            <v>0</v>
          </cell>
          <cell r="BE321">
            <v>0</v>
          </cell>
          <cell r="BG321">
            <v>348.48</v>
          </cell>
          <cell r="BI321">
            <v>348.48</v>
          </cell>
          <cell r="BJ321">
            <v>16720</v>
          </cell>
          <cell r="BK321">
            <v>16720</v>
          </cell>
          <cell r="BL321">
            <v>16368</v>
          </cell>
          <cell r="BM321">
            <v>0</v>
          </cell>
          <cell r="BN321">
            <v>0</v>
          </cell>
          <cell r="BO321">
            <v>0</v>
          </cell>
          <cell r="BP321">
            <v>16368</v>
          </cell>
          <cell r="BQ321">
            <v>0</v>
          </cell>
          <cell r="BR321">
            <v>352</v>
          </cell>
          <cell r="BT321">
            <v>2</v>
          </cell>
          <cell r="BU321">
            <v>1</v>
          </cell>
          <cell r="BV321" t="str">
            <v>Y</v>
          </cell>
          <cell r="BW321">
            <v>0</v>
          </cell>
          <cell r="BX321">
            <v>0</v>
          </cell>
          <cell r="BY321">
            <v>2026</v>
          </cell>
          <cell r="BZ321" t="str">
            <v>-</v>
          </cell>
          <cell r="CA321" t="str">
            <v>-</v>
          </cell>
        </row>
        <row r="322">
          <cell r="A322" t="str">
            <v>Lucknow</v>
          </cell>
          <cell r="B322" t="str">
            <v>Mavericks</v>
          </cell>
          <cell r="C322" t="str">
            <v>Mid Level</v>
          </cell>
          <cell r="D322" t="str">
            <v>Akbar Ibrahim</v>
          </cell>
          <cell r="E322" t="str">
            <v>-</v>
          </cell>
          <cell r="F322" t="str">
            <v>MSP</v>
          </cell>
          <cell r="H322" t="str">
            <v>Pass Through</v>
          </cell>
          <cell r="J322" t="str">
            <v>ACH</v>
          </cell>
          <cell r="L322" t="str">
            <v>New</v>
          </cell>
          <cell r="M322">
            <v>46029</v>
          </cell>
          <cell r="N322">
            <v>173</v>
          </cell>
          <cell r="P322">
            <v>46394</v>
          </cell>
          <cell r="Q322" t="str">
            <v>PLC-Passthrough</v>
          </cell>
          <cell r="R322" t="str">
            <v>Krishna Sudheer Chalamcharla</v>
          </cell>
          <cell r="S322" t="str">
            <v>Individual</v>
          </cell>
          <cell r="T322" t="str">
            <v>C2C</v>
          </cell>
          <cell r="U322" t="str">
            <v>CoForge</v>
          </cell>
          <cell r="V322">
            <v>93</v>
          </cell>
          <cell r="W322">
            <v>0</v>
          </cell>
          <cell r="X322" t="str">
            <v>USD</v>
          </cell>
          <cell r="Y322">
            <v>95</v>
          </cell>
          <cell r="Z322">
            <v>0</v>
          </cell>
          <cell r="AA322">
            <v>0</v>
          </cell>
          <cell r="AB322">
            <v>0</v>
          </cell>
          <cell r="AC322">
            <v>46157</v>
          </cell>
          <cell r="AD322">
            <v>22</v>
          </cell>
          <cell r="AE322">
            <v>46387</v>
          </cell>
          <cell r="AF322">
            <v>93</v>
          </cell>
          <cell r="AG322">
            <v>0</v>
          </cell>
          <cell r="AH322">
            <v>93</v>
          </cell>
          <cell r="AI322">
            <v>95</v>
          </cell>
          <cell r="AJ322">
            <v>0</v>
          </cell>
          <cell r="AK322">
            <v>0</v>
          </cell>
          <cell r="AL322">
            <v>2</v>
          </cell>
          <cell r="AM322">
            <v>0</v>
          </cell>
          <cell r="AN322">
            <v>2</v>
          </cell>
          <cell r="AO322">
            <v>0</v>
          </cell>
          <cell r="AP322">
            <v>2</v>
          </cell>
          <cell r="AQ322" t="str">
            <v>US_CMSP_00850</v>
          </cell>
          <cell r="AR322">
            <v>0</v>
          </cell>
          <cell r="AS322">
            <v>160</v>
          </cell>
          <cell r="AU322">
            <v>160</v>
          </cell>
          <cell r="AV322">
            <v>0</v>
          </cell>
          <cell r="AW322">
            <v>320</v>
          </cell>
          <cell r="AX322">
            <v>316.8</v>
          </cell>
          <cell r="AY322">
            <v>0</v>
          </cell>
          <cell r="AZ322">
            <v>320</v>
          </cell>
          <cell r="BA322">
            <v>316.8</v>
          </cell>
          <cell r="BB322">
            <v>320</v>
          </cell>
          <cell r="BC322">
            <v>0</v>
          </cell>
          <cell r="BD322">
            <v>0</v>
          </cell>
          <cell r="BE322">
            <v>0</v>
          </cell>
          <cell r="BG322">
            <v>316.8</v>
          </cell>
          <cell r="BI322">
            <v>316.8</v>
          </cell>
          <cell r="BJ322">
            <v>15200</v>
          </cell>
          <cell r="BK322">
            <v>15200</v>
          </cell>
          <cell r="BL322">
            <v>14880</v>
          </cell>
          <cell r="BM322">
            <v>0</v>
          </cell>
          <cell r="BN322">
            <v>0</v>
          </cell>
          <cell r="BO322">
            <v>0</v>
          </cell>
          <cell r="BP322">
            <v>14880</v>
          </cell>
          <cell r="BQ322">
            <v>0</v>
          </cell>
          <cell r="BR322">
            <v>320</v>
          </cell>
          <cell r="BT322">
            <v>2</v>
          </cell>
          <cell r="BU322">
            <v>1</v>
          </cell>
          <cell r="BV322" t="str">
            <v>Y</v>
          </cell>
          <cell r="BW322">
            <v>0</v>
          </cell>
          <cell r="BX322">
            <v>0</v>
          </cell>
          <cell r="BY322">
            <v>2026</v>
          </cell>
          <cell r="BZ322" t="str">
            <v>-</v>
          </cell>
          <cell r="CA322" t="str">
            <v>-</v>
          </cell>
        </row>
        <row r="323">
          <cell r="A323" t="str">
            <v>Lucknow</v>
          </cell>
          <cell r="B323" t="str">
            <v>Mavericks</v>
          </cell>
          <cell r="C323" t="str">
            <v>Mid Level</v>
          </cell>
          <cell r="D323" t="str">
            <v>Rohit Gupta</v>
          </cell>
          <cell r="E323" t="str">
            <v>-</v>
          </cell>
          <cell r="F323" t="str">
            <v>Non-MSP</v>
          </cell>
          <cell r="G323" t="str">
            <v>Nitin Saxena</v>
          </cell>
          <cell r="H323" t="str">
            <v>Ambresh Tripathi</v>
          </cell>
          <cell r="J323" t="str">
            <v>ACH</v>
          </cell>
          <cell r="L323" t="str">
            <v>New</v>
          </cell>
          <cell r="M323">
            <v>46104</v>
          </cell>
          <cell r="N323">
            <v>98</v>
          </cell>
          <cell r="P323">
            <v>46469</v>
          </cell>
          <cell r="Q323" t="str">
            <v>PLC-4797</v>
          </cell>
          <cell r="R323" t="str">
            <v>Ladina Myrella Balcom</v>
          </cell>
          <cell r="S323" t="str">
            <v>Split</v>
          </cell>
          <cell r="T323">
            <v>1099</v>
          </cell>
          <cell r="U323" t="str">
            <v>CoForge</v>
          </cell>
          <cell r="V323">
            <v>18</v>
          </cell>
          <cell r="W323">
            <v>0</v>
          </cell>
          <cell r="X323" t="str">
            <v>USD</v>
          </cell>
          <cell r="Y323">
            <v>23.5</v>
          </cell>
          <cell r="Z323">
            <v>0</v>
          </cell>
          <cell r="AA323">
            <v>0</v>
          </cell>
          <cell r="AB323">
            <v>0</v>
          </cell>
          <cell r="AC323">
            <v>46096</v>
          </cell>
          <cell r="AD323">
            <v>7</v>
          </cell>
          <cell r="AE323">
            <v>46387</v>
          </cell>
          <cell r="AF323">
            <v>19.260000000000002</v>
          </cell>
          <cell r="AG323">
            <v>0</v>
          </cell>
          <cell r="AH323">
            <v>19.260000000000002</v>
          </cell>
          <cell r="AI323">
            <v>23.5</v>
          </cell>
          <cell r="AJ323">
            <v>0</v>
          </cell>
          <cell r="AK323">
            <v>0</v>
          </cell>
          <cell r="AL323">
            <v>4.2399999999999984</v>
          </cell>
          <cell r="AM323">
            <v>0</v>
          </cell>
          <cell r="AN323">
            <v>2.1199999999999992</v>
          </cell>
          <cell r="AO323">
            <v>0</v>
          </cell>
          <cell r="AP323">
            <v>2.1199999999999992</v>
          </cell>
          <cell r="AQ323" t="str">
            <v>US_27441</v>
          </cell>
          <cell r="AR323">
            <v>0</v>
          </cell>
          <cell r="AS323">
            <v>56</v>
          </cell>
          <cell r="AU323">
            <v>56</v>
          </cell>
          <cell r="AV323">
            <v>0</v>
          </cell>
          <cell r="AW323">
            <v>118.71999999999996</v>
          </cell>
          <cell r="AX323">
            <v>117.53279999999995</v>
          </cell>
          <cell r="AY323">
            <v>0</v>
          </cell>
          <cell r="AZ323">
            <v>118.71999999999996</v>
          </cell>
          <cell r="BA323">
            <v>117.53279999999995</v>
          </cell>
          <cell r="BB323">
            <v>118.71999999999996</v>
          </cell>
          <cell r="BC323">
            <v>50</v>
          </cell>
          <cell r="BD323">
            <v>155.14329599999994</v>
          </cell>
          <cell r="BE323">
            <v>155.14329599999994</v>
          </cell>
          <cell r="BG323">
            <v>117.53279999999995</v>
          </cell>
          <cell r="BI323">
            <v>117.53279999999995</v>
          </cell>
          <cell r="BJ323">
            <v>658</v>
          </cell>
          <cell r="BK323">
            <v>658</v>
          </cell>
          <cell r="BL323">
            <v>504</v>
          </cell>
          <cell r="BM323">
            <v>1.2600000000000002</v>
          </cell>
          <cell r="BN323">
            <v>0</v>
          </cell>
          <cell r="BO323">
            <v>70.560000000000016</v>
          </cell>
          <cell r="BP323">
            <v>574.56000000000006</v>
          </cell>
          <cell r="BQ323">
            <v>1.2600000000000002</v>
          </cell>
          <cell r="BR323">
            <v>83.439999999999984</v>
          </cell>
          <cell r="BT323">
            <v>1</v>
          </cell>
          <cell r="BU323">
            <v>1</v>
          </cell>
          <cell r="BV323" t="str">
            <v>N</v>
          </cell>
          <cell r="BW323">
            <v>310.28659199999987</v>
          </cell>
          <cell r="BX323">
            <v>310.28659199999987</v>
          </cell>
          <cell r="BY323">
            <v>2026</v>
          </cell>
          <cell r="BZ323" t="str">
            <v>-</v>
          </cell>
          <cell r="CA323" t="str">
            <v>-</v>
          </cell>
        </row>
        <row r="324">
          <cell r="A324" t="str">
            <v>Lucknow</v>
          </cell>
          <cell r="B324" t="str">
            <v>Titans</v>
          </cell>
          <cell r="C324" t="str">
            <v>Mid Level</v>
          </cell>
          <cell r="D324" t="str">
            <v>Nitin Saxena</v>
          </cell>
          <cell r="E324" t="str">
            <v>-</v>
          </cell>
          <cell r="F324" t="str">
            <v>Non-MSP</v>
          </cell>
          <cell r="G324" t="str">
            <v>Rohit Gupta</v>
          </cell>
          <cell r="H324" t="str">
            <v>Ambresh Tripathi</v>
          </cell>
          <cell r="J324" t="str">
            <v>ACH</v>
          </cell>
          <cell r="L324" t="str">
            <v>New</v>
          </cell>
          <cell r="M324">
            <v>46104</v>
          </cell>
          <cell r="N324">
            <v>98</v>
          </cell>
          <cell r="P324">
            <v>46469</v>
          </cell>
          <cell r="Q324" t="str">
            <v>PLC-4797</v>
          </cell>
          <cell r="R324" t="str">
            <v>Ladina Myrella Balcom</v>
          </cell>
          <cell r="S324" t="str">
            <v>Split</v>
          </cell>
          <cell r="T324">
            <v>1099</v>
          </cell>
          <cell r="U324" t="str">
            <v>CoForge</v>
          </cell>
          <cell r="V324">
            <v>18</v>
          </cell>
          <cell r="W324">
            <v>0</v>
          </cell>
          <cell r="X324" t="str">
            <v>USD</v>
          </cell>
          <cell r="Y324">
            <v>23.5</v>
          </cell>
          <cell r="Z324">
            <v>0</v>
          </cell>
          <cell r="AA324">
            <v>0</v>
          </cell>
          <cell r="AB324">
            <v>0</v>
          </cell>
          <cell r="AC324">
            <v>46096</v>
          </cell>
          <cell r="AD324">
            <v>7</v>
          </cell>
          <cell r="AE324">
            <v>46387</v>
          </cell>
          <cell r="AF324">
            <v>19.260000000000002</v>
          </cell>
          <cell r="AG324">
            <v>0</v>
          </cell>
          <cell r="AH324">
            <v>19.260000000000002</v>
          </cell>
          <cell r="AI324">
            <v>23.5</v>
          </cell>
          <cell r="AJ324">
            <v>0</v>
          </cell>
          <cell r="AK324">
            <v>0</v>
          </cell>
          <cell r="AL324">
            <v>4.2399999999999984</v>
          </cell>
          <cell r="AM324">
            <v>0</v>
          </cell>
          <cell r="AN324">
            <v>2.1199999999999992</v>
          </cell>
          <cell r="AO324">
            <v>0</v>
          </cell>
          <cell r="AP324">
            <v>2.1199999999999992</v>
          </cell>
          <cell r="AQ324" t="str">
            <v>US_27441</v>
          </cell>
          <cell r="AR324">
            <v>0</v>
          </cell>
          <cell r="AS324">
            <v>56</v>
          </cell>
          <cell r="AU324">
            <v>56</v>
          </cell>
          <cell r="AV324">
            <v>0</v>
          </cell>
          <cell r="AW324">
            <v>118.71999999999996</v>
          </cell>
          <cell r="AX324">
            <v>117.53279999999995</v>
          </cell>
          <cell r="AY324">
            <v>0</v>
          </cell>
          <cell r="AZ324">
            <v>118.71999999999996</v>
          </cell>
          <cell r="BA324">
            <v>117.53279999999995</v>
          </cell>
          <cell r="BB324">
            <v>118.71999999999996</v>
          </cell>
          <cell r="BC324">
            <v>50</v>
          </cell>
          <cell r="BD324">
            <v>155.14329599999994</v>
          </cell>
          <cell r="BE324">
            <v>155.14329599999994</v>
          </cell>
          <cell r="BG324">
            <v>117.53279999999995</v>
          </cell>
          <cell r="BI324">
            <v>117.53279999999995</v>
          </cell>
          <cell r="BJ324">
            <v>658</v>
          </cell>
          <cell r="BK324">
            <v>658</v>
          </cell>
          <cell r="BL324">
            <v>504</v>
          </cell>
          <cell r="BM324">
            <v>1.2600000000000002</v>
          </cell>
          <cell r="BN324">
            <v>0</v>
          </cell>
          <cell r="BO324">
            <v>70.560000000000016</v>
          </cell>
          <cell r="BP324">
            <v>574.56000000000006</v>
          </cell>
          <cell r="BQ324">
            <v>1.2600000000000002</v>
          </cell>
          <cell r="BR324">
            <v>83.439999999999984</v>
          </cell>
          <cell r="BT324">
            <v>1</v>
          </cell>
          <cell r="BU324">
            <v>1</v>
          </cell>
          <cell r="BV324" t="str">
            <v>N</v>
          </cell>
          <cell r="BW324">
            <v>310.28659199999987</v>
          </cell>
          <cell r="BX324">
            <v>310.28659199999987</v>
          </cell>
          <cell r="BY324">
            <v>2026</v>
          </cell>
          <cell r="BZ324" t="str">
            <v>-</v>
          </cell>
          <cell r="CA324" t="str">
            <v>-</v>
          </cell>
        </row>
        <row r="325">
          <cell r="A325" t="str">
            <v>Lucknow</v>
          </cell>
          <cell r="B325" t="str">
            <v>Mavericks</v>
          </cell>
          <cell r="C325" t="str">
            <v>Mid Level</v>
          </cell>
          <cell r="D325" t="str">
            <v>Rohit Gupta</v>
          </cell>
          <cell r="E325" t="str">
            <v>-</v>
          </cell>
          <cell r="F325" t="str">
            <v>Non-MSP</v>
          </cell>
          <cell r="G325" t="str">
            <v>Nitin Saxena</v>
          </cell>
          <cell r="H325" t="str">
            <v>Ambresh Tripathi</v>
          </cell>
          <cell r="J325" t="str">
            <v>ACH</v>
          </cell>
          <cell r="L325" t="str">
            <v>New</v>
          </cell>
          <cell r="M325">
            <v>46104</v>
          </cell>
          <cell r="N325">
            <v>98</v>
          </cell>
          <cell r="P325">
            <v>46469</v>
          </cell>
          <cell r="Q325" t="str">
            <v>PLC-4797</v>
          </cell>
          <cell r="R325" t="str">
            <v>Ladina Myrella Balcom</v>
          </cell>
          <cell r="S325" t="str">
            <v>Split</v>
          </cell>
          <cell r="T325">
            <v>1099</v>
          </cell>
          <cell r="U325" t="str">
            <v>CoForge</v>
          </cell>
          <cell r="V325">
            <v>18</v>
          </cell>
          <cell r="W325">
            <v>0</v>
          </cell>
          <cell r="X325" t="str">
            <v>USD</v>
          </cell>
          <cell r="Y325">
            <v>23.5</v>
          </cell>
          <cell r="Z325">
            <v>0</v>
          </cell>
          <cell r="AA325">
            <v>0</v>
          </cell>
          <cell r="AB325">
            <v>0</v>
          </cell>
          <cell r="AC325">
            <v>46127</v>
          </cell>
          <cell r="AD325">
            <v>22</v>
          </cell>
          <cell r="AE325">
            <v>46387</v>
          </cell>
          <cell r="AF325">
            <v>19.260000000000002</v>
          </cell>
          <cell r="AG325">
            <v>0</v>
          </cell>
          <cell r="AH325">
            <v>19.260000000000002</v>
          </cell>
          <cell r="AI325">
            <v>23.5</v>
          </cell>
          <cell r="AJ325">
            <v>0</v>
          </cell>
          <cell r="AK325">
            <v>0</v>
          </cell>
          <cell r="AL325">
            <v>4.2399999999999984</v>
          </cell>
          <cell r="AM325">
            <v>0</v>
          </cell>
          <cell r="AN325">
            <v>2.1199999999999992</v>
          </cell>
          <cell r="AO325">
            <v>0</v>
          </cell>
          <cell r="AP325">
            <v>2.1199999999999992</v>
          </cell>
          <cell r="AQ325" t="str">
            <v>US_27670</v>
          </cell>
          <cell r="AR325">
            <v>0</v>
          </cell>
          <cell r="AS325">
            <v>167.32</v>
          </cell>
          <cell r="AU325">
            <v>167.32</v>
          </cell>
          <cell r="AV325">
            <v>0</v>
          </cell>
          <cell r="AW325">
            <v>354.71839999999986</v>
          </cell>
          <cell r="AX325">
            <v>351.17121599999984</v>
          </cell>
          <cell r="AY325">
            <v>0</v>
          </cell>
          <cell r="AZ325">
            <v>354.71839999999986</v>
          </cell>
          <cell r="BA325">
            <v>351.17121599999984</v>
          </cell>
          <cell r="BB325">
            <v>354.71839999999986</v>
          </cell>
          <cell r="BC325">
            <v>50</v>
          </cell>
          <cell r="BD325">
            <v>463.54600511999985</v>
          </cell>
          <cell r="BE325">
            <v>463.54600511999985</v>
          </cell>
          <cell r="BG325">
            <v>351.17121599999984</v>
          </cell>
          <cell r="BI325">
            <v>351.17121599999984</v>
          </cell>
          <cell r="BJ325">
            <v>1966.01</v>
          </cell>
          <cell r="BK325">
            <v>1966.01</v>
          </cell>
          <cell r="BL325">
            <v>1505.8799999999999</v>
          </cell>
          <cell r="BM325">
            <v>1.2600000000000002</v>
          </cell>
          <cell r="BN325">
            <v>0</v>
          </cell>
          <cell r="BO325">
            <v>210.82320000000004</v>
          </cell>
          <cell r="BP325">
            <v>1716.7031999999999</v>
          </cell>
          <cell r="BQ325">
            <v>1.2600000000000002</v>
          </cell>
          <cell r="BR325">
            <v>249.30680000000007</v>
          </cell>
          <cell r="BT325">
            <v>2</v>
          </cell>
          <cell r="BU325">
            <v>1</v>
          </cell>
          <cell r="BV325" t="str">
            <v>N</v>
          </cell>
          <cell r="BW325">
            <v>927.09201023999969</v>
          </cell>
          <cell r="BX325">
            <v>927.09201023999969</v>
          </cell>
          <cell r="BY325">
            <v>2026</v>
          </cell>
          <cell r="BZ325" t="str">
            <v>-</v>
          </cell>
          <cell r="CA325" t="str">
            <v>-</v>
          </cell>
        </row>
        <row r="326">
          <cell r="A326" t="str">
            <v>Lucknow</v>
          </cell>
          <cell r="B326" t="str">
            <v>Titans</v>
          </cell>
          <cell r="C326" t="str">
            <v>Mid Level</v>
          </cell>
          <cell r="D326" t="str">
            <v>Nitin Saxena</v>
          </cell>
          <cell r="E326" t="str">
            <v>-</v>
          </cell>
          <cell r="F326" t="str">
            <v>Non-MSP</v>
          </cell>
          <cell r="G326" t="str">
            <v>Rohit Gupta</v>
          </cell>
          <cell r="H326" t="str">
            <v>Ambresh Tripathi</v>
          </cell>
          <cell r="J326" t="str">
            <v>ACH</v>
          </cell>
          <cell r="L326" t="str">
            <v>New</v>
          </cell>
          <cell r="M326">
            <v>46104</v>
          </cell>
          <cell r="N326">
            <v>98</v>
          </cell>
          <cell r="P326">
            <v>46469</v>
          </cell>
          <cell r="Q326" t="str">
            <v>PLC-4797</v>
          </cell>
          <cell r="R326" t="str">
            <v>Ladina Myrella Balcom</v>
          </cell>
          <cell r="S326" t="str">
            <v>Split</v>
          </cell>
          <cell r="T326">
            <v>1099</v>
          </cell>
          <cell r="U326" t="str">
            <v>CoForge</v>
          </cell>
          <cell r="V326">
            <v>18</v>
          </cell>
          <cell r="W326">
            <v>0</v>
          </cell>
          <cell r="X326" t="str">
            <v>USD</v>
          </cell>
          <cell r="Y326">
            <v>23.5</v>
          </cell>
          <cell r="Z326">
            <v>0</v>
          </cell>
          <cell r="AA326">
            <v>0</v>
          </cell>
          <cell r="AB326">
            <v>0</v>
          </cell>
          <cell r="AC326">
            <v>46127</v>
          </cell>
          <cell r="AD326">
            <v>22</v>
          </cell>
          <cell r="AE326">
            <v>46387</v>
          </cell>
          <cell r="AF326">
            <v>19.260000000000002</v>
          </cell>
          <cell r="AG326">
            <v>0</v>
          </cell>
          <cell r="AH326">
            <v>19.260000000000002</v>
          </cell>
          <cell r="AI326">
            <v>23.5</v>
          </cell>
          <cell r="AJ326">
            <v>0</v>
          </cell>
          <cell r="AK326">
            <v>0</v>
          </cell>
          <cell r="AL326">
            <v>4.2399999999999984</v>
          </cell>
          <cell r="AM326">
            <v>0</v>
          </cell>
          <cell r="AN326">
            <v>2.1199999999999992</v>
          </cell>
          <cell r="AO326">
            <v>0</v>
          </cell>
          <cell r="AP326">
            <v>2.1199999999999992</v>
          </cell>
          <cell r="AQ326" t="str">
            <v>US_27670</v>
          </cell>
          <cell r="AR326">
            <v>0</v>
          </cell>
          <cell r="AS326">
            <v>167.32</v>
          </cell>
          <cell r="AU326">
            <v>167.32</v>
          </cell>
          <cell r="AV326">
            <v>0</v>
          </cell>
          <cell r="AW326">
            <v>354.71839999999986</v>
          </cell>
          <cell r="AX326">
            <v>351.17121599999984</v>
          </cell>
          <cell r="AY326">
            <v>0</v>
          </cell>
          <cell r="AZ326">
            <v>354.71839999999986</v>
          </cell>
          <cell r="BA326">
            <v>351.17121599999984</v>
          </cell>
          <cell r="BB326">
            <v>354.71839999999986</v>
          </cell>
          <cell r="BC326">
            <v>50</v>
          </cell>
          <cell r="BD326">
            <v>463.54600511999985</v>
          </cell>
          <cell r="BE326">
            <v>463.54600511999985</v>
          </cell>
          <cell r="BG326">
            <v>351.17121599999984</v>
          </cell>
          <cell r="BI326">
            <v>351.17121599999984</v>
          </cell>
          <cell r="BJ326">
            <v>1966.01</v>
          </cell>
          <cell r="BK326">
            <v>1966.01</v>
          </cell>
          <cell r="BL326">
            <v>1505.8799999999999</v>
          </cell>
          <cell r="BM326">
            <v>1.2600000000000002</v>
          </cell>
          <cell r="BN326">
            <v>0</v>
          </cell>
          <cell r="BO326">
            <v>210.82320000000004</v>
          </cell>
          <cell r="BP326">
            <v>1716.7031999999999</v>
          </cell>
          <cell r="BQ326">
            <v>1.2600000000000002</v>
          </cell>
          <cell r="BR326">
            <v>249.30680000000007</v>
          </cell>
          <cell r="BT326">
            <v>2</v>
          </cell>
          <cell r="BU326">
            <v>1</v>
          </cell>
          <cell r="BV326" t="str">
            <v>N</v>
          </cell>
          <cell r="BW326">
            <v>927.09201023999969</v>
          </cell>
          <cell r="BX326">
            <v>927.09201023999969</v>
          </cell>
          <cell r="BY326">
            <v>2026</v>
          </cell>
          <cell r="BZ326" t="str">
            <v>-</v>
          </cell>
          <cell r="CA326" t="str">
            <v>-</v>
          </cell>
        </row>
        <row r="327">
          <cell r="A327" t="str">
            <v>Lucknow</v>
          </cell>
          <cell r="B327" t="str">
            <v>Mavericks</v>
          </cell>
          <cell r="C327" t="str">
            <v>Mid Level</v>
          </cell>
          <cell r="D327" t="str">
            <v>Rohit Gupta</v>
          </cell>
          <cell r="E327" t="str">
            <v>-</v>
          </cell>
          <cell r="F327" t="str">
            <v>Non-MSP</v>
          </cell>
          <cell r="G327" t="str">
            <v>Nitin Saxena</v>
          </cell>
          <cell r="H327" t="str">
            <v>Ambresh Tripathi</v>
          </cell>
          <cell r="J327" t="str">
            <v>ACH</v>
          </cell>
          <cell r="L327" t="str">
            <v>New</v>
          </cell>
          <cell r="M327">
            <v>46104</v>
          </cell>
          <cell r="N327">
            <v>98</v>
          </cell>
          <cell r="P327">
            <v>46469</v>
          </cell>
          <cell r="Q327" t="str">
            <v>PLC-4797</v>
          </cell>
          <cell r="R327" t="str">
            <v>Ladina Myrella Balcom</v>
          </cell>
          <cell r="S327" t="str">
            <v>Split</v>
          </cell>
          <cell r="T327">
            <v>1099</v>
          </cell>
          <cell r="U327" t="str">
            <v>CoForge</v>
          </cell>
          <cell r="V327">
            <v>18</v>
          </cell>
          <cell r="W327">
            <v>0</v>
          </cell>
          <cell r="X327" t="str">
            <v>USD</v>
          </cell>
          <cell r="Y327">
            <v>23.5</v>
          </cell>
          <cell r="Z327">
            <v>0</v>
          </cell>
          <cell r="AA327">
            <v>0</v>
          </cell>
          <cell r="AB327">
            <v>0</v>
          </cell>
          <cell r="AC327">
            <v>46157</v>
          </cell>
          <cell r="AD327">
            <v>22</v>
          </cell>
          <cell r="AE327">
            <v>46387</v>
          </cell>
          <cell r="AF327">
            <v>19.260000000000002</v>
          </cell>
          <cell r="AG327">
            <v>0</v>
          </cell>
          <cell r="AH327">
            <v>19.260000000000002</v>
          </cell>
          <cell r="AI327">
            <v>23.5</v>
          </cell>
          <cell r="AJ327">
            <v>0</v>
          </cell>
          <cell r="AK327">
            <v>0</v>
          </cell>
          <cell r="AL327">
            <v>4.2399999999999984</v>
          </cell>
          <cell r="AM327">
            <v>0</v>
          </cell>
          <cell r="AN327">
            <v>2.1199999999999992</v>
          </cell>
          <cell r="AO327">
            <v>0</v>
          </cell>
          <cell r="AP327">
            <v>2.1199999999999992</v>
          </cell>
          <cell r="AQ327" t="str">
            <v>US_27942</v>
          </cell>
          <cell r="AR327">
            <v>0</v>
          </cell>
          <cell r="AS327">
            <v>125.72</v>
          </cell>
          <cell r="AU327">
            <v>125.72</v>
          </cell>
          <cell r="AV327">
            <v>0</v>
          </cell>
          <cell r="AW327">
            <v>266.52639999999991</v>
          </cell>
          <cell r="AX327">
            <v>263.86113599999993</v>
          </cell>
          <cell r="AY327">
            <v>0</v>
          </cell>
          <cell r="AZ327">
            <v>266.52639999999991</v>
          </cell>
          <cell r="BA327">
            <v>263.86113599999993</v>
          </cell>
          <cell r="BB327">
            <v>266.52639999999991</v>
          </cell>
          <cell r="BC327">
            <v>50</v>
          </cell>
          <cell r="BD327">
            <v>348.29669951999989</v>
          </cell>
          <cell r="BE327">
            <v>348.29669951999989</v>
          </cell>
          <cell r="BG327">
            <v>263.86113599999993</v>
          </cell>
          <cell r="BI327">
            <v>263.86113599999993</v>
          </cell>
          <cell r="BJ327">
            <v>1477.21</v>
          </cell>
          <cell r="BK327">
            <v>1477.21</v>
          </cell>
          <cell r="BL327">
            <v>1131.48</v>
          </cell>
          <cell r="BM327">
            <v>1.2600000000000002</v>
          </cell>
          <cell r="BN327">
            <v>0</v>
          </cell>
          <cell r="BO327">
            <v>158.40720000000002</v>
          </cell>
          <cell r="BP327">
            <v>1289.8872000000001</v>
          </cell>
          <cell r="BQ327">
            <v>1.2600000000000002</v>
          </cell>
          <cell r="BR327">
            <v>187.3228</v>
          </cell>
          <cell r="BT327">
            <v>2</v>
          </cell>
          <cell r="BU327">
            <v>1</v>
          </cell>
          <cell r="BV327" t="str">
            <v>N</v>
          </cell>
          <cell r="BW327">
            <v>696.59339903999978</v>
          </cell>
          <cell r="BX327">
            <v>696.59339903999978</v>
          </cell>
          <cell r="BY327">
            <v>2026</v>
          </cell>
          <cell r="BZ327" t="str">
            <v>-</v>
          </cell>
          <cell r="CA327" t="str">
            <v>-</v>
          </cell>
        </row>
        <row r="328">
          <cell r="A328" t="str">
            <v>Lucknow</v>
          </cell>
          <cell r="B328" t="str">
            <v>Titans</v>
          </cell>
          <cell r="C328" t="str">
            <v>Mid Level</v>
          </cell>
          <cell r="D328" t="str">
            <v>Nitin Saxena</v>
          </cell>
          <cell r="E328" t="str">
            <v>-</v>
          </cell>
          <cell r="F328" t="str">
            <v>Non-MSP</v>
          </cell>
          <cell r="G328" t="str">
            <v>Rohit Gupta</v>
          </cell>
          <cell r="H328" t="str">
            <v>Ambresh Tripathi</v>
          </cell>
          <cell r="J328" t="str">
            <v>ACH</v>
          </cell>
          <cell r="L328" t="str">
            <v>New</v>
          </cell>
          <cell r="M328">
            <v>46104</v>
          </cell>
          <cell r="N328">
            <v>98</v>
          </cell>
          <cell r="P328">
            <v>46469</v>
          </cell>
          <cell r="Q328" t="str">
            <v>PLC-4797</v>
          </cell>
          <cell r="R328" t="str">
            <v>Ladina Myrella Balcom</v>
          </cell>
          <cell r="S328" t="str">
            <v>Split</v>
          </cell>
          <cell r="T328">
            <v>1099</v>
          </cell>
          <cell r="U328" t="str">
            <v>CoForge</v>
          </cell>
          <cell r="V328">
            <v>18</v>
          </cell>
          <cell r="W328">
            <v>0</v>
          </cell>
          <cell r="X328" t="str">
            <v>USD</v>
          </cell>
          <cell r="Y328">
            <v>23.5</v>
          </cell>
          <cell r="Z328">
            <v>0</v>
          </cell>
          <cell r="AA328">
            <v>0</v>
          </cell>
          <cell r="AB328">
            <v>0</v>
          </cell>
          <cell r="AC328">
            <v>46157</v>
          </cell>
          <cell r="AD328">
            <v>22</v>
          </cell>
          <cell r="AE328">
            <v>46387</v>
          </cell>
          <cell r="AF328">
            <v>19.260000000000002</v>
          </cell>
          <cell r="AG328">
            <v>0</v>
          </cell>
          <cell r="AH328">
            <v>19.260000000000002</v>
          </cell>
          <cell r="AI328">
            <v>23.5</v>
          </cell>
          <cell r="AJ328">
            <v>0</v>
          </cell>
          <cell r="AK328">
            <v>0</v>
          </cell>
          <cell r="AL328">
            <v>4.2399999999999984</v>
          </cell>
          <cell r="AM328">
            <v>0</v>
          </cell>
          <cell r="AN328">
            <v>2.1199999999999992</v>
          </cell>
          <cell r="AO328">
            <v>0</v>
          </cell>
          <cell r="AP328">
            <v>2.1199999999999992</v>
          </cell>
          <cell r="AQ328" t="str">
            <v>US_27942</v>
          </cell>
          <cell r="AR328">
            <v>0</v>
          </cell>
          <cell r="AS328">
            <v>125.72</v>
          </cell>
          <cell r="AU328">
            <v>125.72</v>
          </cell>
          <cell r="AV328">
            <v>0</v>
          </cell>
          <cell r="AW328">
            <v>266.52639999999991</v>
          </cell>
          <cell r="AX328">
            <v>263.86113599999993</v>
          </cell>
          <cell r="AY328">
            <v>0</v>
          </cell>
          <cell r="AZ328">
            <v>266.52639999999991</v>
          </cell>
          <cell r="BA328">
            <v>263.86113599999993</v>
          </cell>
          <cell r="BB328">
            <v>266.52639999999991</v>
          </cell>
          <cell r="BC328">
            <v>50</v>
          </cell>
          <cell r="BD328">
            <v>348.29669951999989</v>
          </cell>
          <cell r="BE328">
            <v>348.29669951999989</v>
          </cell>
          <cell r="BG328">
            <v>263.86113599999993</v>
          </cell>
          <cell r="BI328">
            <v>263.86113599999993</v>
          </cell>
          <cell r="BJ328">
            <v>1477.21</v>
          </cell>
          <cell r="BK328">
            <v>1477.21</v>
          </cell>
          <cell r="BL328">
            <v>1131.48</v>
          </cell>
          <cell r="BM328">
            <v>1.2600000000000002</v>
          </cell>
          <cell r="BN328">
            <v>0</v>
          </cell>
          <cell r="BO328">
            <v>158.40720000000002</v>
          </cell>
          <cell r="BP328">
            <v>1289.8872000000001</v>
          </cell>
          <cell r="BQ328">
            <v>1.2600000000000002</v>
          </cell>
          <cell r="BR328">
            <v>187.3228</v>
          </cell>
          <cell r="BT328">
            <v>2</v>
          </cell>
          <cell r="BU328">
            <v>1</v>
          </cell>
          <cell r="BV328" t="str">
            <v>N</v>
          </cell>
          <cell r="BW328">
            <v>696.59339903999978</v>
          </cell>
          <cell r="BX328">
            <v>696.59339903999978</v>
          </cell>
          <cell r="BY328">
            <v>2026</v>
          </cell>
          <cell r="BZ328" t="str">
            <v>-</v>
          </cell>
          <cell r="CA328" t="str">
            <v>-</v>
          </cell>
        </row>
        <row r="329">
          <cell r="A329" t="str">
            <v>Lucknow</v>
          </cell>
          <cell r="B329" t="str">
            <v>Rpo</v>
          </cell>
          <cell r="C329" t="str">
            <v>Mid Level</v>
          </cell>
          <cell r="D329" t="str">
            <v>Ankit Pandey</v>
          </cell>
          <cell r="E329" t="str">
            <v>-</v>
          </cell>
          <cell r="F329" t="str">
            <v>Non-MSP</v>
          </cell>
          <cell r="H329" t="str">
            <v>Sagar Chandani</v>
          </cell>
          <cell r="L329" t="str">
            <v>New</v>
          </cell>
          <cell r="M329">
            <v>46097</v>
          </cell>
          <cell r="N329">
            <v>105</v>
          </cell>
          <cell r="P329">
            <v>46462</v>
          </cell>
          <cell r="Q329" t="str">
            <v>PLC-4781</v>
          </cell>
          <cell r="R329" t="str">
            <v>Lakshmanakumar Jonnalagadda</v>
          </cell>
          <cell r="S329" t="str">
            <v>Individual</v>
          </cell>
          <cell r="T329" t="str">
            <v>C2C</v>
          </cell>
          <cell r="U329" t="str">
            <v>N22</v>
          </cell>
          <cell r="V329">
            <v>65</v>
          </cell>
          <cell r="W329">
            <v>0</v>
          </cell>
          <cell r="X329" t="str">
            <v>USD</v>
          </cell>
          <cell r="Y329">
            <v>70</v>
          </cell>
          <cell r="Z329">
            <v>0</v>
          </cell>
          <cell r="AA329">
            <v>0</v>
          </cell>
          <cell r="AB329">
            <v>0</v>
          </cell>
          <cell r="AC329">
            <v>46096</v>
          </cell>
          <cell r="AD329">
            <v>12</v>
          </cell>
          <cell r="AE329">
            <v>46387</v>
          </cell>
          <cell r="AF329">
            <v>65</v>
          </cell>
          <cell r="AG329">
            <v>0</v>
          </cell>
          <cell r="AH329">
            <v>65</v>
          </cell>
          <cell r="AI329">
            <v>70</v>
          </cell>
          <cell r="AJ329">
            <v>0</v>
          </cell>
          <cell r="AK329">
            <v>0</v>
          </cell>
          <cell r="AL329">
            <v>5</v>
          </cell>
          <cell r="AM329">
            <v>0</v>
          </cell>
          <cell r="AN329">
            <v>5</v>
          </cell>
          <cell r="AO329">
            <v>0</v>
          </cell>
          <cell r="AP329">
            <v>5</v>
          </cell>
          <cell r="AQ329" t="str">
            <v>US_27415</v>
          </cell>
          <cell r="AR329">
            <v>0</v>
          </cell>
          <cell r="AS329">
            <v>48</v>
          </cell>
          <cell r="AU329">
            <v>48</v>
          </cell>
          <cell r="AV329">
            <v>0</v>
          </cell>
          <cell r="AW329">
            <v>240</v>
          </cell>
          <cell r="AX329">
            <v>240</v>
          </cell>
          <cell r="AY329">
            <v>0</v>
          </cell>
          <cell r="AZ329">
            <v>240</v>
          </cell>
          <cell r="BA329">
            <v>240</v>
          </cell>
          <cell r="BB329">
            <v>240</v>
          </cell>
          <cell r="BC329">
            <v>44.333333333333336</v>
          </cell>
          <cell r="BD329">
            <v>316.8</v>
          </cell>
          <cell r="BE329">
            <v>316.8</v>
          </cell>
          <cell r="BG329">
            <v>240</v>
          </cell>
          <cell r="BI329">
            <v>240</v>
          </cell>
          <cell r="BJ329">
            <v>3360</v>
          </cell>
          <cell r="BK329">
            <v>3360</v>
          </cell>
          <cell r="BL329">
            <v>3120</v>
          </cell>
          <cell r="BM329">
            <v>0</v>
          </cell>
          <cell r="BN329">
            <v>0</v>
          </cell>
          <cell r="BO329">
            <v>0</v>
          </cell>
          <cell r="BP329">
            <v>3120</v>
          </cell>
          <cell r="BQ329">
            <v>0</v>
          </cell>
          <cell r="BR329">
            <v>240</v>
          </cell>
          <cell r="BT329">
            <v>1</v>
          </cell>
          <cell r="BU329">
            <v>1</v>
          </cell>
          <cell r="BV329" t="str">
            <v>Y</v>
          </cell>
          <cell r="BW329">
            <v>633.6</v>
          </cell>
          <cell r="BX329">
            <v>633.6</v>
          </cell>
          <cell r="BY329">
            <v>2026</v>
          </cell>
          <cell r="BZ329" t="str">
            <v>-</v>
          </cell>
          <cell r="CA329" t="str">
            <v>-</v>
          </cell>
        </row>
        <row r="330">
          <cell r="A330" t="str">
            <v>Lucknow</v>
          </cell>
          <cell r="B330" t="str">
            <v>Rpo</v>
          </cell>
          <cell r="C330" t="str">
            <v>Mid Level</v>
          </cell>
          <cell r="D330" t="str">
            <v>Ankit Pandey</v>
          </cell>
          <cell r="E330" t="str">
            <v>-</v>
          </cell>
          <cell r="F330" t="str">
            <v>Non-MSP</v>
          </cell>
          <cell r="H330" t="str">
            <v>Sagar Chandani</v>
          </cell>
          <cell r="J330" t="str">
            <v>ACH</v>
          </cell>
          <cell r="L330" t="str">
            <v>New</v>
          </cell>
          <cell r="M330">
            <v>46097</v>
          </cell>
          <cell r="N330">
            <v>105</v>
          </cell>
          <cell r="P330">
            <v>46462</v>
          </cell>
          <cell r="Q330" t="str">
            <v>PLC-4781</v>
          </cell>
          <cell r="R330" t="str">
            <v>Lakshmanakumar Jonnalagadda</v>
          </cell>
          <cell r="S330" t="str">
            <v>Individual</v>
          </cell>
          <cell r="T330" t="str">
            <v>C2C</v>
          </cell>
          <cell r="U330" t="str">
            <v>N22</v>
          </cell>
          <cell r="V330">
            <v>65</v>
          </cell>
          <cell r="W330">
            <v>0</v>
          </cell>
          <cell r="X330" t="str">
            <v>USD</v>
          </cell>
          <cell r="Y330">
            <v>70</v>
          </cell>
          <cell r="Z330">
            <v>0</v>
          </cell>
          <cell r="AA330">
            <v>0</v>
          </cell>
          <cell r="AB330">
            <v>0</v>
          </cell>
          <cell r="AC330">
            <v>46127</v>
          </cell>
          <cell r="AD330">
            <v>22</v>
          </cell>
          <cell r="AE330">
            <v>46387</v>
          </cell>
          <cell r="AF330">
            <v>65</v>
          </cell>
          <cell r="AG330">
            <v>0</v>
          </cell>
          <cell r="AH330">
            <v>65</v>
          </cell>
          <cell r="AI330">
            <v>70</v>
          </cell>
          <cell r="AJ330">
            <v>0</v>
          </cell>
          <cell r="AK330">
            <v>0</v>
          </cell>
          <cell r="AL330">
            <v>5</v>
          </cell>
          <cell r="AM330">
            <v>0</v>
          </cell>
          <cell r="AN330">
            <v>5</v>
          </cell>
          <cell r="AO330">
            <v>0</v>
          </cell>
          <cell r="AP330">
            <v>5</v>
          </cell>
          <cell r="AQ330" t="str">
            <v>US_27646</v>
          </cell>
          <cell r="AR330">
            <v>0</v>
          </cell>
          <cell r="AS330">
            <v>88</v>
          </cell>
          <cell r="AU330">
            <v>88</v>
          </cell>
          <cell r="AV330">
            <v>0</v>
          </cell>
          <cell r="AW330">
            <v>440</v>
          </cell>
          <cell r="AX330">
            <v>435.6</v>
          </cell>
          <cell r="AY330">
            <v>0</v>
          </cell>
          <cell r="AZ330">
            <v>440</v>
          </cell>
          <cell r="BA330">
            <v>435.6</v>
          </cell>
          <cell r="BB330">
            <v>440</v>
          </cell>
          <cell r="BC330">
            <v>44.333333333333336</v>
          </cell>
          <cell r="BD330">
            <v>574.99200000000008</v>
          </cell>
          <cell r="BE330">
            <v>574.99200000000008</v>
          </cell>
          <cell r="BG330">
            <v>435.6</v>
          </cell>
          <cell r="BI330">
            <v>435.6</v>
          </cell>
          <cell r="BJ330">
            <v>6160</v>
          </cell>
          <cell r="BK330">
            <v>6160</v>
          </cell>
          <cell r="BL330">
            <v>5720</v>
          </cell>
          <cell r="BM330">
            <v>0</v>
          </cell>
          <cell r="BN330">
            <v>0</v>
          </cell>
          <cell r="BO330">
            <v>0</v>
          </cell>
          <cell r="BP330">
            <v>5720</v>
          </cell>
          <cell r="BQ330">
            <v>0</v>
          </cell>
          <cell r="BR330">
            <v>440</v>
          </cell>
          <cell r="BT330">
            <v>2</v>
          </cell>
          <cell r="BU330">
            <v>1</v>
          </cell>
          <cell r="BV330" t="str">
            <v>Y</v>
          </cell>
          <cell r="BW330">
            <v>1149.9840000000002</v>
          </cell>
          <cell r="BX330">
            <v>1149.9840000000002</v>
          </cell>
          <cell r="BY330">
            <v>2026</v>
          </cell>
          <cell r="BZ330" t="str">
            <v>-</v>
          </cell>
          <cell r="CA330" t="str">
            <v>-</v>
          </cell>
        </row>
        <row r="331">
          <cell r="A331" t="str">
            <v>Lucknow</v>
          </cell>
          <cell r="B331" t="str">
            <v>Rpo</v>
          </cell>
          <cell r="C331" t="str">
            <v>Mid Level</v>
          </cell>
          <cell r="D331" t="str">
            <v>Ankit Pandey</v>
          </cell>
          <cell r="E331" t="str">
            <v>-</v>
          </cell>
          <cell r="F331" t="str">
            <v>Non-MSP</v>
          </cell>
          <cell r="H331" t="str">
            <v>Sagar Chandani</v>
          </cell>
          <cell r="J331" t="str">
            <v>ACH</v>
          </cell>
          <cell r="L331" t="str">
            <v>New</v>
          </cell>
          <cell r="M331">
            <v>46097</v>
          </cell>
          <cell r="N331">
            <v>105</v>
          </cell>
          <cell r="P331">
            <v>46462</v>
          </cell>
          <cell r="Q331" t="str">
            <v>PLC-4781</v>
          </cell>
          <cell r="R331" t="str">
            <v>Lakshmanakumar Jonnalagadda</v>
          </cell>
          <cell r="S331" t="str">
            <v>Individual</v>
          </cell>
          <cell r="T331" t="str">
            <v>C2C</v>
          </cell>
          <cell r="U331" t="str">
            <v>N22</v>
          </cell>
          <cell r="V331">
            <v>65</v>
          </cell>
          <cell r="W331">
            <v>0</v>
          </cell>
          <cell r="X331" t="str">
            <v>USD</v>
          </cell>
          <cell r="Y331">
            <v>70</v>
          </cell>
          <cell r="Z331">
            <v>0</v>
          </cell>
          <cell r="AA331">
            <v>0</v>
          </cell>
          <cell r="AB331">
            <v>0</v>
          </cell>
          <cell r="AC331">
            <v>46157</v>
          </cell>
          <cell r="AD331">
            <v>22</v>
          </cell>
          <cell r="AE331">
            <v>46387</v>
          </cell>
          <cell r="AF331">
            <v>65</v>
          </cell>
          <cell r="AG331">
            <v>0</v>
          </cell>
          <cell r="AH331">
            <v>65</v>
          </cell>
          <cell r="AI331">
            <v>70</v>
          </cell>
          <cell r="AJ331">
            <v>0</v>
          </cell>
          <cell r="AK331">
            <v>0</v>
          </cell>
          <cell r="AL331">
            <v>5</v>
          </cell>
          <cell r="AM331">
            <v>0</v>
          </cell>
          <cell r="AN331">
            <v>5</v>
          </cell>
          <cell r="AO331">
            <v>0</v>
          </cell>
          <cell r="AP331">
            <v>5</v>
          </cell>
          <cell r="AU331">
            <v>176</v>
          </cell>
          <cell r="BB331">
            <v>880</v>
          </cell>
          <cell r="BC331">
            <v>44.333333333333336</v>
          </cell>
          <cell r="BK331">
            <v>12320</v>
          </cell>
          <cell r="BL331">
            <v>11440</v>
          </cell>
          <cell r="BM331">
            <v>0</v>
          </cell>
          <cell r="BN331">
            <v>0</v>
          </cell>
          <cell r="BO331">
            <v>0</v>
          </cell>
          <cell r="BP331">
            <v>11440</v>
          </cell>
          <cell r="BQ331">
            <v>0</v>
          </cell>
          <cell r="BR331">
            <v>880</v>
          </cell>
          <cell r="BT331">
            <v>2</v>
          </cell>
          <cell r="BU331">
            <v>1</v>
          </cell>
          <cell r="BV331" t="str">
            <v>Y</v>
          </cell>
          <cell r="BY331">
            <v>2026</v>
          </cell>
          <cell r="BZ331" t="str">
            <v>-</v>
          </cell>
          <cell r="CA331" t="str">
            <v>-</v>
          </cell>
        </row>
        <row r="332">
          <cell r="A332" t="str">
            <v>Lucknow</v>
          </cell>
          <cell r="B332" t="str">
            <v>Mavericks</v>
          </cell>
          <cell r="C332" t="str">
            <v>Mid Level</v>
          </cell>
          <cell r="D332" t="str">
            <v>Kashif Nabi</v>
          </cell>
          <cell r="E332" t="str">
            <v>-</v>
          </cell>
          <cell r="F332" t="str">
            <v>Non-MSP</v>
          </cell>
          <cell r="H332" t="str">
            <v>Ritik Arya</v>
          </cell>
          <cell r="L332" t="str">
            <v>New</v>
          </cell>
          <cell r="M332">
            <v>46052</v>
          </cell>
          <cell r="N332">
            <v>150</v>
          </cell>
          <cell r="O332">
            <v>46094</v>
          </cell>
          <cell r="P332">
            <v>46417</v>
          </cell>
          <cell r="Q332" t="str">
            <v>PLC-4653</v>
          </cell>
          <cell r="R332" t="str">
            <v>Lakshmi Venkata Naga Sujan Srikakulam</v>
          </cell>
          <cell r="S332" t="str">
            <v>Individual</v>
          </cell>
          <cell r="T332" t="str">
            <v>C2C Canada</v>
          </cell>
          <cell r="U332" t="str">
            <v>Genpact</v>
          </cell>
          <cell r="V332">
            <v>130</v>
          </cell>
          <cell r="W332">
            <v>0</v>
          </cell>
          <cell r="X332" t="str">
            <v>CAD</v>
          </cell>
          <cell r="Y332">
            <v>145</v>
          </cell>
          <cell r="Z332">
            <v>0</v>
          </cell>
          <cell r="AA332">
            <v>0</v>
          </cell>
          <cell r="AB332">
            <v>0</v>
          </cell>
          <cell r="AC332">
            <v>46037</v>
          </cell>
          <cell r="AD332">
            <v>1</v>
          </cell>
          <cell r="AE332">
            <v>46387</v>
          </cell>
          <cell r="AF332">
            <v>92.3</v>
          </cell>
          <cell r="AG332">
            <v>0</v>
          </cell>
          <cell r="AH332">
            <v>92.3</v>
          </cell>
          <cell r="AI332">
            <v>102.94999999999999</v>
          </cell>
          <cell r="AJ332">
            <v>0</v>
          </cell>
          <cell r="AK332">
            <v>0</v>
          </cell>
          <cell r="AL332">
            <v>10.649999999999991</v>
          </cell>
          <cell r="AM332">
            <v>0</v>
          </cell>
          <cell r="AN332">
            <v>10.649999999999991</v>
          </cell>
          <cell r="AO332">
            <v>0</v>
          </cell>
          <cell r="AP332">
            <v>10.649999999999991</v>
          </cell>
          <cell r="AQ332" t="str">
            <v>CAD_1933</v>
          </cell>
          <cell r="AR332">
            <v>0</v>
          </cell>
          <cell r="AS332">
            <v>8</v>
          </cell>
          <cell r="AU332">
            <v>8</v>
          </cell>
          <cell r="AV332">
            <v>0</v>
          </cell>
          <cell r="AW332">
            <v>85.199999999999932</v>
          </cell>
          <cell r="AX332">
            <v>85.199999999999932</v>
          </cell>
          <cell r="AY332">
            <v>0</v>
          </cell>
          <cell r="AZ332">
            <v>85.199999999999932</v>
          </cell>
          <cell r="BA332">
            <v>85.199999999999932</v>
          </cell>
          <cell r="BB332">
            <v>85.199999999999932</v>
          </cell>
          <cell r="BC332">
            <v>0</v>
          </cell>
          <cell r="BD332">
            <v>0</v>
          </cell>
          <cell r="BE332">
            <v>0</v>
          </cell>
          <cell r="BG332">
            <v>85.199999999999932</v>
          </cell>
          <cell r="BI332">
            <v>85.199999999999932</v>
          </cell>
          <cell r="BJ332">
            <v>1160</v>
          </cell>
          <cell r="BK332">
            <v>823.59999999999991</v>
          </cell>
          <cell r="BL332">
            <v>770.53600000000006</v>
          </cell>
          <cell r="BM332">
            <v>0</v>
          </cell>
          <cell r="BN332">
            <v>0</v>
          </cell>
          <cell r="BO332">
            <v>0</v>
          </cell>
          <cell r="BP332">
            <v>770.53600000000006</v>
          </cell>
          <cell r="BQ332">
            <v>0</v>
          </cell>
          <cell r="BR332">
            <v>53.063999999999851</v>
          </cell>
          <cell r="BS332" t="str">
            <v>Y</v>
          </cell>
          <cell r="BT332">
            <v>1</v>
          </cell>
          <cell r="BU332">
            <v>1</v>
          </cell>
          <cell r="BV332" t="str">
            <v>Y</v>
          </cell>
          <cell r="BW332">
            <v>0</v>
          </cell>
          <cell r="BX332">
            <v>0</v>
          </cell>
          <cell r="BY332">
            <v>2026</v>
          </cell>
          <cell r="BZ332" t="str">
            <v>-</v>
          </cell>
          <cell r="CA332" t="str">
            <v>-</v>
          </cell>
        </row>
        <row r="333">
          <cell r="A333" t="str">
            <v>Lucknow</v>
          </cell>
          <cell r="B333" t="str">
            <v>Mavericks</v>
          </cell>
          <cell r="C333" t="str">
            <v>Mid Level</v>
          </cell>
          <cell r="D333" t="str">
            <v>Kashif Nabi</v>
          </cell>
          <cell r="E333" t="str">
            <v>-</v>
          </cell>
          <cell r="F333" t="str">
            <v>Non-MSP</v>
          </cell>
          <cell r="H333" t="str">
            <v>Ritik Arya</v>
          </cell>
          <cell r="L333" t="str">
            <v>New</v>
          </cell>
          <cell r="M333">
            <v>46052</v>
          </cell>
          <cell r="N333">
            <v>150</v>
          </cell>
          <cell r="O333">
            <v>46094</v>
          </cell>
          <cell r="P333">
            <v>46417</v>
          </cell>
          <cell r="Q333" t="str">
            <v>PLC-4653</v>
          </cell>
          <cell r="R333" t="str">
            <v>Lakshmi Venkata Naga Sujan Srikakulam</v>
          </cell>
          <cell r="S333" t="str">
            <v>Individual</v>
          </cell>
          <cell r="T333" t="str">
            <v>C2C Canada</v>
          </cell>
          <cell r="U333" t="str">
            <v>Genpact</v>
          </cell>
          <cell r="V333">
            <v>130</v>
          </cell>
          <cell r="W333">
            <v>0</v>
          </cell>
          <cell r="X333" t="str">
            <v>CAD</v>
          </cell>
          <cell r="Y333">
            <v>145</v>
          </cell>
          <cell r="Z333">
            <v>0</v>
          </cell>
          <cell r="AA333">
            <v>0</v>
          </cell>
          <cell r="AB333">
            <v>0</v>
          </cell>
          <cell r="AC333">
            <v>46068</v>
          </cell>
          <cell r="AD333">
            <v>20</v>
          </cell>
          <cell r="AE333">
            <v>46387</v>
          </cell>
          <cell r="AF333">
            <v>92.3</v>
          </cell>
          <cell r="AG333">
            <v>0</v>
          </cell>
          <cell r="AH333">
            <v>92.3</v>
          </cell>
          <cell r="AI333">
            <v>102.94999999999999</v>
          </cell>
          <cell r="AJ333">
            <v>0</v>
          </cell>
          <cell r="AK333">
            <v>0</v>
          </cell>
          <cell r="AL333">
            <v>10.649999999999991</v>
          </cell>
          <cell r="AM333">
            <v>0</v>
          </cell>
          <cell r="AN333">
            <v>10.649999999999991</v>
          </cell>
          <cell r="AO333">
            <v>0</v>
          </cell>
          <cell r="AP333">
            <v>10.649999999999991</v>
          </cell>
          <cell r="AQ333" t="str">
            <v>CAD_1953</v>
          </cell>
          <cell r="AR333">
            <v>0</v>
          </cell>
          <cell r="AS333">
            <v>152</v>
          </cell>
          <cell r="AU333">
            <v>152</v>
          </cell>
          <cell r="AV333">
            <v>0</v>
          </cell>
          <cell r="AW333">
            <v>1618.7999999999988</v>
          </cell>
          <cell r="AX333">
            <v>1618.7999999999988</v>
          </cell>
          <cell r="AY333">
            <v>0</v>
          </cell>
          <cell r="AZ333">
            <v>1618.7999999999988</v>
          </cell>
          <cell r="BA333">
            <v>1618.7999999999988</v>
          </cell>
          <cell r="BB333">
            <v>1618.7999999999988</v>
          </cell>
          <cell r="BC333">
            <v>0</v>
          </cell>
          <cell r="BD333">
            <v>0</v>
          </cell>
          <cell r="BE333">
            <v>0</v>
          </cell>
          <cell r="BG333">
            <v>1618.7999999999988</v>
          </cell>
          <cell r="BI333">
            <v>1618.7999999999988</v>
          </cell>
          <cell r="BJ333">
            <v>22040</v>
          </cell>
          <cell r="BK333">
            <v>15648.399999999998</v>
          </cell>
          <cell r="BL333">
            <v>14640.183999999999</v>
          </cell>
          <cell r="BM333">
            <v>0</v>
          </cell>
          <cell r="BN333">
            <v>0</v>
          </cell>
          <cell r="BO333">
            <v>0</v>
          </cell>
          <cell r="BP333">
            <v>14640.183999999999</v>
          </cell>
          <cell r="BQ333">
            <v>0</v>
          </cell>
          <cell r="BR333">
            <v>1008.2159999999985</v>
          </cell>
          <cell r="BS333" t="str">
            <v>Y</v>
          </cell>
          <cell r="BT333">
            <v>1</v>
          </cell>
          <cell r="BU333">
            <v>1</v>
          </cell>
          <cell r="BV333" t="str">
            <v>Y</v>
          </cell>
          <cell r="BW333">
            <v>0</v>
          </cell>
          <cell r="BX333">
            <v>0</v>
          </cell>
          <cell r="BY333">
            <v>2026</v>
          </cell>
          <cell r="BZ333" t="str">
            <v>-</v>
          </cell>
          <cell r="CA333" t="str">
            <v>-</v>
          </cell>
        </row>
        <row r="334">
          <cell r="A334" t="str">
            <v>Lucknow</v>
          </cell>
          <cell r="B334" t="str">
            <v>Mavericks</v>
          </cell>
          <cell r="C334" t="str">
            <v>Mid Level</v>
          </cell>
          <cell r="D334" t="str">
            <v>Kashif Nabi</v>
          </cell>
          <cell r="E334" t="str">
            <v>-</v>
          </cell>
          <cell r="F334" t="str">
            <v>Non-MSP</v>
          </cell>
          <cell r="H334" t="str">
            <v>Ritik Arya</v>
          </cell>
          <cell r="L334" t="str">
            <v>New</v>
          </cell>
          <cell r="M334">
            <v>46052</v>
          </cell>
          <cell r="N334">
            <v>150</v>
          </cell>
          <cell r="O334">
            <v>46094</v>
          </cell>
          <cell r="P334">
            <v>46417</v>
          </cell>
          <cell r="Q334" t="str">
            <v>PLC-4653</v>
          </cell>
          <cell r="R334" t="str">
            <v>Lakshmi Venkata Naga Sujan Srikakulam</v>
          </cell>
          <cell r="S334" t="str">
            <v>Individual</v>
          </cell>
          <cell r="T334" t="str">
            <v>C2C Canada</v>
          </cell>
          <cell r="U334" t="str">
            <v>Genpact</v>
          </cell>
          <cell r="V334">
            <v>130</v>
          </cell>
          <cell r="W334">
            <v>0</v>
          </cell>
          <cell r="X334" t="str">
            <v>CAD</v>
          </cell>
          <cell r="Y334">
            <v>145</v>
          </cell>
          <cell r="Z334">
            <v>0</v>
          </cell>
          <cell r="AA334">
            <v>0</v>
          </cell>
          <cell r="AB334">
            <v>0</v>
          </cell>
          <cell r="AC334">
            <v>46096</v>
          </cell>
          <cell r="AD334">
            <v>22</v>
          </cell>
          <cell r="AE334">
            <v>46387</v>
          </cell>
          <cell r="AF334">
            <v>92.3</v>
          </cell>
          <cell r="AG334">
            <v>0</v>
          </cell>
          <cell r="AH334">
            <v>92.3</v>
          </cell>
          <cell r="AI334">
            <v>102.94999999999999</v>
          </cell>
          <cell r="AJ334">
            <v>0</v>
          </cell>
          <cell r="AK334">
            <v>0</v>
          </cell>
          <cell r="AL334">
            <v>10.649999999999991</v>
          </cell>
          <cell r="AM334">
            <v>0</v>
          </cell>
          <cell r="AN334">
            <v>10.649999999999991</v>
          </cell>
          <cell r="AO334">
            <v>0</v>
          </cell>
          <cell r="AP334">
            <v>10.649999999999991</v>
          </cell>
          <cell r="AQ334" t="str">
            <v>CAD_2062</v>
          </cell>
          <cell r="AR334">
            <v>0</v>
          </cell>
          <cell r="AS334">
            <v>80</v>
          </cell>
          <cell r="AU334">
            <v>80</v>
          </cell>
          <cell r="AV334">
            <v>0</v>
          </cell>
          <cell r="AW334">
            <v>851.99999999999932</v>
          </cell>
          <cell r="AX334">
            <v>851.99999999999932</v>
          </cell>
          <cell r="AY334">
            <v>0</v>
          </cell>
          <cell r="AZ334">
            <v>851.99999999999932</v>
          </cell>
          <cell r="BA334">
            <v>851.99999999999932</v>
          </cell>
          <cell r="BB334">
            <v>851.99999999999932</v>
          </cell>
          <cell r="BC334">
            <v>0</v>
          </cell>
          <cell r="BD334">
            <v>0</v>
          </cell>
          <cell r="BE334">
            <v>0</v>
          </cell>
          <cell r="BG334">
            <v>851.99999999999932</v>
          </cell>
          <cell r="BI334">
            <v>851.99999999999932</v>
          </cell>
          <cell r="BJ334">
            <v>11600</v>
          </cell>
          <cell r="BK334">
            <v>8236</v>
          </cell>
          <cell r="BL334">
            <v>7705.36</v>
          </cell>
          <cell r="BM334">
            <v>0</v>
          </cell>
          <cell r="BN334">
            <v>0</v>
          </cell>
          <cell r="BO334">
            <v>0</v>
          </cell>
          <cell r="BP334">
            <v>7705.36</v>
          </cell>
          <cell r="BQ334">
            <v>0</v>
          </cell>
          <cell r="BR334">
            <v>530.64000000000033</v>
          </cell>
          <cell r="BS334" t="str">
            <v>Y</v>
          </cell>
          <cell r="BT334">
            <v>1</v>
          </cell>
          <cell r="BU334">
            <v>1</v>
          </cell>
          <cell r="BV334" t="str">
            <v>Y</v>
          </cell>
          <cell r="BW334">
            <v>0</v>
          </cell>
          <cell r="BX334">
            <v>0</v>
          </cell>
          <cell r="BY334">
            <v>2026</v>
          </cell>
          <cell r="BZ334" t="str">
            <v>-</v>
          </cell>
          <cell r="CA334" t="str">
            <v>-</v>
          </cell>
        </row>
        <row r="335">
          <cell r="A335" t="str">
            <v>Lucknow</v>
          </cell>
          <cell r="B335" t="str">
            <v>Mavericks</v>
          </cell>
          <cell r="C335" t="str">
            <v>Mid Level</v>
          </cell>
          <cell r="D335" t="str">
            <v>Mohammad Fakhrul</v>
          </cell>
          <cell r="E335" t="str">
            <v>-</v>
          </cell>
          <cell r="F335" t="str">
            <v>MSP</v>
          </cell>
          <cell r="H335" t="str">
            <v>Pass Through/MSP</v>
          </cell>
          <cell r="L335" t="str">
            <v>New</v>
          </cell>
          <cell r="M335">
            <v>46083</v>
          </cell>
          <cell r="N335">
            <v>119</v>
          </cell>
          <cell r="P335">
            <v>46448</v>
          </cell>
          <cell r="Q335" t="str">
            <v>PLC-Passthrough</v>
          </cell>
          <cell r="R335" t="str">
            <v>Lalith Kumar Gajula</v>
          </cell>
          <cell r="S335" t="str">
            <v>Individual</v>
          </cell>
          <cell r="T335" t="str">
            <v>C2C</v>
          </cell>
          <cell r="U335" t="str">
            <v>CoForge</v>
          </cell>
          <cell r="V335">
            <v>69</v>
          </cell>
          <cell r="W335">
            <v>0</v>
          </cell>
          <cell r="X335" t="str">
            <v>USD</v>
          </cell>
          <cell r="Y335">
            <v>70</v>
          </cell>
          <cell r="Z335">
            <v>0</v>
          </cell>
          <cell r="AA335">
            <v>0</v>
          </cell>
          <cell r="AB335">
            <v>0</v>
          </cell>
          <cell r="AC335">
            <v>46096</v>
          </cell>
          <cell r="AD335">
            <v>22</v>
          </cell>
          <cell r="AE335">
            <v>46387</v>
          </cell>
          <cell r="AF335">
            <v>69</v>
          </cell>
          <cell r="AG335">
            <v>0</v>
          </cell>
          <cell r="AH335">
            <v>69</v>
          </cell>
          <cell r="AI335">
            <v>70</v>
          </cell>
          <cell r="AJ335">
            <v>0</v>
          </cell>
          <cell r="AK335">
            <v>0</v>
          </cell>
          <cell r="AL335">
            <v>1</v>
          </cell>
          <cell r="AM335">
            <v>0</v>
          </cell>
          <cell r="AN335">
            <v>1</v>
          </cell>
          <cell r="AO335">
            <v>0</v>
          </cell>
          <cell r="AP335">
            <v>1</v>
          </cell>
          <cell r="AQ335" t="str">
            <v>US_CMSP_00556</v>
          </cell>
          <cell r="AR335">
            <v>0</v>
          </cell>
          <cell r="AS335">
            <v>176</v>
          </cell>
          <cell r="AU335">
            <v>176</v>
          </cell>
          <cell r="AV335">
            <v>0</v>
          </cell>
          <cell r="AW335">
            <v>176</v>
          </cell>
          <cell r="AX335">
            <v>176</v>
          </cell>
          <cell r="AY335">
            <v>0</v>
          </cell>
          <cell r="AZ335">
            <v>176</v>
          </cell>
          <cell r="BA335">
            <v>176</v>
          </cell>
          <cell r="BB335">
            <v>176</v>
          </cell>
          <cell r="BC335">
            <v>0</v>
          </cell>
          <cell r="BD335">
            <v>0</v>
          </cell>
          <cell r="BE335">
            <v>0</v>
          </cell>
          <cell r="BG335">
            <v>176</v>
          </cell>
          <cell r="BI335">
            <v>176</v>
          </cell>
          <cell r="BJ335">
            <v>12320</v>
          </cell>
          <cell r="BK335">
            <v>12320</v>
          </cell>
          <cell r="BL335">
            <v>12144</v>
          </cell>
          <cell r="BM335">
            <v>0</v>
          </cell>
          <cell r="BN335">
            <v>0</v>
          </cell>
          <cell r="BO335">
            <v>0</v>
          </cell>
          <cell r="BP335">
            <v>12144</v>
          </cell>
          <cell r="BQ335">
            <v>0</v>
          </cell>
          <cell r="BR335">
            <v>176</v>
          </cell>
          <cell r="BS335" t="str">
            <v>Y</v>
          </cell>
          <cell r="BT335">
            <v>1</v>
          </cell>
          <cell r="BU335">
            <v>1</v>
          </cell>
          <cell r="BV335" t="str">
            <v>N</v>
          </cell>
          <cell r="BW335">
            <v>0</v>
          </cell>
          <cell r="BX335">
            <v>0</v>
          </cell>
          <cell r="BY335">
            <v>2026</v>
          </cell>
          <cell r="BZ335" t="str">
            <v>-</v>
          </cell>
          <cell r="CA335" t="str">
            <v>-</v>
          </cell>
        </row>
        <row r="336">
          <cell r="A336" t="str">
            <v>Lucknow</v>
          </cell>
          <cell r="B336" t="str">
            <v>Mavericks</v>
          </cell>
          <cell r="C336" t="str">
            <v>Mid Level</v>
          </cell>
          <cell r="D336" t="str">
            <v>Mohammad Fakhrul</v>
          </cell>
          <cell r="E336" t="str">
            <v>-</v>
          </cell>
          <cell r="F336" t="str">
            <v>MSP</v>
          </cell>
          <cell r="H336" t="str">
            <v>Pass Through/MSP</v>
          </cell>
          <cell r="J336" t="str">
            <v>ACH</v>
          </cell>
          <cell r="L336" t="str">
            <v>New</v>
          </cell>
          <cell r="M336">
            <v>46083</v>
          </cell>
          <cell r="N336">
            <v>119</v>
          </cell>
          <cell r="P336">
            <v>46448</v>
          </cell>
          <cell r="Q336" t="str">
            <v>PLC-Passthrough</v>
          </cell>
          <cell r="R336" t="str">
            <v>Lalith Kumar Gajula</v>
          </cell>
          <cell r="S336" t="str">
            <v>Individual</v>
          </cell>
          <cell r="T336" t="str">
            <v>C2C</v>
          </cell>
          <cell r="U336" t="str">
            <v>CoForge</v>
          </cell>
          <cell r="V336">
            <v>69</v>
          </cell>
          <cell r="W336">
            <v>0</v>
          </cell>
          <cell r="X336" t="str">
            <v>USD</v>
          </cell>
          <cell r="Y336">
            <v>70</v>
          </cell>
          <cell r="Z336">
            <v>0</v>
          </cell>
          <cell r="AA336">
            <v>0</v>
          </cell>
          <cell r="AB336">
            <v>0</v>
          </cell>
          <cell r="AC336">
            <v>46127</v>
          </cell>
          <cell r="AD336">
            <v>22</v>
          </cell>
          <cell r="AE336">
            <v>46387</v>
          </cell>
          <cell r="AF336">
            <v>69</v>
          </cell>
          <cell r="AG336">
            <v>0</v>
          </cell>
          <cell r="AH336">
            <v>69</v>
          </cell>
          <cell r="AI336">
            <v>70</v>
          </cell>
          <cell r="AJ336">
            <v>0</v>
          </cell>
          <cell r="AK336">
            <v>0</v>
          </cell>
          <cell r="AL336">
            <v>1</v>
          </cell>
          <cell r="AM336">
            <v>0</v>
          </cell>
          <cell r="AN336">
            <v>1</v>
          </cell>
          <cell r="AO336">
            <v>0</v>
          </cell>
          <cell r="AP336">
            <v>1</v>
          </cell>
          <cell r="AQ336" t="str">
            <v>US_CMSP_00702</v>
          </cell>
          <cell r="AR336">
            <v>0</v>
          </cell>
          <cell r="AS336">
            <v>168</v>
          </cell>
          <cell r="AU336">
            <v>168</v>
          </cell>
          <cell r="AV336">
            <v>0</v>
          </cell>
          <cell r="AW336">
            <v>168</v>
          </cell>
          <cell r="AX336">
            <v>166.32</v>
          </cell>
          <cell r="AY336">
            <v>0</v>
          </cell>
          <cell r="AZ336">
            <v>168</v>
          </cell>
          <cell r="BA336">
            <v>166.32</v>
          </cell>
          <cell r="BB336">
            <v>168</v>
          </cell>
          <cell r="BC336">
            <v>0</v>
          </cell>
          <cell r="BD336">
            <v>0</v>
          </cell>
          <cell r="BE336">
            <v>0</v>
          </cell>
          <cell r="BG336">
            <v>166.32</v>
          </cell>
          <cell r="BI336">
            <v>166.32</v>
          </cell>
          <cell r="BJ336">
            <v>11760</v>
          </cell>
          <cell r="BK336">
            <v>11760</v>
          </cell>
          <cell r="BL336">
            <v>11592</v>
          </cell>
          <cell r="BM336">
            <v>0</v>
          </cell>
          <cell r="BN336">
            <v>0</v>
          </cell>
          <cell r="BO336">
            <v>0</v>
          </cell>
          <cell r="BP336">
            <v>11592</v>
          </cell>
          <cell r="BQ336">
            <v>0</v>
          </cell>
          <cell r="BR336">
            <v>168</v>
          </cell>
          <cell r="BT336">
            <v>2</v>
          </cell>
          <cell r="BU336">
            <v>1</v>
          </cell>
          <cell r="BV336" t="str">
            <v>N</v>
          </cell>
          <cell r="BW336">
            <v>0</v>
          </cell>
          <cell r="BX336">
            <v>0</v>
          </cell>
          <cell r="BY336">
            <v>2026</v>
          </cell>
          <cell r="BZ336" t="str">
            <v>-</v>
          </cell>
          <cell r="CA336" t="str">
            <v>-</v>
          </cell>
        </row>
        <row r="337">
          <cell r="A337" t="str">
            <v>Lucknow</v>
          </cell>
          <cell r="B337" t="str">
            <v>Mavericks</v>
          </cell>
          <cell r="C337" t="str">
            <v>Mid Level</v>
          </cell>
          <cell r="D337" t="str">
            <v>Mohammad Fakhrul</v>
          </cell>
          <cell r="E337" t="str">
            <v>-</v>
          </cell>
          <cell r="F337" t="str">
            <v>MSP</v>
          </cell>
          <cell r="H337" t="str">
            <v>Pass Through/MSP</v>
          </cell>
          <cell r="J337" t="str">
            <v>ACH</v>
          </cell>
          <cell r="L337" t="str">
            <v>New</v>
          </cell>
          <cell r="M337">
            <v>46083</v>
          </cell>
          <cell r="N337">
            <v>119</v>
          </cell>
          <cell r="P337">
            <v>46448</v>
          </cell>
          <cell r="Q337" t="str">
            <v>PLC-Passthrough</v>
          </cell>
          <cell r="R337" t="str">
            <v>Lalith Kumar Gajula</v>
          </cell>
          <cell r="S337" t="str">
            <v>Individual</v>
          </cell>
          <cell r="T337" t="str">
            <v>C2C</v>
          </cell>
          <cell r="U337" t="str">
            <v>CoForge</v>
          </cell>
          <cell r="V337">
            <v>69</v>
          </cell>
          <cell r="W337">
            <v>0</v>
          </cell>
          <cell r="X337" t="str">
            <v>USD</v>
          </cell>
          <cell r="Y337">
            <v>70</v>
          </cell>
          <cell r="Z337">
            <v>0</v>
          </cell>
          <cell r="AA337">
            <v>0</v>
          </cell>
          <cell r="AB337">
            <v>0</v>
          </cell>
          <cell r="AC337">
            <v>46157</v>
          </cell>
          <cell r="AD337">
            <v>22</v>
          </cell>
          <cell r="AE337">
            <v>46387</v>
          </cell>
          <cell r="AF337">
            <v>69</v>
          </cell>
          <cell r="AG337">
            <v>0</v>
          </cell>
          <cell r="AH337">
            <v>69</v>
          </cell>
          <cell r="AI337">
            <v>70</v>
          </cell>
          <cell r="AJ337">
            <v>0</v>
          </cell>
          <cell r="AK337">
            <v>0</v>
          </cell>
          <cell r="AL337">
            <v>1</v>
          </cell>
          <cell r="AM337">
            <v>0</v>
          </cell>
          <cell r="AN337">
            <v>1</v>
          </cell>
          <cell r="AO337">
            <v>0</v>
          </cell>
          <cell r="AP337">
            <v>1</v>
          </cell>
          <cell r="AQ337" t="str">
            <v>US_CMSP_00862</v>
          </cell>
          <cell r="AR337">
            <v>0</v>
          </cell>
          <cell r="AS337">
            <v>152</v>
          </cell>
          <cell r="AU337">
            <v>152</v>
          </cell>
          <cell r="AV337">
            <v>0</v>
          </cell>
          <cell r="AW337">
            <v>152</v>
          </cell>
          <cell r="AX337">
            <v>150.47999999999999</v>
          </cell>
          <cell r="AY337">
            <v>0</v>
          </cell>
          <cell r="AZ337">
            <v>152</v>
          </cell>
          <cell r="BA337">
            <v>150.47999999999999</v>
          </cell>
          <cell r="BB337">
            <v>152</v>
          </cell>
          <cell r="BC337">
            <v>0</v>
          </cell>
          <cell r="BD337">
            <v>0</v>
          </cell>
          <cell r="BE337">
            <v>0</v>
          </cell>
          <cell r="BG337">
            <v>150.47999999999999</v>
          </cell>
          <cell r="BI337">
            <v>150.47999999999999</v>
          </cell>
          <cell r="BJ337">
            <v>10640</v>
          </cell>
          <cell r="BK337">
            <v>10640</v>
          </cell>
          <cell r="BL337">
            <v>10488</v>
          </cell>
          <cell r="BM337">
            <v>0</v>
          </cell>
          <cell r="BN337">
            <v>0</v>
          </cell>
          <cell r="BO337">
            <v>0</v>
          </cell>
          <cell r="BP337">
            <v>10488</v>
          </cell>
          <cell r="BQ337">
            <v>0</v>
          </cell>
          <cell r="BR337">
            <v>152</v>
          </cell>
          <cell r="BT337">
            <v>2</v>
          </cell>
          <cell r="BU337">
            <v>1</v>
          </cell>
          <cell r="BV337" t="str">
            <v>N</v>
          </cell>
          <cell r="BW337">
            <v>0</v>
          </cell>
          <cell r="BX337">
            <v>0</v>
          </cell>
          <cell r="BY337">
            <v>2026</v>
          </cell>
          <cell r="BZ337" t="str">
            <v>-</v>
          </cell>
          <cell r="CA337" t="str">
            <v>-</v>
          </cell>
        </row>
        <row r="338">
          <cell r="A338" t="str">
            <v>Lucknow</v>
          </cell>
          <cell r="B338" t="str">
            <v>Mavericks</v>
          </cell>
          <cell r="C338" t="str">
            <v>Mid Level</v>
          </cell>
          <cell r="D338" t="str">
            <v>Mohammad Fakhrul</v>
          </cell>
          <cell r="E338" t="str">
            <v>-</v>
          </cell>
          <cell r="F338" t="str">
            <v>MSP</v>
          </cell>
          <cell r="H338" t="str">
            <v>Pass Through/MSP</v>
          </cell>
          <cell r="L338" t="str">
            <v>New</v>
          </cell>
          <cell r="M338">
            <v>46098</v>
          </cell>
          <cell r="N338">
            <v>104</v>
          </cell>
          <cell r="P338">
            <v>46463</v>
          </cell>
          <cell r="Q338" t="str">
            <v>PLC-Passthrough</v>
          </cell>
          <cell r="R338" t="str">
            <v>Lennox Junior Cox</v>
          </cell>
          <cell r="S338" t="str">
            <v>Individual</v>
          </cell>
          <cell r="T338" t="str">
            <v>C2C</v>
          </cell>
          <cell r="U338" t="str">
            <v>Cigniti</v>
          </cell>
          <cell r="V338">
            <v>50</v>
          </cell>
          <cell r="W338">
            <v>0</v>
          </cell>
          <cell r="X338" t="str">
            <v>USD</v>
          </cell>
          <cell r="Y338">
            <v>52</v>
          </cell>
          <cell r="Z338">
            <v>0</v>
          </cell>
          <cell r="AA338">
            <v>0</v>
          </cell>
          <cell r="AB338">
            <v>0</v>
          </cell>
          <cell r="AC338">
            <v>46096</v>
          </cell>
          <cell r="AD338">
            <v>11</v>
          </cell>
          <cell r="AE338">
            <v>46387</v>
          </cell>
          <cell r="AF338">
            <v>50</v>
          </cell>
          <cell r="AG338">
            <v>0</v>
          </cell>
          <cell r="AH338">
            <v>50</v>
          </cell>
          <cell r="AI338">
            <v>52</v>
          </cell>
          <cell r="AJ338">
            <v>0</v>
          </cell>
          <cell r="AK338">
            <v>0</v>
          </cell>
          <cell r="AL338">
            <v>2</v>
          </cell>
          <cell r="AM338">
            <v>0</v>
          </cell>
          <cell r="AN338">
            <v>2</v>
          </cell>
          <cell r="AO338">
            <v>0</v>
          </cell>
          <cell r="AP338">
            <v>2</v>
          </cell>
          <cell r="AQ338" t="str">
            <v>US_CMSP_00576</v>
          </cell>
          <cell r="AR338">
            <v>0</v>
          </cell>
          <cell r="AS338">
            <v>88</v>
          </cell>
          <cell r="AU338">
            <v>88</v>
          </cell>
          <cell r="AV338">
            <v>0</v>
          </cell>
          <cell r="AW338">
            <v>176</v>
          </cell>
          <cell r="AX338">
            <v>176</v>
          </cell>
          <cell r="AY338">
            <v>0</v>
          </cell>
          <cell r="AZ338">
            <v>176</v>
          </cell>
          <cell r="BA338">
            <v>176</v>
          </cell>
          <cell r="BB338">
            <v>176</v>
          </cell>
          <cell r="BC338">
            <v>0</v>
          </cell>
          <cell r="BD338">
            <v>0</v>
          </cell>
          <cell r="BE338">
            <v>0</v>
          </cell>
          <cell r="BG338">
            <v>176</v>
          </cell>
          <cell r="BI338">
            <v>176</v>
          </cell>
          <cell r="BJ338">
            <v>4576</v>
          </cell>
          <cell r="BK338">
            <v>4576</v>
          </cell>
          <cell r="BL338">
            <v>4400</v>
          </cell>
          <cell r="BM338">
            <v>0</v>
          </cell>
          <cell r="BN338">
            <v>0</v>
          </cell>
          <cell r="BO338">
            <v>0</v>
          </cell>
          <cell r="BP338">
            <v>4400</v>
          </cell>
          <cell r="BQ338">
            <v>0</v>
          </cell>
          <cell r="BR338">
            <v>176</v>
          </cell>
          <cell r="BS338" t="str">
            <v>Y</v>
          </cell>
          <cell r="BT338">
            <v>1</v>
          </cell>
          <cell r="BU338">
            <v>1</v>
          </cell>
          <cell r="BV338" t="str">
            <v>N</v>
          </cell>
          <cell r="BW338">
            <v>0</v>
          </cell>
          <cell r="BX338">
            <v>0</v>
          </cell>
          <cell r="BY338">
            <v>2026</v>
          </cell>
          <cell r="BZ338" t="str">
            <v>-</v>
          </cell>
          <cell r="CA338" t="str">
            <v>-</v>
          </cell>
        </row>
        <row r="339">
          <cell r="A339" t="str">
            <v>Lucknow</v>
          </cell>
          <cell r="B339" t="str">
            <v>Mavericks</v>
          </cell>
          <cell r="C339" t="str">
            <v>Mid Level</v>
          </cell>
          <cell r="D339" t="str">
            <v>Mohammad Fakhrul</v>
          </cell>
          <cell r="E339" t="str">
            <v>-</v>
          </cell>
          <cell r="F339" t="str">
            <v>MSP</v>
          </cell>
          <cell r="H339" t="str">
            <v>Pass Through/MSP</v>
          </cell>
          <cell r="J339" t="str">
            <v>ACH</v>
          </cell>
          <cell r="L339" t="str">
            <v>New</v>
          </cell>
          <cell r="M339">
            <v>46098</v>
          </cell>
          <cell r="N339">
            <v>104</v>
          </cell>
          <cell r="P339">
            <v>46463</v>
          </cell>
          <cell r="Q339" t="str">
            <v>PLC-Passthrough</v>
          </cell>
          <cell r="R339" t="str">
            <v>Lennox Junior Cox</v>
          </cell>
          <cell r="S339" t="str">
            <v>Individual</v>
          </cell>
          <cell r="T339" t="str">
            <v>C2C</v>
          </cell>
          <cell r="U339" t="str">
            <v>Cigniti</v>
          </cell>
          <cell r="V339">
            <v>50</v>
          </cell>
          <cell r="W339">
            <v>0</v>
          </cell>
          <cell r="X339" t="str">
            <v>USD</v>
          </cell>
          <cell r="Y339">
            <v>52</v>
          </cell>
          <cell r="Z339">
            <v>0</v>
          </cell>
          <cell r="AA339">
            <v>0</v>
          </cell>
          <cell r="AB339">
            <v>0</v>
          </cell>
          <cell r="AC339">
            <v>46127</v>
          </cell>
          <cell r="AD339">
            <v>22</v>
          </cell>
          <cell r="AE339">
            <v>46387</v>
          </cell>
          <cell r="AF339">
            <v>50</v>
          </cell>
          <cell r="AG339">
            <v>0</v>
          </cell>
          <cell r="AH339">
            <v>50</v>
          </cell>
          <cell r="AI339">
            <v>52</v>
          </cell>
          <cell r="AJ339">
            <v>0</v>
          </cell>
          <cell r="AK339">
            <v>0</v>
          </cell>
          <cell r="AL339">
            <v>2</v>
          </cell>
          <cell r="AM339">
            <v>0</v>
          </cell>
          <cell r="AN339">
            <v>2</v>
          </cell>
          <cell r="AO339">
            <v>0</v>
          </cell>
          <cell r="AP339">
            <v>2</v>
          </cell>
          <cell r="AQ339" t="str">
            <v>US_CMSP_00717</v>
          </cell>
          <cell r="AR339">
            <v>0</v>
          </cell>
          <cell r="AS339">
            <v>176</v>
          </cell>
          <cell r="AU339">
            <v>176</v>
          </cell>
          <cell r="AV339">
            <v>0</v>
          </cell>
          <cell r="AW339">
            <v>352</v>
          </cell>
          <cell r="AX339">
            <v>348.48</v>
          </cell>
          <cell r="AY339">
            <v>0</v>
          </cell>
          <cell r="AZ339">
            <v>352</v>
          </cell>
          <cell r="BA339">
            <v>348.48</v>
          </cell>
          <cell r="BB339">
            <v>352</v>
          </cell>
          <cell r="BC339">
            <v>0</v>
          </cell>
          <cell r="BD339">
            <v>0</v>
          </cell>
          <cell r="BE339">
            <v>0</v>
          </cell>
          <cell r="BG339">
            <v>348.48</v>
          </cell>
          <cell r="BI339">
            <v>348.48</v>
          </cell>
          <cell r="BJ339">
            <v>9152</v>
          </cell>
          <cell r="BK339">
            <v>9152</v>
          </cell>
          <cell r="BL339">
            <v>8800</v>
          </cell>
          <cell r="BM339">
            <v>0</v>
          </cell>
          <cell r="BN339">
            <v>0</v>
          </cell>
          <cell r="BO339">
            <v>0</v>
          </cell>
          <cell r="BP339">
            <v>8800</v>
          </cell>
          <cell r="BQ339">
            <v>0</v>
          </cell>
          <cell r="BR339">
            <v>352</v>
          </cell>
          <cell r="BT339">
            <v>2</v>
          </cell>
          <cell r="BU339">
            <v>1</v>
          </cell>
          <cell r="BV339" t="str">
            <v>N</v>
          </cell>
          <cell r="BW339">
            <v>0</v>
          </cell>
          <cell r="BX339">
            <v>0</v>
          </cell>
          <cell r="BY339">
            <v>2026</v>
          </cell>
          <cell r="BZ339" t="str">
            <v>-</v>
          </cell>
          <cell r="CA339" t="str">
            <v>-</v>
          </cell>
        </row>
        <row r="340">
          <cell r="A340" t="str">
            <v>Lucknow</v>
          </cell>
          <cell r="B340" t="str">
            <v>Mavericks</v>
          </cell>
          <cell r="C340" t="str">
            <v>Mid Level</v>
          </cell>
          <cell r="D340" t="str">
            <v>Mohammad Fakhrul</v>
          </cell>
          <cell r="E340" t="str">
            <v>-</v>
          </cell>
          <cell r="F340" t="str">
            <v>MSP</v>
          </cell>
          <cell r="H340" t="str">
            <v>Pass Through/MSP</v>
          </cell>
          <cell r="J340" t="str">
            <v>ACH</v>
          </cell>
          <cell r="L340" t="str">
            <v>New</v>
          </cell>
          <cell r="M340">
            <v>46098</v>
          </cell>
          <cell r="N340">
            <v>104</v>
          </cell>
          <cell r="P340">
            <v>46463</v>
          </cell>
          <cell r="Q340" t="str">
            <v>PLC-Passthrough</v>
          </cell>
          <cell r="R340" t="str">
            <v>Lennox Junior Cox</v>
          </cell>
          <cell r="S340" t="str">
            <v>Individual</v>
          </cell>
          <cell r="T340" t="str">
            <v>C2C</v>
          </cell>
          <cell r="U340" t="str">
            <v>Cigniti</v>
          </cell>
          <cell r="V340">
            <v>50</v>
          </cell>
          <cell r="W340">
            <v>0</v>
          </cell>
          <cell r="X340" t="str">
            <v>USD</v>
          </cell>
          <cell r="Y340">
            <v>52</v>
          </cell>
          <cell r="Z340">
            <v>0</v>
          </cell>
          <cell r="AA340">
            <v>0</v>
          </cell>
          <cell r="AB340">
            <v>0</v>
          </cell>
          <cell r="AC340">
            <v>46157</v>
          </cell>
          <cell r="AD340">
            <v>22</v>
          </cell>
          <cell r="AE340">
            <v>46387</v>
          </cell>
          <cell r="AF340">
            <v>50</v>
          </cell>
          <cell r="AG340">
            <v>0</v>
          </cell>
          <cell r="AH340">
            <v>50</v>
          </cell>
          <cell r="AI340">
            <v>52</v>
          </cell>
          <cell r="AJ340">
            <v>0</v>
          </cell>
          <cell r="AK340">
            <v>0</v>
          </cell>
          <cell r="AL340">
            <v>2</v>
          </cell>
          <cell r="AM340">
            <v>0</v>
          </cell>
          <cell r="AN340">
            <v>2</v>
          </cell>
          <cell r="AO340">
            <v>0</v>
          </cell>
          <cell r="AP340">
            <v>2</v>
          </cell>
          <cell r="AQ340" t="str">
            <v>US_CMSP_00788</v>
          </cell>
          <cell r="AR340">
            <v>0</v>
          </cell>
          <cell r="AS340">
            <v>160</v>
          </cell>
          <cell r="AU340">
            <v>160</v>
          </cell>
          <cell r="AV340">
            <v>0</v>
          </cell>
          <cell r="AW340">
            <v>320</v>
          </cell>
          <cell r="AX340">
            <v>316.8</v>
          </cell>
          <cell r="AY340">
            <v>0</v>
          </cell>
          <cell r="AZ340">
            <v>320</v>
          </cell>
          <cell r="BA340">
            <v>316.8</v>
          </cell>
          <cell r="BB340">
            <v>320</v>
          </cell>
          <cell r="BC340">
            <v>0</v>
          </cell>
          <cell r="BD340">
            <v>0</v>
          </cell>
          <cell r="BE340">
            <v>0</v>
          </cell>
          <cell r="BG340">
            <v>316.8</v>
          </cell>
          <cell r="BI340">
            <v>316.8</v>
          </cell>
          <cell r="BJ340">
            <v>8320</v>
          </cell>
          <cell r="BK340">
            <v>8320</v>
          </cell>
          <cell r="BL340">
            <v>8000</v>
          </cell>
          <cell r="BM340">
            <v>0</v>
          </cell>
          <cell r="BN340">
            <v>0</v>
          </cell>
          <cell r="BO340">
            <v>0</v>
          </cell>
          <cell r="BP340">
            <v>8000</v>
          </cell>
          <cell r="BQ340">
            <v>0</v>
          </cell>
          <cell r="BR340">
            <v>320</v>
          </cell>
          <cell r="BT340">
            <v>2</v>
          </cell>
          <cell r="BU340">
            <v>1</v>
          </cell>
          <cell r="BV340" t="str">
            <v>N</v>
          </cell>
          <cell r="BW340">
            <v>0</v>
          </cell>
          <cell r="BX340">
            <v>0</v>
          </cell>
          <cell r="BY340">
            <v>2026</v>
          </cell>
          <cell r="BZ340" t="str">
            <v>-</v>
          </cell>
          <cell r="CA340" t="str">
            <v>-</v>
          </cell>
        </row>
        <row r="341">
          <cell r="A341" t="str">
            <v>Lucknow</v>
          </cell>
          <cell r="B341" t="str">
            <v>Mavericks</v>
          </cell>
          <cell r="C341" t="str">
            <v>Mid Level</v>
          </cell>
          <cell r="D341" t="str">
            <v>Mohammad Fakhrul</v>
          </cell>
          <cell r="E341" t="str">
            <v>-</v>
          </cell>
          <cell r="F341" t="str">
            <v>MSP</v>
          </cell>
          <cell r="H341" t="str">
            <v>Pass Through/MSP</v>
          </cell>
          <cell r="L341" t="str">
            <v>New</v>
          </cell>
          <cell r="M341">
            <v>46097</v>
          </cell>
          <cell r="N341">
            <v>105</v>
          </cell>
          <cell r="P341">
            <v>46462</v>
          </cell>
          <cell r="Q341" t="str">
            <v>PLC-Passthrough</v>
          </cell>
          <cell r="R341" t="str">
            <v>Leonard Audibert</v>
          </cell>
          <cell r="S341" t="str">
            <v>Individual</v>
          </cell>
          <cell r="T341" t="str">
            <v>C2C Canada</v>
          </cell>
          <cell r="U341" t="str">
            <v>CoForge</v>
          </cell>
          <cell r="V341">
            <v>146</v>
          </cell>
          <cell r="W341">
            <v>0</v>
          </cell>
          <cell r="X341" t="str">
            <v>CAD</v>
          </cell>
          <cell r="Y341">
            <v>150</v>
          </cell>
          <cell r="Z341">
            <v>0</v>
          </cell>
          <cell r="AA341">
            <v>0</v>
          </cell>
          <cell r="AB341">
            <v>0</v>
          </cell>
          <cell r="AC341">
            <v>46096</v>
          </cell>
          <cell r="AD341">
            <v>10</v>
          </cell>
          <cell r="AE341">
            <v>46387</v>
          </cell>
          <cell r="AF341">
            <v>103.66</v>
          </cell>
          <cell r="AG341">
            <v>0</v>
          </cell>
          <cell r="AH341">
            <v>103.66</v>
          </cell>
          <cell r="AI341">
            <v>106.5</v>
          </cell>
          <cell r="AJ341">
            <v>0</v>
          </cell>
          <cell r="AK341">
            <v>0</v>
          </cell>
          <cell r="AL341">
            <v>2.8400000000000034</v>
          </cell>
          <cell r="AM341">
            <v>0</v>
          </cell>
          <cell r="AN341">
            <v>2.8400000000000034</v>
          </cell>
          <cell r="AO341">
            <v>0</v>
          </cell>
          <cell r="AP341">
            <v>2.8400000000000034</v>
          </cell>
          <cell r="AQ341" t="str">
            <v>CAD_2039</v>
          </cell>
          <cell r="AR341">
            <v>0</v>
          </cell>
          <cell r="AS341">
            <v>96</v>
          </cell>
          <cell r="AU341">
            <v>96</v>
          </cell>
          <cell r="AV341">
            <v>0</v>
          </cell>
          <cell r="AW341">
            <v>272.64000000000033</v>
          </cell>
          <cell r="AX341">
            <v>272.64000000000033</v>
          </cell>
          <cell r="AY341">
            <v>0</v>
          </cell>
          <cell r="AZ341">
            <v>272.64000000000033</v>
          </cell>
          <cell r="BA341">
            <v>272.64000000000033</v>
          </cell>
          <cell r="BB341">
            <v>272.64000000000033</v>
          </cell>
          <cell r="BC341">
            <v>0</v>
          </cell>
          <cell r="BD341">
            <v>0</v>
          </cell>
          <cell r="BE341">
            <v>0</v>
          </cell>
          <cell r="BG341">
            <v>272.64000000000033</v>
          </cell>
          <cell r="BI341">
            <v>272.64000000000033</v>
          </cell>
          <cell r="BJ341">
            <v>14400</v>
          </cell>
          <cell r="BK341">
            <v>10224</v>
          </cell>
          <cell r="BL341">
            <v>10384.454400000001</v>
          </cell>
          <cell r="BM341">
            <v>0</v>
          </cell>
          <cell r="BN341">
            <v>0</v>
          </cell>
          <cell r="BO341">
            <v>0</v>
          </cell>
          <cell r="BP341">
            <v>10384.454400000001</v>
          </cell>
          <cell r="BQ341">
            <v>0</v>
          </cell>
          <cell r="BR341">
            <v>-160.45440000000053</v>
          </cell>
          <cell r="BS341" t="str">
            <v>Y</v>
          </cell>
          <cell r="BT341">
            <v>1</v>
          </cell>
          <cell r="BU341">
            <v>1</v>
          </cell>
          <cell r="BV341" t="str">
            <v>N</v>
          </cell>
          <cell r="BW341">
            <v>0</v>
          </cell>
          <cell r="BX341">
            <v>0</v>
          </cell>
          <cell r="BY341">
            <v>2026</v>
          </cell>
          <cell r="BZ341" t="str">
            <v>-</v>
          </cell>
          <cell r="CA341" t="str">
            <v>-</v>
          </cell>
        </row>
        <row r="342">
          <cell r="A342" t="str">
            <v>Lucknow</v>
          </cell>
          <cell r="B342" t="str">
            <v>Mavericks</v>
          </cell>
          <cell r="C342" t="str">
            <v>Mid Level</v>
          </cell>
          <cell r="D342" t="str">
            <v>Mohammad Fakhrul</v>
          </cell>
          <cell r="E342" t="str">
            <v>-</v>
          </cell>
          <cell r="F342" t="str">
            <v>MSP</v>
          </cell>
          <cell r="H342" t="str">
            <v>Pass Through/MSP</v>
          </cell>
          <cell r="J342" t="str">
            <v>ACH</v>
          </cell>
          <cell r="L342" t="str">
            <v>New</v>
          </cell>
          <cell r="M342">
            <v>46097</v>
          </cell>
          <cell r="N342">
            <v>105</v>
          </cell>
          <cell r="P342">
            <v>46462</v>
          </cell>
          <cell r="Q342" t="str">
            <v>PLC-Passthrough</v>
          </cell>
          <cell r="R342" t="str">
            <v>Leonard Audibert</v>
          </cell>
          <cell r="S342" t="str">
            <v>Individual</v>
          </cell>
          <cell r="T342" t="str">
            <v>C2C Canada</v>
          </cell>
          <cell r="U342" t="str">
            <v>CoForge</v>
          </cell>
          <cell r="V342">
            <v>146</v>
          </cell>
          <cell r="W342">
            <v>0</v>
          </cell>
          <cell r="X342" t="str">
            <v>CAD</v>
          </cell>
          <cell r="Y342">
            <v>150</v>
          </cell>
          <cell r="Z342">
            <v>0</v>
          </cell>
          <cell r="AA342">
            <v>0</v>
          </cell>
          <cell r="AB342">
            <v>0</v>
          </cell>
          <cell r="AC342">
            <v>46127</v>
          </cell>
          <cell r="AD342">
            <v>22</v>
          </cell>
          <cell r="AE342">
            <v>46387</v>
          </cell>
          <cell r="AF342">
            <v>103.66</v>
          </cell>
          <cell r="AG342">
            <v>0</v>
          </cell>
          <cell r="AH342">
            <v>103.66</v>
          </cell>
          <cell r="AI342">
            <v>106.5</v>
          </cell>
          <cell r="AJ342">
            <v>0</v>
          </cell>
          <cell r="AK342">
            <v>0</v>
          </cell>
          <cell r="AL342">
            <v>2.8400000000000034</v>
          </cell>
          <cell r="AM342">
            <v>0</v>
          </cell>
          <cell r="AN342">
            <v>2.8400000000000034</v>
          </cell>
          <cell r="AO342">
            <v>0</v>
          </cell>
          <cell r="AP342">
            <v>2.8400000000000034</v>
          </cell>
          <cell r="AQ342" t="str">
            <v>CAD_2106</v>
          </cell>
          <cell r="AR342">
            <v>0</v>
          </cell>
          <cell r="AS342">
            <v>176</v>
          </cell>
          <cell r="AU342">
            <v>176</v>
          </cell>
          <cell r="AV342">
            <v>0</v>
          </cell>
          <cell r="AW342">
            <v>499.8400000000006</v>
          </cell>
          <cell r="AX342">
            <v>494.8416000000006</v>
          </cell>
          <cell r="AY342">
            <v>0</v>
          </cell>
          <cell r="AZ342">
            <v>499.8400000000006</v>
          </cell>
          <cell r="BA342">
            <v>494.8416000000006</v>
          </cell>
          <cell r="BB342">
            <v>499.8400000000006</v>
          </cell>
          <cell r="BC342">
            <v>0</v>
          </cell>
          <cell r="BD342">
            <v>0</v>
          </cell>
          <cell r="BE342">
            <v>0</v>
          </cell>
          <cell r="BG342">
            <v>494.8416000000006</v>
          </cell>
          <cell r="BI342">
            <v>494.8416000000006</v>
          </cell>
          <cell r="BJ342">
            <v>26400</v>
          </cell>
          <cell r="BK342">
            <v>18744</v>
          </cell>
          <cell r="BL342">
            <v>19038.166400000002</v>
          </cell>
          <cell r="BM342">
            <v>0</v>
          </cell>
          <cell r="BN342">
            <v>0</v>
          </cell>
          <cell r="BO342">
            <v>0</v>
          </cell>
          <cell r="BP342">
            <v>19038.166400000002</v>
          </cell>
          <cell r="BQ342">
            <v>0</v>
          </cell>
          <cell r="BR342">
            <v>-294.16640000000189</v>
          </cell>
          <cell r="BT342">
            <v>2</v>
          </cell>
          <cell r="BU342">
            <v>1</v>
          </cell>
          <cell r="BV342" t="str">
            <v>N</v>
          </cell>
          <cell r="BW342">
            <v>0</v>
          </cell>
          <cell r="BX342">
            <v>0</v>
          </cell>
          <cell r="BY342">
            <v>2026</v>
          </cell>
          <cell r="BZ342" t="str">
            <v>-</v>
          </cell>
          <cell r="CA342" t="str">
            <v>-</v>
          </cell>
        </row>
        <row r="343">
          <cell r="A343" t="str">
            <v>Lucknow</v>
          </cell>
          <cell r="B343" t="str">
            <v>Mavericks</v>
          </cell>
          <cell r="C343" t="str">
            <v>Mid Level</v>
          </cell>
          <cell r="D343" t="str">
            <v>Mohammad Fakhrul</v>
          </cell>
          <cell r="E343" t="str">
            <v>-</v>
          </cell>
          <cell r="F343" t="str">
            <v>MSP</v>
          </cell>
          <cell r="H343" t="str">
            <v>Pass Through/MSP</v>
          </cell>
          <cell r="J343" t="str">
            <v>ACH</v>
          </cell>
          <cell r="L343" t="str">
            <v>New</v>
          </cell>
          <cell r="M343">
            <v>46097</v>
          </cell>
          <cell r="N343">
            <v>105</v>
          </cell>
          <cell r="P343">
            <v>46462</v>
          </cell>
          <cell r="Q343" t="str">
            <v>PLC-Passthrough</v>
          </cell>
          <cell r="R343" t="str">
            <v>Leonard Audibert</v>
          </cell>
          <cell r="S343" t="str">
            <v>Individual</v>
          </cell>
          <cell r="T343" t="str">
            <v>C2C Canada</v>
          </cell>
          <cell r="U343" t="str">
            <v>CoForge</v>
          </cell>
          <cell r="V343">
            <v>146</v>
          </cell>
          <cell r="W343">
            <v>0</v>
          </cell>
          <cell r="X343" t="str">
            <v>CAD</v>
          </cell>
          <cell r="Y343">
            <v>150</v>
          </cell>
          <cell r="Z343">
            <v>0</v>
          </cell>
          <cell r="AA343">
            <v>0</v>
          </cell>
          <cell r="AB343">
            <v>0</v>
          </cell>
          <cell r="AC343">
            <v>46157</v>
          </cell>
          <cell r="AD343">
            <v>22</v>
          </cell>
          <cell r="AE343">
            <v>46387</v>
          </cell>
          <cell r="AF343">
            <v>103.66</v>
          </cell>
          <cell r="AG343">
            <v>0</v>
          </cell>
          <cell r="AH343">
            <v>103.66</v>
          </cell>
          <cell r="AI343">
            <v>106.5</v>
          </cell>
          <cell r="AJ343">
            <v>0</v>
          </cell>
          <cell r="AK343">
            <v>0</v>
          </cell>
          <cell r="AL343">
            <v>2.8400000000000034</v>
          </cell>
          <cell r="AM343">
            <v>0</v>
          </cell>
          <cell r="AN343">
            <v>2.8400000000000034</v>
          </cell>
          <cell r="AO343">
            <v>0</v>
          </cell>
          <cell r="AP343">
            <v>2.8400000000000034</v>
          </cell>
          <cell r="AQ343" t="str">
            <v>CAD_2183</v>
          </cell>
          <cell r="AR343">
            <v>0</v>
          </cell>
          <cell r="AS343">
            <v>160</v>
          </cell>
          <cell r="AU343">
            <v>160</v>
          </cell>
          <cell r="AV343">
            <v>0</v>
          </cell>
          <cell r="AW343">
            <v>454.40000000000055</v>
          </cell>
          <cell r="AX343">
            <v>449.85600000000056</v>
          </cell>
          <cell r="AY343">
            <v>0</v>
          </cell>
          <cell r="AZ343">
            <v>454.40000000000055</v>
          </cell>
          <cell r="BA343">
            <v>449.85600000000056</v>
          </cell>
          <cell r="BB343">
            <v>454.40000000000055</v>
          </cell>
          <cell r="BC343">
            <v>0</v>
          </cell>
          <cell r="BD343">
            <v>0</v>
          </cell>
          <cell r="BE343">
            <v>0</v>
          </cell>
          <cell r="BG343">
            <v>449.85600000000056</v>
          </cell>
          <cell r="BI343">
            <v>449.85600000000056</v>
          </cell>
          <cell r="BJ343">
            <v>24000</v>
          </cell>
          <cell r="BK343">
            <v>17040</v>
          </cell>
          <cell r="BL343">
            <v>17307.423999999999</v>
          </cell>
          <cell r="BM343">
            <v>0</v>
          </cell>
          <cell r="BN343">
            <v>0</v>
          </cell>
          <cell r="BO343">
            <v>0</v>
          </cell>
          <cell r="BP343">
            <v>17307.423999999999</v>
          </cell>
          <cell r="BQ343">
            <v>0</v>
          </cell>
          <cell r="BR343">
            <v>-267.42399999999907</v>
          </cell>
          <cell r="BT343">
            <v>2</v>
          </cell>
          <cell r="BU343">
            <v>1</v>
          </cell>
          <cell r="BV343" t="str">
            <v>N</v>
          </cell>
          <cell r="BW343">
            <v>0</v>
          </cell>
          <cell r="BX343">
            <v>0</v>
          </cell>
          <cell r="BY343">
            <v>2026</v>
          </cell>
          <cell r="BZ343" t="str">
            <v>-</v>
          </cell>
          <cell r="CA343" t="str">
            <v>-</v>
          </cell>
        </row>
        <row r="344">
          <cell r="A344" t="str">
            <v>Lucknow</v>
          </cell>
          <cell r="B344" t="str">
            <v>Titans</v>
          </cell>
          <cell r="C344" t="str">
            <v>Mid Level</v>
          </cell>
          <cell r="D344" t="str">
            <v>Noor Beg</v>
          </cell>
          <cell r="E344" t="str">
            <v>-</v>
          </cell>
          <cell r="F344" t="str">
            <v>Non-MSP</v>
          </cell>
          <cell r="H344" t="str">
            <v>Pass Through</v>
          </cell>
          <cell r="L344" t="str">
            <v>New</v>
          </cell>
          <cell r="M344">
            <v>46042</v>
          </cell>
          <cell r="N344">
            <v>160</v>
          </cell>
          <cell r="O344">
            <v>46100</v>
          </cell>
          <cell r="P344">
            <v>46407</v>
          </cell>
          <cell r="Q344" t="str">
            <v>PLC-Passthrough</v>
          </cell>
          <cell r="R344" t="str">
            <v>Linnea Lee Mcwhirter</v>
          </cell>
          <cell r="S344" t="str">
            <v>Individual</v>
          </cell>
          <cell r="T344" t="str">
            <v>C2C</v>
          </cell>
          <cell r="U344" t="str">
            <v>Genpact</v>
          </cell>
          <cell r="V344">
            <v>140</v>
          </cell>
          <cell r="W344">
            <v>0</v>
          </cell>
          <cell r="X344" t="str">
            <v>USD</v>
          </cell>
          <cell r="Y344">
            <v>145</v>
          </cell>
          <cell r="Z344">
            <v>0</v>
          </cell>
          <cell r="AA344">
            <v>0</v>
          </cell>
          <cell r="AB344">
            <v>0</v>
          </cell>
          <cell r="AC344">
            <v>46037</v>
          </cell>
          <cell r="AD344">
            <v>8</v>
          </cell>
          <cell r="AE344">
            <v>46387</v>
          </cell>
          <cell r="AF344">
            <v>140</v>
          </cell>
          <cell r="AG344">
            <v>0</v>
          </cell>
          <cell r="AH344">
            <v>140</v>
          </cell>
          <cell r="AI344">
            <v>145</v>
          </cell>
          <cell r="AJ344">
            <v>0</v>
          </cell>
          <cell r="AK344">
            <v>0</v>
          </cell>
          <cell r="AL344">
            <v>5</v>
          </cell>
          <cell r="AM344">
            <v>0</v>
          </cell>
          <cell r="AN344">
            <v>5</v>
          </cell>
          <cell r="AO344">
            <v>0</v>
          </cell>
          <cell r="AP344">
            <v>5</v>
          </cell>
          <cell r="AQ344" t="str">
            <v>US_GB_00005</v>
          </cell>
          <cell r="AR344">
            <v>0</v>
          </cell>
          <cell r="AS344">
            <v>72</v>
          </cell>
          <cell r="AU344">
            <v>72</v>
          </cell>
          <cell r="AV344">
            <v>0</v>
          </cell>
          <cell r="AW344">
            <v>360</v>
          </cell>
          <cell r="AX344">
            <v>360</v>
          </cell>
          <cell r="AY344">
            <v>0</v>
          </cell>
          <cell r="AZ344">
            <v>360</v>
          </cell>
          <cell r="BA344">
            <v>360</v>
          </cell>
          <cell r="BB344">
            <v>360</v>
          </cell>
          <cell r="BC344">
            <v>0</v>
          </cell>
          <cell r="BD344">
            <v>0</v>
          </cell>
          <cell r="BE344">
            <v>0</v>
          </cell>
          <cell r="BG344">
            <v>360</v>
          </cell>
          <cell r="BI344">
            <v>360</v>
          </cell>
          <cell r="BJ344">
            <v>10440</v>
          </cell>
          <cell r="BK344">
            <v>10440</v>
          </cell>
          <cell r="BL344">
            <v>10080</v>
          </cell>
          <cell r="BM344">
            <v>0</v>
          </cell>
          <cell r="BN344">
            <v>0</v>
          </cell>
          <cell r="BO344">
            <v>0</v>
          </cell>
          <cell r="BP344">
            <v>10080</v>
          </cell>
          <cell r="BQ344">
            <v>0</v>
          </cell>
          <cell r="BR344">
            <v>360</v>
          </cell>
          <cell r="BS344" t="str">
            <v>Y</v>
          </cell>
          <cell r="BT344">
            <v>1</v>
          </cell>
          <cell r="BU344">
            <v>1</v>
          </cell>
          <cell r="BV344" t="str">
            <v>Y</v>
          </cell>
          <cell r="BW344">
            <v>0</v>
          </cell>
          <cell r="BX344">
            <v>0</v>
          </cell>
          <cell r="BY344">
            <v>2026</v>
          </cell>
          <cell r="BZ344" t="str">
            <v>-</v>
          </cell>
          <cell r="CA344" t="str">
            <v>-</v>
          </cell>
        </row>
        <row r="345">
          <cell r="A345" t="str">
            <v>Lucknow</v>
          </cell>
          <cell r="B345" t="str">
            <v>Titans</v>
          </cell>
          <cell r="C345" t="str">
            <v>Mid Level</v>
          </cell>
          <cell r="D345" t="str">
            <v>Noor Beg</v>
          </cell>
          <cell r="E345" t="str">
            <v>-</v>
          </cell>
          <cell r="F345" t="str">
            <v>Non-MSP</v>
          </cell>
          <cell r="H345" t="str">
            <v>Pass Through</v>
          </cell>
          <cell r="L345" t="str">
            <v>New</v>
          </cell>
          <cell r="M345">
            <v>46042</v>
          </cell>
          <cell r="N345">
            <v>160</v>
          </cell>
          <cell r="O345">
            <v>46100</v>
          </cell>
          <cell r="P345">
            <v>46407</v>
          </cell>
          <cell r="Q345" t="str">
            <v>PLC-Passthrough</v>
          </cell>
          <cell r="R345" t="str">
            <v>Linnea Lee Mcwhirter</v>
          </cell>
          <cell r="S345" t="str">
            <v>Individual</v>
          </cell>
          <cell r="T345" t="str">
            <v>C2C</v>
          </cell>
          <cell r="U345" t="str">
            <v>Genpact</v>
          </cell>
          <cell r="V345">
            <v>140</v>
          </cell>
          <cell r="W345">
            <v>0</v>
          </cell>
          <cell r="X345" t="str">
            <v>USD</v>
          </cell>
          <cell r="Y345">
            <v>145</v>
          </cell>
          <cell r="Z345">
            <v>0</v>
          </cell>
          <cell r="AA345">
            <v>0</v>
          </cell>
          <cell r="AB345">
            <v>0</v>
          </cell>
          <cell r="AC345">
            <v>46068</v>
          </cell>
          <cell r="AD345">
            <v>20</v>
          </cell>
          <cell r="AE345">
            <v>46387</v>
          </cell>
          <cell r="AF345">
            <v>140</v>
          </cell>
          <cell r="AG345">
            <v>0</v>
          </cell>
          <cell r="AH345">
            <v>140</v>
          </cell>
          <cell r="AI345">
            <v>145</v>
          </cell>
          <cell r="AJ345">
            <v>0</v>
          </cell>
          <cell r="AK345">
            <v>0</v>
          </cell>
          <cell r="AL345">
            <v>5</v>
          </cell>
          <cell r="AM345">
            <v>0</v>
          </cell>
          <cell r="AN345">
            <v>5</v>
          </cell>
          <cell r="AO345">
            <v>0</v>
          </cell>
          <cell r="AP345">
            <v>5</v>
          </cell>
          <cell r="AQ345" t="str">
            <v>US_GB_00018</v>
          </cell>
          <cell r="AR345">
            <v>0</v>
          </cell>
          <cell r="AS345">
            <v>152</v>
          </cell>
          <cell r="AU345">
            <v>152</v>
          </cell>
          <cell r="AV345">
            <v>0</v>
          </cell>
          <cell r="AW345">
            <v>760</v>
          </cell>
          <cell r="AX345">
            <v>760</v>
          </cell>
          <cell r="AY345">
            <v>0</v>
          </cell>
          <cell r="AZ345">
            <v>760</v>
          </cell>
          <cell r="BA345">
            <v>760</v>
          </cell>
          <cell r="BB345">
            <v>760</v>
          </cell>
          <cell r="BC345">
            <v>0</v>
          </cell>
          <cell r="BD345">
            <v>0</v>
          </cell>
          <cell r="BE345">
            <v>0</v>
          </cell>
          <cell r="BG345">
            <v>760</v>
          </cell>
          <cell r="BI345">
            <v>760</v>
          </cell>
          <cell r="BJ345">
            <v>22040</v>
          </cell>
          <cell r="BK345">
            <v>22040</v>
          </cell>
          <cell r="BL345">
            <v>21280</v>
          </cell>
          <cell r="BM345">
            <v>0</v>
          </cell>
          <cell r="BN345">
            <v>0</v>
          </cell>
          <cell r="BO345">
            <v>0</v>
          </cell>
          <cell r="BP345">
            <v>21280</v>
          </cell>
          <cell r="BQ345">
            <v>0</v>
          </cell>
          <cell r="BR345">
            <v>760</v>
          </cell>
          <cell r="BS345" t="str">
            <v>Y</v>
          </cell>
          <cell r="BT345">
            <v>1</v>
          </cell>
          <cell r="BU345">
            <v>1</v>
          </cell>
          <cell r="BV345" t="str">
            <v>Y</v>
          </cell>
          <cell r="BW345">
            <v>0</v>
          </cell>
          <cell r="BX345">
            <v>0</v>
          </cell>
          <cell r="BY345">
            <v>2026</v>
          </cell>
          <cell r="BZ345" t="str">
            <v>-</v>
          </cell>
          <cell r="CA345" t="str">
            <v>-</v>
          </cell>
        </row>
        <row r="346">
          <cell r="A346" t="str">
            <v>Lucknow</v>
          </cell>
          <cell r="B346" t="str">
            <v>Titans</v>
          </cell>
          <cell r="C346" t="str">
            <v>Mid Level</v>
          </cell>
          <cell r="D346" t="str">
            <v>Noor Beg</v>
          </cell>
          <cell r="E346" t="str">
            <v>-</v>
          </cell>
          <cell r="F346" t="str">
            <v>Non-MSP</v>
          </cell>
          <cell r="H346" t="str">
            <v>Pass Through</v>
          </cell>
          <cell r="L346" t="str">
            <v>New</v>
          </cell>
          <cell r="M346">
            <v>46042</v>
          </cell>
          <cell r="N346">
            <v>160</v>
          </cell>
          <cell r="O346">
            <v>46100</v>
          </cell>
          <cell r="P346">
            <v>46407</v>
          </cell>
          <cell r="Q346" t="str">
            <v>PLC-Passthrough</v>
          </cell>
          <cell r="R346" t="str">
            <v>Linnea Lee Mcwhirter</v>
          </cell>
          <cell r="S346" t="str">
            <v>Individual</v>
          </cell>
          <cell r="T346" t="str">
            <v>C2C</v>
          </cell>
          <cell r="U346" t="str">
            <v>Genpact</v>
          </cell>
          <cell r="V346">
            <v>140</v>
          </cell>
          <cell r="W346">
            <v>0</v>
          </cell>
          <cell r="X346" t="str">
            <v>USD</v>
          </cell>
          <cell r="Y346">
            <v>145</v>
          </cell>
          <cell r="Z346">
            <v>0</v>
          </cell>
          <cell r="AA346">
            <v>0</v>
          </cell>
          <cell r="AB346">
            <v>0</v>
          </cell>
          <cell r="AC346">
            <v>46096</v>
          </cell>
          <cell r="AD346">
            <v>22</v>
          </cell>
          <cell r="AE346">
            <v>46387</v>
          </cell>
          <cell r="AF346">
            <v>140</v>
          </cell>
          <cell r="AG346">
            <v>0</v>
          </cell>
          <cell r="AH346">
            <v>140</v>
          </cell>
          <cell r="AI346">
            <v>145</v>
          </cell>
          <cell r="AJ346">
            <v>0</v>
          </cell>
          <cell r="AK346">
            <v>0</v>
          </cell>
          <cell r="AL346">
            <v>5</v>
          </cell>
          <cell r="AM346">
            <v>0</v>
          </cell>
          <cell r="AN346">
            <v>5</v>
          </cell>
          <cell r="AO346">
            <v>0</v>
          </cell>
          <cell r="AP346">
            <v>5</v>
          </cell>
          <cell r="AQ346" t="str">
            <v>US_GB_00033</v>
          </cell>
          <cell r="AR346">
            <v>0</v>
          </cell>
          <cell r="AS346">
            <v>112</v>
          </cell>
          <cell r="AU346">
            <v>112</v>
          </cell>
          <cell r="AV346">
            <v>0</v>
          </cell>
          <cell r="AW346">
            <v>560</v>
          </cell>
          <cell r="AX346">
            <v>560</v>
          </cell>
          <cell r="AY346">
            <v>0</v>
          </cell>
          <cell r="AZ346">
            <v>560</v>
          </cell>
          <cell r="BA346">
            <v>560</v>
          </cell>
          <cell r="BB346">
            <v>560</v>
          </cell>
          <cell r="BC346">
            <v>0</v>
          </cell>
          <cell r="BD346">
            <v>0</v>
          </cell>
          <cell r="BE346">
            <v>0</v>
          </cell>
          <cell r="BG346">
            <v>560</v>
          </cell>
          <cell r="BI346">
            <v>560</v>
          </cell>
          <cell r="BJ346">
            <v>16240</v>
          </cell>
          <cell r="BK346">
            <v>16240</v>
          </cell>
          <cell r="BL346">
            <v>15680</v>
          </cell>
          <cell r="BM346">
            <v>0</v>
          </cell>
          <cell r="BN346">
            <v>0</v>
          </cell>
          <cell r="BO346">
            <v>0</v>
          </cell>
          <cell r="BP346">
            <v>15680</v>
          </cell>
          <cell r="BQ346">
            <v>0</v>
          </cell>
          <cell r="BR346">
            <v>560</v>
          </cell>
          <cell r="BS346" t="str">
            <v>Y</v>
          </cell>
          <cell r="BT346">
            <v>1</v>
          </cell>
          <cell r="BU346">
            <v>1</v>
          </cell>
          <cell r="BV346" t="str">
            <v>Y</v>
          </cell>
          <cell r="BW346">
            <v>0</v>
          </cell>
          <cell r="BX346">
            <v>0</v>
          </cell>
          <cell r="BY346">
            <v>2026</v>
          </cell>
          <cell r="BZ346" t="str">
            <v>-</v>
          </cell>
          <cell r="CA346" t="str">
            <v>-</v>
          </cell>
        </row>
        <row r="347">
          <cell r="A347" t="str">
            <v>Lucknow</v>
          </cell>
          <cell r="B347" t="str">
            <v>Titans</v>
          </cell>
          <cell r="C347" t="str">
            <v>Mid Level</v>
          </cell>
          <cell r="D347" t="str">
            <v>Nitin Saxena</v>
          </cell>
          <cell r="E347" t="str">
            <v>-</v>
          </cell>
          <cell r="F347" t="str">
            <v>Non-MSP</v>
          </cell>
          <cell r="H347" t="str">
            <v>Ratnesh Kashyap</v>
          </cell>
          <cell r="L347" t="str">
            <v>New</v>
          </cell>
          <cell r="M347">
            <v>46029</v>
          </cell>
          <cell r="N347">
            <v>173</v>
          </cell>
          <cell r="P347">
            <v>46394</v>
          </cell>
          <cell r="Q347" t="str">
            <v>PLC-4669</v>
          </cell>
          <cell r="R347" t="str">
            <v>Lokesh Patil</v>
          </cell>
          <cell r="S347" t="str">
            <v>Individual</v>
          </cell>
          <cell r="T347" t="str">
            <v>C2C Canada</v>
          </cell>
          <cell r="U347" t="str">
            <v>Genpact</v>
          </cell>
          <cell r="V347">
            <v>50</v>
          </cell>
          <cell r="W347">
            <v>0</v>
          </cell>
          <cell r="X347" t="str">
            <v>CAD</v>
          </cell>
          <cell r="Y347">
            <v>60</v>
          </cell>
          <cell r="Z347">
            <v>0</v>
          </cell>
          <cell r="AA347">
            <v>0</v>
          </cell>
          <cell r="AB347">
            <v>0</v>
          </cell>
          <cell r="AC347">
            <v>46037</v>
          </cell>
          <cell r="AD347">
            <v>18</v>
          </cell>
          <cell r="AE347">
            <v>46387</v>
          </cell>
          <cell r="AF347">
            <v>35.5</v>
          </cell>
          <cell r="AG347">
            <v>0</v>
          </cell>
          <cell r="AH347">
            <v>35.5</v>
          </cell>
          <cell r="AI347">
            <v>42.599999999999994</v>
          </cell>
          <cell r="AJ347">
            <v>0</v>
          </cell>
          <cell r="AK347">
            <v>0</v>
          </cell>
          <cell r="AL347">
            <v>7.0999999999999943</v>
          </cell>
          <cell r="AM347">
            <v>0</v>
          </cell>
          <cell r="AN347">
            <v>7.0999999999999943</v>
          </cell>
          <cell r="AO347">
            <v>0</v>
          </cell>
          <cell r="AP347">
            <v>7.0999999999999943</v>
          </cell>
          <cell r="AQ347" t="str">
            <v>CAD_1884</v>
          </cell>
          <cell r="AR347">
            <v>0</v>
          </cell>
          <cell r="AS347">
            <v>144</v>
          </cell>
          <cell r="AU347">
            <v>144</v>
          </cell>
          <cell r="AV347">
            <v>0</v>
          </cell>
          <cell r="AW347">
            <v>1022.3999999999992</v>
          </cell>
          <cell r="AX347">
            <v>1022.3999999999992</v>
          </cell>
          <cell r="AY347">
            <v>0</v>
          </cell>
          <cell r="AZ347">
            <v>1022.3999999999992</v>
          </cell>
          <cell r="BA347">
            <v>1022.3999999999992</v>
          </cell>
          <cell r="BB347">
            <v>1022.3999999999992</v>
          </cell>
          <cell r="BC347">
            <v>0</v>
          </cell>
          <cell r="BD347">
            <v>0</v>
          </cell>
          <cell r="BE347">
            <v>0</v>
          </cell>
          <cell r="BG347">
            <v>1022.3999999999992</v>
          </cell>
          <cell r="BI347">
            <v>1022.3999999999992</v>
          </cell>
          <cell r="BJ347">
            <v>8640</v>
          </cell>
          <cell r="BK347">
            <v>6134.4</v>
          </cell>
          <cell r="BL347">
            <v>5334.4800000000005</v>
          </cell>
          <cell r="BM347">
            <v>0</v>
          </cell>
          <cell r="BN347">
            <v>0</v>
          </cell>
          <cell r="BO347">
            <v>0</v>
          </cell>
          <cell r="BP347">
            <v>5334.4800000000005</v>
          </cell>
          <cell r="BQ347">
            <v>0</v>
          </cell>
          <cell r="BR347">
            <v>799.91999999999916</v>
          </cell>
          <cell r="BS347" t="str">
            <v>Y</v>
          </cell>
          <cell r="BT347">
            <v>1</v>
          </cell>
          <cell r="BU347">
            <v>1</v>
          </cell>
          <cell r="BV347" t="str">
            <v>Y</v>
          </cell>
          <cell r="BW347">
            <v>0</v>
          </cell>
          <cell r="BX347">
            <v>0</v>
          </cell>
          <cell r="BY347">
            <v>2026</v>
          </cell>
          <cell r="BZ347" t="str">
            <v>-</v>
          </cell>
          <cell r="CA347" t="str">
            <v>-</v>
          </cell>
        </row>
        <row r="348">
          <cell r="A348" t="str">
            <v>Lucknow</v>
          </cell>
          <cell r="B348" t="str">
            <v>Titans</v>
          </cell>
          <cell r="C348" t="str">
            <v>Mid Level</v>
          </cell>
          <cell r="D348" t="str">
            <v>Nitin Saxena</v>
          </cell>
          <cell r="E348" t="str">
            <v>-</v>
          </cell>
          <cell r="F348" t="str">
            <v>Non-MSP</v>
          </cell>
          <cell r="H348" t="str">
            <v>Ratnesh Kashyap</v>
          </cell>
          <cell r="L348" t="str">
            <v>New</v>
          </cell>
          <cell r="M348">
            <v>46029</v>
          </cell>
          <cell r="N348">
            <v>173</v>
          </cell>
          <cell r="P348">
            <v>46394</v>
          </cell>
          <cell r="Q348" t="str">
            <v>PLC-4669</v>
          </cell>
          <cell r="R348" t="str">
            <v>Lokesh Patil</v>
          </cell>
          <cell r="S348" t="str">
            <v>Individual</v>
          </cell>
          <cell r="T348" t="str">
            <v>C2C Canada</v>
          </cell>
          <cell r="U348" t="str">
            <v>Genpact</v>
          </cell>
          <cell r="V348">
            <v>50</v>
          </cell>
          <cell r="W348">
            <v>0</v>
          </cell>
          <cell r="X348" t="str">
            <v>CAD</v>
          </cell>
          <cell r="Y348">
            <v>60</v>
          </cell>
          <cell r="Z348">
            <v>0</v>
          </cell>
          <cell r="AA348">
            <v>0</v>
          </cell>
          <cell r="AB348">
            <v>0</v>
          </cell>
          <cell r="AC348">
            <v>46068</v>
          </cell>
          <cell r="AD348">
            <v>20</v>
          </cell>
          <cell r="AE348">
            <v>46387</v>
          </cell>
          <cell r="AF348">
            <v>35.5</v>
          </cell>
          <cell r="AG348">
            <v>0</v>
          </cell>
          <cell r="AH348">
            <v>35.5</v>
          </cell>
          <cell r="AI348">
            <v>42.599999999999994</v>
          </cell>
          <cell r="AJ348">
            <v>0</v>
          </cell>
          <cell r="AK348">
            <v>0</v>
          </cell>
          <cell r="AL348">
            <v>7.0999999999999943</v>
          </cell>
          <cell r="AM348">
            <v>0</v>
          </cell>
          <cell r="AN348">
            <v>7.0999999999999943</v>
          </cell>
          <cell r="AO348">
            <v>0</v>
          </cell>
          <cell r="AP348">
            <v>7.0999999999999943</v>
          </cell>
          <cell r="AQ348" t="str">
            <v>CAD_1987</v>
          </cell>
          <cell r="AR348">
            <v>0</v>
          </cell>
          <cell r="AS348">
            <v>152</v>
          </cell>
          <cell r="AU348">
            <v>152</v>
          </cell>
          <cell r="AV348">
            <v>0</v>
          </cell>
          <cell r="AW348">
            <v>1079.1999999999991</v>
          </cell>
          <cell r="AX348">
            <v>1079.1999999999991</v>
          </cell>
          <cell r="AY348">
            <v>0</v>
          </cell>
          <cell r="AZ348">
            <v>1079.1999999999991</v>
          </cell>
          <cell r="BA348">
            <v>1079.1999999999991</v>
          </cell>
          <cell r="BB348">
            <v>1079.1999999999991</v>
          </cell>
          <cell r="BC348">
            <v>0</v>
          </cell>
          <cell r="BD348">
            <v>0</v>
          </cell>
          <cell r="BE348">
            <v>0</v>
          </cell>
          <cell r="BG348">
            <v>1079.1999999999991</v>
          </cell>
          <cell r="BI348">
            <v>1079.1999999999991</v>
          </cell>
          <cell r="BJ348">
            <v>9120</v>
          </cell>
          <cell r="BK348">
            <v>6475.1999999999989</v>
          </cell>
          <cell r="BL348">
            <v>5630.84</v>
          </cell>
          <cell r="BM348">
            <v>0</v>
          </cell>
          <cell r="BN348">
            <v>0</v>
          </cell>
          <cell r="BO348">
            <v>0</v>
          </cell>
          <cell r="BP348">
            <v>5630.84</v>
          </cell>
          <cell r="BQ348">
            <v>0</v>
          </cell>
          <cell r="BR348">
            <v>844.35999999999876</v>
          </cell>
          <cell r="BS348" t="str">
            <v>Y</v>
          </cell>
          <cell r="BT348">
            <v>1</v>
          </cell>
          <cell r="BU348">
            <v>1</v>
          </cell>
          <cell r="BV348" t="str">
            <v>Y</v>
          </cell>
          <cell r="BW348">
            <v>0</v>
          </cell>
          <cell r="BX348">
            <v>0</v>
          </cell>
          <cell r="BY348">
            <v>2026</v>
          </cell>
          <cell r="BZ348" t="str">
            <v>-</v>
          </cell>
          <cell r="CA348" t="str">
            <v>-</v>
          </cell>
        </row>
        <row r="349">
          <cell r="A349" t="str">
            <v>Lucknow</v>
          </cell>
          <cell r="B349" t="str">
            <v>Titans</v>
          </cell>
          <cell r="C349" t="str">
            <v>Mid Level</v>
          </cell>
          <cell r="D349" t="str">
            <v>Nitin Saxena</v>
          </cell>
          <cell r="E349" t="str">
            <v>-</v>
          </cell>
          <cell r="F349" t="str">
            <v>Non-MSP</v>
          </cell>
          <cell r="H349" t="str">
            <v>Ratnesh Kashyap</v>
          </cell>
          <cell r="L349" t="str">
            <v>New</v>
          </cell>
          <cell r="M349">
            <v>46029</v>
          </cell>
          <cell r="N349">
            <v>173</v>
          </cell>
          <cell r="P349">
            <v>46394</v>
          </cell>
          <cell r="Q349" t="str">
            <v>PLC-4669</v>
          </cell>
          <cell r="R349" t="str">
            <v>Lokesh Patil</v>
          </cell>
          <cell r="S349" t="str">
            <v>Individual</v>
          </cell>
          <cell r="T349" t="str">
            <v>C2C Canada</v>
          </cell>
          <cell r="U349" t="str">
            <v>Genpact</v>
          </cell>
          <cell r="V349">
            <v>50</v>
          </cell>
          <cell r="W349">
            <v>0</v>
          </cell>
          <cell r="X349" t="str">
            <v>CAD</v>
          </cell>
          <cell r="Y349">
            <v>60</v>
          </cell>
          <cell r="Z349">
            <v>0</v>
          </cell>
          <cell r="AA349">
            <v>0</v>
          </cell>
          <cell r="AB349">
            <v>0</v>
          </cell>
          <cell r="AC349">
            <v>46096</v>
          </cell>
          <cell r="AD349">
            <v>22</v>
          </cell>
          <cell r="AE349">
            <v>46387</v>
          </cell>
          <cell r="AF349">
            <v>35.5</v>
          </cell>
          <cell r="AG349">
            <v>0</v>
          </cell>
          <cell r="AH349">
            <v>35.5</v>
          </cell>
          <cell r="AI349">
            <v>42.599999999999994</v>
          </cell>
          <cell r="AJ349">
            <v>0</v>
          </cell>
          <cell r="AK349">
            <v>0</v>
          </cell>
          <cell r="AL349">
            <v>7.0999999999999943</v>
          </cell>
          <cell r="AM349">
            <v>0</v>
          </cell>
          <cell r="AN349">
            <v>7.0999999999999943</v>
          </cell>
          <cell r="AO349">
            <v>0</v>
          </cell>
          <cell r="AP349">
            <v>7.0999999999999943</v>
          </cell>
          <cell r="AQ349" t="str">
            <v>CAD_2027</v>
          </cell>
          <cell r="AR349">
            <v>0</v>
          </cell>
          <cell r="AS349">
            <v>176</v>
          </cell>
          <cell r="AU349">
            <v>176</v>
          </cell>
          <cell r="AV349">
            <v>0</v>
          </cell>
          <cell r="AW349">
            <v>1249.599999999999</v>
          </cell>
          <cell r="AX349">
            <v>1249.599999999999</v>
          </cell>
          <cell r="AY349">
            <v>0</v>
          </cell>
          <cell r="AZ349">
            <v>1249.599999999999</v>
          </cell>
          <cell r="BA349">
            <v>1249.599999999999</v>
          </cell>
          <cell r="BB349">
            <v>1249.599999999999</v>
          </cell>
          <cell r="BC349">
            <v>0</v>
          </cell>
          <cell r="BD349">
            <v>0</v>
          </cell>
          <cell r="BE349">
            <v>0</v>
          </cell>
          <cell r="BG349">
            <v>1249.599999999999</v>
          </cell>
          <cell r="BI349">
            <v>1249.599999999999</v>
          </cell>
          <cell r="BJ349">
            <v>10560</v>
          </cell>
          <cell r="BK349">
            <v>7497.5999999999985</v>
          </cell>
          <cell r="BL349">
            <v>6519.92</v>
          </cell>
          <cell r="BM349">
            <v>0</v>
          </cell>
          <cell r="BN349">
            <v>0</v>
          </cell>
          <cell r="BO349">
            <v>0</v>
          </cell>
          <cell r="BP349">
            <v>6519.92</v>
          </cell>
          <cell r="BQ349">
            <v>0</v>
          </cell>
          <cell r="BR349">
            <v>977.67999999999847</v>
          </cell>
          <cell r="BS349" t="str">
            <v>Y</v>
          </cell>
          <cell r="BT349">
            <v>1</v>
          </cell>
          <cell r="BU349">
            <v>1</v>
          </cell>
          <cell r="BV349" t="str">
            <v>Y</v>
          </cell>
          <cell r="BW349">
            <v>0</v>
          </cell>
          <cell r="BX349">
            <v>0</v>
          </cell>
          <cell r="BY349">
            <v>2026</v>
          </cell>
          <cell r="BZ349" t="str">
            <v>-</v>
          </cell>
          <cell r="CA349" t="str">
            <v>-</v>
          </cell>
        </row>
        <row r="350">
          <cell r="A350" t="str">
            <v>Lucknow</v>
          </cell>
          <cell r="B350" t="str">
            <v>Titans</v>
          </cell>
          <cell r="C350" t="str">
            <v>Mid Level</v>
          </cell>
          <cell r="D350" t="str">
            <v>Nitin Saxena</v>
          </cell>
          <cell r="E350" t="str">
            <v>-</v>
          </cell>
          <cell r="F350" t="str">
            <v>Non-MSP</v>
          </cell>
          <cell r="H350" t="str">
            <v>Ratnesh Kashyap</v>
          </cell>
          <cell r="J350" t="str">
            <v>ACH</v>
          </cell>
          <cell r="L350" t="str">
            <v>New</v>
          </cell>
          <cell r="M350">
            <v>46029</v>
          </cell>
          <cell r="N350">
            <v>173</v>
          </cell>
          <cell r="P350">
            <v>46394</v>
          </cell>
          <cell r="Q350" t="str">
            <v>PLC-4669</v>
          </cell>
          <cell r="R350" t="str">
            <v>Lokesh Patil</v>
          </cell>
          <cell r="S350" t="str">
            <v>Individual</v>
          </cell>
          <cell r="T350" t="str">
            <v>C2C Canada</v>
          </cell>
          <cell r="U350" t="str">
            <v>Genpact</v>
          </cell>
          <cell r="V350">
            <v>50</v>
          </cell>
          <cell r="W350">
            <v>0</v>
          </cell>
          <cell r="X350" t="str">
            <v>CAD</v>
          </cell>
          <cell r="Y350">
            <v>60</v>
          </cell>
          <cell r="Z350">
            <v>0</v>
          </cell>
          <cell r="AA350">
            <v>0</v>
          </cell>
          <cell r="AB350">
            <v>0</v>
          </cell>
          <cell r="AC350">
            <v>46127</v>
          </cell>
          <cell r="AD350">
            <v>22</v>
          </cell>
          <cell r="AE350">
            <v>46387</v>
          </cell>
          <cell r="AF350">
            <v>35.5</v>
          </cell>
          <cell r="AG350">
            <v>0</v>
          </cell>
          <cell r="AH350">
            <v>35.5</v>
          </cell>
          <cell r="AI350">
            <v>42.599999999999994</v>
          </cell>
          <cell r="AJ350">
            <v>0</v>
          </cell>
          <cell r="AK350">
            <v>0</v>
          </cell>
          <cell r="AL350">
            <v>7.0999999999999943</v>
          </cell>
          <cell r="AM350">
            <v>0</v>
          </cell>
          <cell r="AN350">
            <v>7.0999999999999943</v>
          </cell>
          <cell r="AO350">
            <v>0</v>
          </cell>
          <cell r="AP350">
            <v>7.0999999999999943</v>
          </cell>
          <cell r="AQ350" t="str">
            <v>CAD_2139</v>
          </cell>
          <cell r="AR350">
            <v>0</v>
          </cell>
          <cell r="AS350">
            <v>168</v>
          </cell>
          <cell r="AU350">
            <v>168</v>
          </cell>
          <cell r="AV350">
            <v>0</v>
          </cell>
          <cell r="AW350">
            <v>1192.799999999999</v>
          </cell>
          <cell r="AX350">
            <v>1180.8719999999989</v>
          </cell>
          <cell r="AY350">
            <v>0</v>
          </cell>
          <cell r="AZ350">
            <v>1192.799999999999</v>
          </cell>
          <cell r="BA350">
            <v>1180.8719999999989</v>
          </cell>
          <cell r="BB350">
            <v>1192.799999999999</v>
          </cell>
          <cell r="BC350">
            <v>0</v>
          </cell>
          <cell r="BD350">
            <v>0</v>
          </cell>
          <cell r="BE350">
            <v>0</v>
          </cell>
          <cell r="BG350">
            <v>1180.8719999999989</v>
          </cell>
          <cell r="BI350">
            <v>1180.8719999999989</v>
          </cell>
          <cell r="BJ350">
            <v>10080</v>
          </cell>
          <cell r="BK350">
            <v>7156.7999999999993</v>
          </cell>
          <cell r="BL350">
            <v>6223.56</v>
          </cell>
          <cell r="BM350">
            <v>0</v>
          </cell>
          <cell r="BN350">
            <v>0</v>
          </cell>
          <cell r="BO350">
            <v>0</v>
          </cell>
          <cell r="BP350">
            <v>6223.56</v>
          </cell>
          <cell r="BQ350">
            <v>0</v>
          </cell>
          <cell r="BR350">
            <v>933.23999999999887</v>
          </cell>
          <cell r="BT350">
            <v>2</v>
          </cell>
          <cell r="BU350">
            <v>1</v>
          </cell>
          <cell r="BV350" t="str">
            <v>N</v>
          </cell>
          <cell r="BW350">
            <v>0</v>
          </cell>
          <cell r="BX350">
            <v>0</v>
          </cell>
          <cell r="BY350">
            <v>2026</v>
          </cell>
          <cell r="BZ350" t="str">
            <v>-</v>
          </cell>
          <cell r="CA350" t="str">
            <v>-</v>
          </cell>
        </row>
        <row r="351">
          <cell r="A351" t="str">
            <v>Lucknow</v>
          </cell>
          <cell r="B351" t="str">
            <v>Titans</v>
          </cell>
          <cell r="C351" t="str">
            <v>Mid Level</v>
          </cell>
          <cell r="D351" t="str">
            <v>Nitin Saxena</v>
          </cell>
          <cell r="E351" t="str">
            <v>-</v>
          </cell>
          <cell r="F351" t="str">
            <v>Non-MSP</v>
          </cell>
          <cell r="H351" t="str">
            <v>Ratnesh Kashyap</v>
          </cell>
          <cell r="J351" t="str">
            <v>ACH</v>
          </cell>
          <cell r="L351" t="str">
            <v>New</v>
          </cell>
          <cell r="M351">
            <v>46029</v>
          </cell>
          <cell r="N351">
            <v>173</v>
          </cell>
          <cell r="P351">
            <v>46394</v>
          </cell>
          <cell r="Q351" t="str">
            <v>PLC-4669</v>
          </cell>
          <cell r="R351" t="str">
            <v>Lokesh Patil</v>
          </cell>
          <cell r="S351" t="str">
            <v>Individual</v>
          </cell>
          <cell r="T351" t="str">
            <v>C2C Canada</v>
          </cell>
          <cell r="U351" t="str">
            <v>Genpact</v>
          </cell>
          <cell r="V351">
            <v>50</v>
          </cell>
          <cell r="W351">
            <v>0</v>
          </cell>
          <cell r="X351" t="str">
            <v>CAD</v>
          </cell>
          <cell r="Y351">
            <v>60</v>
          </cell>
          <cell r="Z351">
            <v>0</v>
          </cell>
          <cell r="AA351">
            <v>0</v>
          </cell>
          <cell r="AB351">
            <v>0</v>
          </cell>
          <cell r="AC351">
            <v>46157</v>
          </cell>
          <cell r="AD351">
            <v>22</v>
          </cell>
          <cell r="AE351">
            <v>46387</v>
          </cell>
          <cell r="AF351">
            <v>35.5</v>
          </cell>
          <cell r="AG351">
            <v>0</v>
          </cell>
          <cell r="AH351">
            <v>35.5</v>
          </cell>
          <cell r="AI351">
            <v>42.599999999999994</v>
          </cell>
          <cell r="AJ351">
            <v>0</v>
          </cell>
          <cell r="AK351">
            <v>0</v>
          </cell>
          <cell r="AL351">
            <v>7.0999999999999943</v>
          </cell>
          <cell r="AM351">
            <v>0</v>
          </cell>
          <cell r="AN351">
            <v>7.0999999999999943</v>
          </cell>
          <cell r="AO351">
            <v>0</v>
          </cell>
          <cell r="AP351">
            <v>7.0999999999999943</v>
          </cell>
          <cell r="AQ351" t="str">
            <v>CAD_2161</v>
          </cell>
          <cell r="AR351">
            <v>0</v>
          </cell>
          <cell r="AS351">
            <v>160</v>
          </cell>
          <cell r="AU351">
            <v>160</v>
          </cell>
          <cell r="AV351">
            <v>0</v>
          </cell>
          <cell r="AW351">
            <v>1135.9999999999991</v>
          </cell>
          <cell r="AX351">
            <v>1124.6399999999992</v>
          </cell>
          <cell r="AY351">
            <v>0</v>
          </cell>
          <cell r="AZ351">
            <v>1135.9999999999991</v>
          </cell>
          <cell r="BA351">
            <v>1124.6399999999992</v>
          </cell>
          <cell r="BB351">
            <v>1135.9999999999991</v>
          </cell>
          <cell r="BC351">
            <v>0</v>
          </cell>
          <cell r="BD351">
            <v>0</v>
          </cell>
          <cell r="BE351">
            <v>0</v>
          </cell>
          <cell r="BG351">
            <v>1124.6399999999992</v>
          </cell>
          <cell r="BI351">
            <v>1124.6399999999992</v>
          </cell>
          <cell r="BJ351">
            <v>9600</v>
          </cell>
          <cell r="BK351">
            <v>6815.9999999999991</v>
          </cell>
          <cell r="BL351">
            <v>5927.2</v>
          </cell>
          <cell r="BM351">
            <v>0</v>
          </cell>
          <cell r="BN351">
            <v>0</v>
          </cell>
          <cell r="BO351">
            <v>0</v>
          </cell>
          <cell r="BP351">
            <v>5927.2</v>
          </cell>
          <cell r="BQ351">
            <v>0</v>
          </cell>
          <cell r="BR351">
            <v>888.79999999999927</v>
          </cell>
          <cell r="BT351">
            <v>2</v>
          </cell>
          <cell r="BU351">
            <v>1</v>
          </cell>
          <cell r="BV351" t="str">
            <v>N</v>
          </cell>
          <cell r="BW351">
            <v>0</v>
          </cell>
          <cell r="BX351">
            <v>0</v>
          </cell>
          <cell r="BY351">
            <v>2026</v>
          </cell>
          <cell r="BZ351" t="str">
            <v>-</v>
          </cell>
          <cell r="CA351" t="str">
            <v>-</v>
          </cell>
        </row>
        <row r="352">
          <cell r="A352" t="str">
            <v>Lucknow</v>
          </cell>
          <cell r="B352" t="str">
            <v>Titans</v>
          </cell>
          <cell r="C352" t="str">
            <v>Mid Level</v>
          </cell>
          <cell r="D352" t="str">
            <v>Nitin Saxena</v>
          </cell>
          <cell r="E352" t="str">
            <v>-</v>
          </cell>
          <cell r="F352" t="str">
            <v>Non-MSP</v>
          </cell>
          <cell r="H352" t="str">
            <v>Hamza Ali</v>
          </cell>
          <cell r="L352" t="str">
            <v>New</v>
          </cell>
          <cell r="M352">
            <v>46043</v>
          </cell>
          <cell r="N352">
            <v>159</v>
          </cell>
          <cell r="O352">
            <v>46059</v>
          </cell>
          <cell r="P352">
            <v>46408</v>
          </cell>
          <cell r="Q352" t="str">
            <v>PLC-4689</v>
          </cell>
          <cell r="R352" t="str">
            <v>Lorena Rangel</v>
          </cell>
          <cell r="S352" t="str">
            <v>Individual</v>
          </cell>
          <cell r="T352" t="str">
            <v>Referral</v>
          </cell>
          <cell r="U352" t="str">
            <v>Cbrex</v>
          </cell>
          <cell r="V352">
            <v>0</v>
          </cell>
          <cell r="W352">
            <v>0</v>
          </cell>
          <cell r="X352" t="str">
            <v>USD</v>
          </cell>
          <cell r="Y352">
            <v>3</v>
          </cell>
          <cell r="Z352">
            <v>0</v>
          </cell>
          <cell r="AA352">
            <v>0</v>
          </cell>
          <cell r="AB352">
            <v>0</v>
          </cell>
          <cell r="AC352">
            <v>46037</v>
          </cell>
          <cell r="AD352">
            <v>9</v>
          </cell>
          <cell r="AE352">
            <v>46387</v>
          </cell>
          <cell r="AF352">
            <v>0</v>
          </cell>
          <cell r="AG352">
            <v>0</v>
          </cell>
          <cell r="AH352">
            <v>0</v>
          </cell>
          <cell r="AI352">
            <v>3</v>
          </cell>
          <cell r="AJ352">
            <v>0</v>
          </cell>
          <cell r="AK352">
            <v>0</v>
          </cell>
          <cell r="AL352">
            <v>3</v>
          </cell>
          <cell r="AM352">
            <v>0</v>
          </cell>
          <cell r="AN352">
            <v>3</v>
          </cell>
          <cell r="AO352">
            <v>0</v>
          </cell>
          <cell r="AP352">
            <v>3</v>
          </cell>
          <cell r="AQ352" t="str">
            <v>US_26951</v>
          </cell>
          <cell r="AR352">
            <v>0</v>
          </cell>
          <cell r="AS352">
            <v>93</v>
          </cell>
          <cell r="AU352">
            <v>93</v>
          </cell>
          <cell r="AV352">
            <v>0</v>
          </cell>
          <cell r="AW352">
            <v>279</v>
          </cell>
          <cell r="AX352">
            <v>279</v>
          </cell>
          <cell r="AY352">
            <v>0</v>
          </cell>
          <cell r="AZ352">
            <v>279</v>
          </cell>
          <cell r="BA352">
            <v>279</v>
          </cell>
          <cell r="BB352">
            <v>279</v>
          </cell>
          <cell r="BC352">
            <v>50</v>
          </cell>
          <cell r="BD352">
            <v>368.28</v>
          </cell>
          <cell r="BE352">
            <v>368.28</v>
          </cell>
          <cell r="BG352">
            <v>279</v>
          </cell>
          <cell r="BI352">
            <v>279</v>
          </cell>
          <cell r="BJ352">
            <v>279</v>
          </cell>
          <cell r="BK352">
            <v>279</v>
          </cell>
          <cell r="BL352">
            <v>0</v>
          </cell>
          <cell r="BM352">
            <v>0</v>
          </cell>
          <cell r="BN352">
            <v>0</v>
          </cell>
          <cell r="BO352">
            <v>0</v>
          </cell>
          <cell r="BP352">
            <v>0</v>
          </cell>
          <cell r="BQ352">
            <v>0</v>
          </cell>
          <cell r="BR352">
            <v>279</v>
          </cell>
          <cell r="BS352" t="str">
            <v>Y</v>
          </cell>
          <cell r="BT352">
            <v>1</v>
          </cell>
          <cell r="BU352">
            <v>1</v>
          </cell>
          <cell r="BV352" t="str">
            <v>Y</v>
          </cell>
          <cell r="BW352">
            <v>736.56</v>
          </cell>
          <cell r="BX352">
            <v>736.56</v>
          </cell>
          <cell r="BY352">
            <v>2026</v>
          </cell>
          <cell r="BZ352" t="str">
            <v>-</v>
          </cell>
          <cell r="CA352" t="str">
            <v>-</v>
          </cell>
        </row>
        <row r="353">
          <cell r="A353" t="str">
            <v>Lucknow</v>
          </cell>
          <cell r="B353" t="str">
            <v>Pioneer</v>
          </cell>
          <cell r="C353" t="str">
            <v>Mid Level</v>
          </cell>
          <cell r="D353" t="str">
            <v>Ankit Pandey</v>
          </cell>
          <cell r="F353" t="str">
            <v>Non-MSP</v>
          </cell>
          <cell r="H353" t="str">
            <v>Sagar Chandani</v>
          </cell>
          <cell r="J353" t="str">
            <v>ACH</v>
          </cell>
          <cell r="L353" t="str">
            <v>New</v>
          </cell>
          <cell r="M353">
            <v>46139</v>
          </cell>
          <cell r="N353">
            <v>63</v>
          </cell>
          <cell r="P353">
            <v>46504</v>
          </cell>
          <cell r="Q353" t="str">
            <v>PLC-4809</v>
          </cell>
          <cell r="R353" t="str">
            <v>Loretta Alexander</v>
          </cell>
          <cell r="S353" t="str">
            <v>Individual</v>
          </cell>
          <cell r="T353" t="str">
            <v>W2</v>
          </cell>
          <cell r="U353" t="str">
            <v>NovaSoft</v>
          </cell>
          <cell r="V353">
            <v>65</v>
          </cell>
          <cell r="W353">
            <v>0</v>
          </cell>
          <cell r="X353" t="str">
            <v>USD</v>
          </cell>
          <cell r="Y353">
            <v>85</v>
          </cell>
          <cell r="Z353">
            <v>0</v>
          </cell>
          <cell r="AA353">
            <v>0</v>
          </cell>
          <cell r="AB353">
            <v>0</v>
          </cell>
          <cell r="AC353">
            <v>46127</v>
          </cell>
          <cell r="AD353">
            <v>4</v>
          </cell>
          <cell r="AE353">
            <v>46387</v>
          </cell>
          <cell r="AF353">
            <v>74.75</v>
          </cell>
          <cell r="AG353">
            <v>0</v>
          </cell>
          <cell r="AH353">
            <v>74.75</v>
          </cell>
          <cell r="AI353">
            <v>85</v>
          </cell>
          <cell r="AJ353">
            <v>0</v>
          </cell>
          <cell r="AK353">
            <v>0</v>
          </cell>
          <cell r="AL353">
            <v>10.25</v>
          </cell>
          <cell r="AM353">
            <v>0</v>
          </cell>
          <cell r="AN353">
            <v>10.25</v>
          </cell>
          <cell r="AO353">
            <v>0</v>
          </cell>
          <cell r="AP353">
            <v>10.25</v>
          </cell>
          <cell r="AQ353" t="str">
            <v>US_27721</v>
          </cell>
          <cell r="AR353">
            <v>0</v>
          </cell>
          <cell r="AS353">
            <v>32</v>
          </cell>
          <cell r="AU353">
            <v>32</v>
          </cell>
          <cell r="AV353">
            <v>0</v>
          </cell>
          <cell r="AW353">
            <v>328</v>
          </cell>
          <cell r="AX353">
            <v>324.71999999999997</v>
          </cell>
          <cell r="AY353">
            <v>0</v>
          </cell>
          <cell r="AZ353">
            <v>328</v>
          </cell>
          <cell r="BA353">
            <v>324.71999999999997</v>
          </cell>
          <cell r="BB353">
            <v>328</v>
          </cell>
          <cell r="BC353">
            <v>44.333333333333336</v>
          </cell>
          <cell r="BD353">
            <v>428.63039999999995</v>
          </cell>
          <cell r="BE353">
            <v>428.63039999999995</v>
          </cell>
          <cell r="BG353">
            <v>324.71999999999997</v>
          </cell>
          <cell r="BI353">
            <v>0</v>
          </cell>
          <cell r="BJ353">
            <v>2720</v>
          </cell>
          <cell r="BK353">
            <v>2720</v>
          </cell>
          <cell r="BL353">
            <v>2080</v>
          </cell>
          <cell r="BM353">
            <v>9.75</v>
          </cell>
          <cell r="BN353">
            <v>0</v>
          </cell>
          <cell r="BO353">
            <v>312</v>
          </cell>
          <cell r="BP353">
            <v>2392</v>
          </cell>
          <cell r="BQ353">
            <v>9.75</v>
          </cell>
          <cell r="BR353">
            <v>328</v>
          </cell>
          <cell r="BT353">
            <v>2</v>
          </cell>
          <cell r="BU353">
            <v>2</v>
          </cell>
          <cell r="BV353" t="str">
            <v>Y</v>
          </cell>
          <cell r="BW353">
            <v>857.2607999999999</v>
          </cell>
          <cell r="BX353">
            <v>857.2607999999999</v>
          </cell>
          <cell r="BY353">
            <v>2026</v>
          </cell>
          <cell r="BZ353" t="str">
            <v>-</v>
          </cell>
          <cell r="CA353" t="str">
            <v>-</v>
          </cell>
        </row>
        <row r="354">
          <cell r="A354" t="str">
            <v>Lucknow</v>
          </cell>
          <cell r="B354" t="str">
            <v>Pioneer</v>
          </cell>
          <cell r="C354" t="str">
            <v>Mid Level</v>
          </cell>
          <cell r="D354" t="str">
            <v>Ankit Pandey</v>
          </cell>
          <cell r="F354" t="str">
            <v>Non-MSP</v>
          </cell>
          <cell r="H354" t="str">
            <v>Sagar Chandani</v>
          </cell>
          <cell r="J354" t="str">
            <v>ACH</v>
          </cell>
          <cell r="L354" t="str">
            <v>New</v>
          </cell>
          <cell r="M354">
            <v>46139</v>
          </cell>
          <cell r="N354">
            <v>63</v>
          </cell>
          <cell r="P354">
            <v>46504</v>
          </cell>
          <cell r="Q354" t="str">
            <v>PLC-4809</v>
          </cell>
          <cell r="R354" t="str">
            <v>Loretta Alexander</v>
          </cell>
          <cell r="S354" t="str">
            <v>Individual</v>
          </cell>
          <cell r="T354" t="str">
            <v>W2</v>
          </cell>
          <cell r="U354" t="str">
            <v>NovaSoft</v>
          </cell>
          <cell r="V354">
            <v>65</v>
          </cell>
          <cell r="W354">
            <v>0</v>
          </cell>
          <cell r="X354" t="str">
            <v>USD</v>
          </cell>
          <cell r="Y354">
            <v>85</v>
          </cell>
          <cell r="Z354">
            <v>0</v>
          </cell>
          <cell r="AA354">
            <v>0</v>
          </cell>
          <cell r="AB354">
            <v>0</v>
          </cell>
          <cell r="AC354">
            <v>46157</v>
          </cell>
          <cell r="AD354">
            <v>4</v>
          </cell>
          <cell r="AE354">
            <v>46387</v>
          </cell>
          <cell r="AF354">
            <v>74.75</v>
          </cell>
          <cell r="AG354">
            <v>0</v>
          </cell>
          <cell r="AH354">
            <v>74.75</v>
          </cell>
          <cell r="AI354">
            <v>85</v>
          </cell>
          <cell r="AJ354">
            <v>0</v>
          </cell>
          <cell r="AK354">
            <v>0</v>
          </cell>
          <cell r="AL354">
            <v>10.25</v>
          </cell>
          <cell r="AM354">
            <v>0</v>
          </cell>
          <cell r="AN354">
            <v>10.25</v>
          </cell>
          <cell r="AO354">
            <v>0</v>
          </cell>
          <cell r="AP354">
            <v>10.25</v>
          </cell>
          <cell r="AQ354" t="str">
            <v>US_27957</v>
          </cell>
          <cell r="AR354">
            <v>0</v>
          </cell>
          <cell r="AS354">
            <v>160</v>
          </cell>
          <cell r="AU354">
            <v>160</v>
          </cell>
          <cell r="AV354">
            <v>0</v>
          </cell>
          <cell r="AW354">
            <v>1640</v>
          </cell>
          <cell r="AX354">
            <v>1623.6</v>
          </cell>
          <cell r="AY354">
            <v>0</v>
          </cell>
          <cell r="AZ354">
            <v>1640</v>
          </cell>
          <cell r="BA354">
            <v>1623.6</v>
          </cell>
          <cell r="BB354">
            <v>1640</v>
          </cell>
          <cell r="BC354">
            <v>44.333333333333336</v>
          </cell>
          <cell r="BD354">
            <v>2143.152</v>
          </cell>
          <cell r="BE354">
            <v>2143.152</v>
          </cell>
          <cell r="BG354">
            <v>1623.6</v>
          </cell>
          <cell r="BI354">
            <v>0</v>
          </cell>
          <cell r="BJ354">
            <v>13600</v>
          </cell>
          <cell r="BK354">
            <v>13600</v>
          </cell>
          <cell r="BL354">
            <v>10400</v>
          </cell>
          <cell r="BM354">
            <v>9.75</v>
          </cell>
          <cell r="BN354">
            <v>0</v>
          </cell>
          <cell r="BO354">
            <v>1560</v>
          </cell>
          <cell r="BP354">
            <v>11960</v>
          </cell>
          <cell r="BQ354">
            <v>9.75</v>
          </cell>
          <cell r="BR354">
            <v>1640</v>
          </cell>
          <cell r="BT354">
            <v>2</v>
          </cell>
          <cell r="BU354">
            <v>2</v>
          </cell>
          <cell r="BV354" t="str">
            <v>Y</v>
          </cell>
          <cell r="BW354">
            <v>4286.3040000000001</v>
          </cell>
          <cell r="BX354">
            <v>4286.3040000000001</v>
          </cell>
          <cell r="BY354">
            <v>2026</v>
          </cell>
          <cell r="BZ354" t="str">
            <v>-</v>
          </cell>
          <cell r="CA354" t="str">
            <v>-</v>
          </cell>
        </row>
        <row r="355">
          <cell r="A355" t="str">
            <v>Lucknow</v>
          </cell>
          <cell r="B355" t="str">
            <v>Vantedge</v>
          </cell>
          <cell r="C355" t="str">
            <v>Senior</v>
          </cell>
          <cell r="D355" t="str">
            <v>Anshul Kumar</v>
          </cell>
          <cell r="E355" t="str">
            <v>-</v>
          </cell>
          <cell r="F355" t="str">
            <v>Non-MSP</v>
          </cell>
          <cell r="G355" t="str">
            <v>Raunak Tripathi</v>
          </cell>
          <cell r="H355" t="str">
            <v>Devansh Mishra</v>
          </cell>
          <cell r="L355" t="str">
            <v>New</v>
          </cell>
          <cell r="M355">
            <v>46125</v>
          </cell>
          <cell r="N355">
            <v>77</v>
          </cell>
          <cell r="P355">
            <v>46490</v>
          </cell>
          <cell r="Q355" t="str">
            <v>PLC-4825</v>
          </cell>
          <cell r="R355" t="str">
            <v>Louie Meletlidis</v>
          </cell>
          <cell r="S355" t="str">
            <v>Split</v>
          </cell>
          <cell r="T355" t="str">
            <v>FTE</v>
          </cell>
          <cell r="U355" t="str">
            <v>Motivus</v>
          </cell>
          <cell r="V355">
            <v>0</v>
          </cell>
          <cell r="W355">
            <v>0</v>
          </cell>
          <cell r="X355" t="str">
            <v>USD</v>
          </cell>
          <cell r="Y355">
            <v>28500</v>
          </cell>
          <cell r="Z355">
            <v>0</v>
          </cell>
          <cell r="AA355">
            <v>0</v>
          </cell>
          <cell r="AB355">
            <v>0</v>
          </cell>
          <cell r="AC355">
            <v>46127</v>
          </cell>
          <cell r="AD355">
            <v>1</v>
          </cell>
          <cell r="AE355">
            <v>46387</v>
          </cell>
          <cell r="AF355">
            <v>0</v>
          </cell>
          <cell r="AG355">
            <v>0</v>
          </cell>
          <cell r="AH355">
            <v>0</v>
          </cell>
          <cell r="AI355">
            <v>28500</v>
          </cell>
          <cell r="AJ355">
            <v>0</v>
          </cell>
          <cell r="AK355">
            <v>0</v>
          </cell>
          <cell r="AL355">
            <v>28500</v>
          </cell>
          <cell r="AM355">
            <v>0</v>
          </cell>
          <cell r="AN355">
            <v>14250</v>
          </cell>
          <cell r="AO355">
            <v>0</v>
          </cell>
          <cell r="AP355">
            <v>14250</v>
          </cell>
          <cell r="AQ355" t="str">
            <v>US_27458</v>
          </cell>
          <cell r="AR355">
            <v>0</v>
          </cell>
          <cell r="AS355">
            <v>1</v>
          </cell>
          <cell r="AU355">
            <v>1</v>
          </cell>
          <cell r="AV355">
            <v>0</v>
          </cell>
          <cell r="AW355">
            <v>14250</v>
          </cell>
          <cell r="AX355">
            <v>14250</v>
          </cell>
          <cell r="AY355">
            <v>0</v>
          </cell>
          <cell r="AZ355">
            <v>14250</v>
          </cell>
          <cell r="BA355">
            <v>14250</v>
          </cell>
          <cell r="BB355">
            <v>14250</v>
          </cell>
          <cell r="BC355">
            <v>40.714285714285715</v>
          </cell>
          <cell r="BD355">
            <v>15675</v>
          </cell>
          <cell r="BE355">
            <v>15675</v>
          </cell>
          <cell r="BG355">
            <v>14250</v>
          </cell>
          <cell r="BI355">
            <v>0</v>
          </cell>
          <cell r="BJ355">
            <v>14250</v>
          </cell>
          <cell r="BK355">
            <v>14250</v>
          </cell>
          <cell r="BL355">
            <v>0</v>
          </cell>
          <cell r="BM355">
            <v>0</v>
          </cell>
          <cell r="BN355">
            <v>0</v>
          </cell>
          <cell r="BO355">
            <v>0</v>
          </cell>
          <cell r="BP355">
            <v>0</v>
          </cell>
          <cell r="BQ355">
            <v>0</v>
          </cell>
          <cell r="BR355">
            <v>14250</v>
          </cell>
          <cell r="BT355">
            <v>2</v>
          </cell>
          <cell r="BU355">
            <v>2</v>
          </cell>
          <cell r="BV355" t="str">
            <v>N</v>
          </cell>
          <cell r="BW355">
            <v>31350</v>
          </cell>
          <cell r="BX355">
            <v>31350</v>
          </cell>
          <cell r="BY355">
            <v>2026</v>
          </cell>
          <cell r="BZ355" t="str">
            <v>-</v>
          </cell>
          <cell r="CA355" t="str">
            <v>-</v>
          </cell>
        </row>
        <row r="356">
          <cell r="A356" t="str">
            <v>Lucknow</v>
          </cell>
          <cell r="B356" t="str">
            <v>Vantedge</v>
          </cell>
          <cell r="C356" t="str">
            <v>Senior</v>
          </cell>
          <cell r="D356" t="str">
            <v>Raunak Tripathi</v>
          </cell>
          <cell r="E356" t="str">
            <v>-</v>
          </cell>
          <cell r="F356" t="str">
            <v>Non-MSP</v>
          </cell>
          <cell r="G356" t="str">
            <v>Anshul Kumar</v>
          </cell>
          <cell r="H356" t="str">
            <v>Devansh Mishra</v>
          </cell>
          <cell r="L356" t="str">
            <v>New</v>
          </cell>
          <cell r="M356">
            <v>46125</v>
          </cell>
          <cell r="N356">
            <v>77</v>
          </cell>
          <cell r="P356">
            <v>46490</v>
          </cell>
          <cell r="Q356" t="str">
            <v>PLC-4825</v>
          </cell>
          <cell r="R356" t="str">
            <v>Louie Meletlidis</v>
          </cell>
          <cell r="S356" t="str">
            <v>Split</v>
          </cell>
          <cell r="T356" t="str">
            <v>FTE</v>
          </cell>
          <cell r="U356" t="str">
            <v>Motivus</v>
          </cell>
          <cell r="V356">
            <v>0</v>
          </cell>
          <cell r="W356">
            <v>0</v>
          </cell>
          <cell r="X356" t="str">
            <v>USD</v>
          </cell>
          <cell r="Y356">
            <v>28500</v>
          </cell>
          <cell r="Z356">
            <v>0</v>
          </cell>
          <cell r="AA356">
            <v>0</v>
          </cell>
          <cell r="AB356">
            <v>0</v>
          </cell>
          <cell r="AC356">
            <v>46127</v>
          </cell>
          <cell r="AD356">
            <v>1</v>
          </cell>
          <cell r="AE356">
            <v>46387</v>
          </cell>
          <cell r="AF356">
            <v>0</v>
          </cell>
          <cell r="AG356">
            <v>0</v>
          </cell>
          <cell r="AH356">
            <v>0</v>
          </cell>
          <cell r="AI356">
            <v>28500</v>
          </cell>
          <cell r="AJ356">
            <v>0</v>
          </cell>
          <cell r="AK356">
            <v>0</v>
          </cell>
          <cell r="AL356">
            <v>28500</v>
          </cell>
          <cell r="AM356">
            <v>0</v>
          </cell>
          <cell r="AN356">
            <v>14250</v>
          </cell>
          <cell r="AO356">
            <v>0</v>
          </cell>
          <cell r="AP356">
            <v>14250</v>
          </cell>
          <cell r="AQ356" t="str">
            <v>US_27458</v>
          </cell>
          <cell r="AR356">
            <v>0</v>
          </cell>
          <cell r="AS356">
            <v>1</v>
          </cell>
          <cell r="AU356">
            <v>1</v>
          </cell>
          <cell r="AV356">
            <v>0</v>
          </cell>
          <cell r="AW356">
            <v>14250</v>
          </cell>
          <cell r="AX356">
            <v>14250</v>
          </cell>
          <cell r="AY356">
            <v>0</v>
          </cell>
          <cell r="AZ356">
            <v>14250</v>
          </cell>
          <cell r="BA356">
            <v>14250</v>
          </cell>
          <cell r="BB356">
            <v>14250</v>
          </cell>
          <cell r="BC356">
            <v>40.714285714285715</v>
          </cell>
          <cell r="BD356">
            <v>15675</v>
          </cell>
          <cell r="BE356">
            <v>15675</v>
          </cell>
          <cell r="BG356">
            <v>14250</v>
          </cell>
          <cell r="BI356">
            <v>0</v>
          </cell>
          <cell r="BJ356">
            <v>14250</v>
          </cell>
          <cell r="BK356">
            <v>14250</v>
          </cell>
          <cell r="BL356">
            <v>0</v>
          </cell>
          <cell r="BM356">
            <v>0</v>
          </cell>
          <cell r="BN356">
            <v>0</v>
          </cell>
          <cell r="BO356">
            <v>0</v>
          </cell>
          <cell r="BP356">
            <v>0</v>
          </cell>
          <cell r="BQ356">
            <v>0</v>
          </cell>
          <cell r="BR356">
            <v>14250</v>
          </cell>
          <cell r="BT356">
            <v>2</v>
          </cell>
          <cell r="BU356">
            <v>2</v>
          </cell>
          <cell r="BV356" t="str">
            <v>N</v>
          </cell>
          <cell r="BW356">
            <v>31350</v>
          </cell>
          <cell r="BX356">
            <v>31350</v>
          </cell>
          <cell r="BY356">
            <v>2026</v>
          </cell>
          <cell r="BZ356" t="str">
            <v>-</v>
          </cell>
          <cell r="CA356" t="str">
            <v>-</v>
          </cell>
        </row>
        <row r="357">
          <cell r="A357" t="str">
            <v>Lucknow</v>
          </cell>
          <cell r="B357" t="str">
            <v>Trust</v>
          </cell>
          <cell r="C357" t="str">
            <v>Mid Level</v>
          </cell>
          <cell r="D357" t="str">
            <v>Shashank Yadav</v>
          </cell>
          <cell r="F357" t="str">
            <v>Non-MSP</v>
          </cell>
          <cell r="H357" t="str">
            <v>Aditi Singh</v>
          </cell>
          <cell r="J357" t="str">
            <v>ACH</v>
          </cell>
          <cell r="L357" t="str">
            <v>New</v>
          </cell>
          <cell r="M357">
            <v>46171</v>
          </cell>
          <cell r="N357">
            <v>31</v>
          </cell>
          <cell r="P357">
            <v>46536</v>
          </cell>
          <cell r="Q357" t="str">
            <v>PLC-4833</v>
          </cell>
          <cell r="R357" t="str">
            <v>Lucina Saavedra</v>
          </cell>
          <cell r="S357" t="str">
            <v>Individual</v>
          </cell>
          <cell r="T357" t="str">
            <v>Referral</v>
          </cell>
          <cell r="U357" t="str">
            <v>Reflik</v>
          </cell>
          <cell r="V357">
            <v>0</v>
          </cell>
          <cell r="W357">
            <v>0</v>
          </cell>
          <cell r="X357" t="str">
            <v>USD</v>
          </cell>
          <cell r="Y357">
            <v>3.4</v>
          </cell>
          <cell r="Z357">
            <v>0</v>
          </cell>
          <cell r="AA357">
            <v>0</v>
          </cell>
          <cell r="AB357">
            <v>0</v>
          </cell>
          <cell r="AC357">
            <v>46157</v>
          </cell>
          <cell r="AD357">
            <v>1</v>
          </cell>
          <cell r="AE357">
            <v>46387</v>
          </cell>
          <cell r="AF357">
            <v>0</v>
          </cell>
          <cell r="AG357">
            <v>0</v>
          </cell>
          <cell r="AH357">
            <v>0</v>
          </cell>
          <cell r="AI357">
            <v>3.4</v>
          </cell>
          <cell r="AJ357">
            <v>0</v>
          </cell>
          <cell r="AK357">
            <v>0</v>
          </cell>
          <cell r="AL357">
            <v>3.4</v>
          </cell>
          <cell r="AM357">
            <v>0</v>
          </cell>
          <cell r="AN357">
            <v>3.4</v>
          </cell>
          <cell r="AO357">
            <v>0</v>
          </cell>
          <cell r="AP357">
            <v>3.4</v>
          </cell>
          <cell r="AU357">
            <v>8</v>
          </cell>
          <cell r="BB357">
            <v>27.2</v>
          </cell>
          <cell r="BC357">
            <v>0</v>
          </cell>
          <cell r="BD357">
            <v>0</v>
          </cell>
          <cell r="BE357">
            <v>0</v>
          </cell>
          <cell r="BI357">
            <v>0</v>
          </cell>
          <cell r="BK357">
            <v>27.2</v>
          </cell>
          <cell r="BL357">
            <v>0</v>
          </cell>
          <cell r="BM357">
            <v>0</v>
          </cell>
          <cell r="BN357">
            <v>0</v>
          </cell>
          <cell r="BO357">
            <v>0</v>
          </cell>
          <cell r="BP357">
            <v>0</v>
          </cell>
          <cell r="BQ357">
            <v>0</v>
          </cell>
          <cell r="BR357">
            <v>27.2</v>
          </cell>
          <cell r="BT357">
            <v>2</v>
          </cell>
          <cell r="BU357">
            <v>2</v>
          </cell>
          <cell r="BV357" t="str">
            <v>N</v>
          </cell>
          <cell r="BW357">
            <v>0</v>
          </cell>
          <cell r="BX357">
            <v>0</v>
          </cell>
          <cell r="BY357">
            <v>2026</v>
          </cell>
          <cell r="BZ357" t="str">
            <v>-</v>
          </cell>
          <cell r="CA357" t="str">
            <v>-</v>
          </cell>
        </row>
        <row r="358">
          <cell r="A358" t="str">
            <v>Lucknow</v>
          </cell>
          <cell r="B358" t="str">
            <v>Mavericks</v>
          </cell>
          <cell r="C358" t="str">
            <v>Mid Level</v>
          </cell>
          <cell r="D358" t="str">
            <v>Mohammad Fakhrul</v>
          </cell>
          <cell r="F358" t="str">
            <v>MSP</v>
          </cell>
          <cell r="H358" t="str">
            <v>Pass Through</v>
          </cell>
          <cell r="J358" t="str">
            <v>ACH</v>
          </cell>
          <cell r="L358" t="str">
            <v>New</v>
          </cell>
          <cell r="M358">
            <v>46160</v>
          </cell>
          <cell r="N358">
            <v>42</v>
          </cell>
          <cell r="P358">
            <v>46525</v>
          </cell>
          <cell r="R358" t="str">
            <v>Madhu Sudhana Reddy Gopireddy</v>
          </cell>
          <cell r="S358" t="str">
            <v>Individual</v>
          </cell>
          <cell r="T358" t="str">
            <v>C2C</v>
          </cell>
          <cell r="U358" t="str">
            <v>CoForge</v>
          </cell>
          <cell r="V358">
            <v>96</v>
          </cell>
          <cell r="W358">
            <v>0</v>
          </cell>
          <cell r="X358" t="str">
            <v>USD</v>
          </cell>
          <cell r="Y358">
            <v>97</v>
          </cell>
          <cell r="Z358">
            <v>0</v>
          </cell>
          <cell r="AA358">
            <v>0</v>
          </cell>
          <cell r="AB358">
            <v>0</v>
          </cell>
          <cell r="AC358">
            <v>46157</v>
          </cell>
          <cell r="AD358">
            <v>10</v>
          </cell>
          <cell r="AE358">
            <v>46387</v>
          </cell>
          <cell r="AF358">
            <v>96</v>
          </cell>
          <cell r="AG358">
            <v>0</v>
          </cell>
          <cell r="AH358">
            <v>96</v>
          </cell>
          <cell r="AI358">
            <v>97</v>
          </cell>
          <cell r="AJ358">
            <v>0</v>
          </cell>
          <cell r="AK358">
            <v>0</v>
          </cell>
          <cell r="AL358">
            <v>1</v>
          </cell>
          <cell r="AM358">
            <v>0</v>
          </cell>
          <cell r="AN358">
            <v>1</v>
          </cell>
          <cell r="AO358">
            <v>0</v>
          </cell>
          <cell r="AP358">
            <v>1</v>
          </cell>
          <cell r="AQ358" t="str">
            <v>US_CMSP_00894</v>
          </cell>
          <cell r="AR358">
            <v>0</v>
          </cell>
          <cell r="AS358">
            <v>72</v>
          </cell>
          <cell r="AU358">
            <v>72</v>
          </cell>
          <cell r="AV358">
            <v>0</v>
          </cell>
          <cell r="AW358">
            <v>72</v>
          </cell>
          <cell r="AX358">
            <v>71.28</v>
          </cell>
          <cell r="AY358">
            <v>0</v>
          </cell>
          <cell r="AZ358">
            <v>72</v>
          </cell>
          <cell r="BA358">
            <v>71.28</v>
          </cell>
          <cell r="BB358">
            <v>72</v>
          </cell>
          <cell r="BC358">
            <v>0</v>
          </cell>
          <cell r="BD358">
            <v>0</v>
          </cell>
          <cell r="BE358">
            <v>0</v>
          </cell>
          <cell r="BG358">
            <v>71.28</v>
          </cell>
          <cell r="BI358">
            <v>0</v>
          </cell>
          <cell r="BJ358">
            <v>6984</v>
          </cell>
          <cell r="BK358">
            <v>6984</v>
          </cell>
          <cell r="BL358">
            <v>6912</v>
          </cell>
          <cell r="BM358">
            <v>0</v>
          </cell>
          <cell r="BN358">
            <v>0</v>
          </cell>
          <cell r="BO358">
            <v>0</v>
          </cell>
          <cell r="BP358">
            <v>6912</v>
          </cell>
          <cell r="BQ358">
            <v>0</v>
          </cell>
          <cell r="BR358">
            <v>72</v>
          </cell>
          <cell r="BT358">
            <v>2</v>
          </cell>
          <cell r="BU358">
            <v>2</v>
          </cell>
          <cell r="BV358" t="str">
            <v>Y</v>
          </cell>
          <cell r="BW358">
            <v>0</v>
          </cell>
          <cell r="BX358">
            <v>0</v>
          </cell>
          <cell r="BY358">
            <v>2026</v>
          </cell>
          <cell r="BZ358" t="str">
            <v>-</v>
          </cell>
          <cell r="CA358" t="str">
            <v>-</v>
          </cell>
        </row>
        <row r="359">
          <cell r="A359" t="str">
            <v>Lucknow</v>
          </cell>
          <cell r="B359" t="str">
            <v>Mavericks</v>
          </cell>
          <cell r="C359" t="str">
            <v>Mid Level</v>
          </cell>
          <cell r="D359" t="str">
            <v>Mohammad Fakhrul</v>
          </cell>
          <cell r="F359" t="str">
            <v>MSP</v>
          </cell>
          <cell r="H359" t="str">
            <v>Pass Through</v>
          </cell>
          <cell r="J359" t="str">
            <v>ACH</v>
          </cell>
          <cell r="L359" t="str">
            <v>New</v>
          </cell>
          <cell r="M359">
            <v>46153</v>
          </cell>
          <cell r="N359">
            <v>49</v>
          </cell>
          <cell r="P359">
            <v>46518</v>
          </cell>
          <cell r="R359" t="str">
            <v>Mahammed Rafi Shaik</v>
          </cell>
          <cell r="S359" t="str">
            <v>Individual</v>
          </cell>
          <cell r="T359" t="str">
            <v>C2C</v>
          </cell>
          <cell r="U359" t="str">
            <v>Cigniti</v>
          </cell>
          <cell r="V359">
            <v>65</v>
          </cell>
          <cell r="W359">
            <v>0</v>
          </cell>
          <cell r="X359" t="str">
            <v>USD</v>
          </cell>
          <cell r="Y359">
            <v>67</v>
          </cell>
          <cell r="Z359">
            <v>0</v>
          </cell>
          <cell r="AA359">
            <v>0</v>
          </cell>
          <cell r="AB359">
            <v>0</v>
          </cell>
          <cell r="AC359">
            <v>46157</v>
          </cell>
          <cell r="AD359">
            <v>15</v>
          </cell>
          <cell r="AE359">
            <v>46387</v>
          </cell>
          <cell r="AF359">
            <v>65</v>
          </cell>
          <cell r="AG359">
            <v>0</v>
          </cell>
          <cell r="AH359">
            <v>65</v>
          </cell>
          <cell r="AI359">
            <v>67</v>
          </cell>
          <cell r="AJ359">
            <v>0</v>
          </cell>
          <cell r="AK359">
            <v>0</v>
          </cell>
          <cell r="AL359">
            <v>2</v>
          </cell>
          <cell r="AM359">
            <v>0</v>
          </cell>
          <cell r="AN359">
            <v>2</v>
          </cell>
          <cell r="AO359">
            <v>0</v>
          </cell>
          <cell r="AP359">
            <v>2</v>
          </cell>
          <cell r="AQ359" t="str">
            <v>US_CMSP_00891</v>
          </cell>
          <cell r="AR359">
            <v>0</v>
          </cell>
          <cell r="AS359">
            <v>104</v>
          </cell>
          <cell r="AU359">
            <v>104</v>
          </cell>
          <cell r="AV359">
            <v>0</v>
          </cell>
          <cell r="AW359">
            <v>208</v>
          </cell>
          <cell r="AX359">
            <v>205.92</v>
          </cell>
          <cell r="AY359">
            <v>0</v>
          </cell>
          <cell r="AZ359">
            <v>208</v>
          </cell>
          <cell r="BA359">
            <v>205.92</v>
          </cell>
          <cell r="BB359">
            <v>208</v>
          </cell>
          <cell r="BC359">
            <v>0</v>
          </cell>
          <cell r="BD359">
            <v>0</v>
          </cell>
          <cell r="BE359">
            <v>0</v>
          </cell>
          <cell r="BG359">
            <v>205.92</v>
          </cell>
          <cell r="BI359">
            <v>0</v>
          </cell>
          <cell r="BJ359">
            <v>6968</v>
          </cell>
          <cell r="BK359">
            <v>6968</v>
          </cell>
          <cell r="BL359">
            <v>6760</v>
          </cell>
          <cell r="BM359">
            <v>0</v>
          </cell>
          <cell r="BN359">
            <v>0</v>
          </cell>
          <cell r="BO359">
            <v>0</v>
          </cell>
          <cell r="BP359">
            <v>6760</v>
          </cell>
          <cell r="BQ359">
            <v>0</v>
          </cell>
          <cell r="BR359">
            <v>208</v>
          </cell>
          <cell r="BT359">
            <v>2</v>
          </cell>
          <cell r="BU359">
            <v>2</v>
          </cell>
          <cell r="BV359" t="str">
            <v>Y</v>
          </cell>
          <cell r="BW359">
            <v>0</v>
          </cell>
          <cell r="BX359">
            <v>0</v>
          </cell>
          <cell r="BY359">
            <v>2026</v>
          </cell>
          <cell r="BZ359" t="str">
            <v>-</v>
          </cell>
          <cell r="CA359" t="str">
            <v>-</v>
          </cell>
        </row>
        <row r="360">
          <cell r="A360" t="str">
            <v>Lucknow</v>
          </cell>
          <cell r="B360" t="str">
            <v>Mavericks</v>
          </cell>
          <cell r="C360" t="str">
            <v>Mid Level</v>
          </cell>
          <cell r="D360" t="str">
            <v>Akbar Ibrahim</v>
          </cell>
          <cell r="E360" t="str">
            <v>-</v>
          </cell>
          <cell r="F360" t="str">
            <v>MSP</v>
          </cell>
          <cell r="H360" t="str">
            <v>Pass Through</v>
          </cell>
          <cell r="L360" t="str">
            <v>New</v>
          </cell>
          <cell r="M360">
            <v>46041</v>
          </cell>
          <cell r="N360">
            <v>161</v>
          </cell>
          <cell r="P360">
            <v>46406</v>
          </cell>
          <cell r="Q360" t="str">
            <v>PLC-Passthrough</v>
          </cell>
          <cell r="R360" t="str">
            <v>Mahesh Sreedharan</v>
          </cell>
          <cell r="S360" t="str">
            <v>Individual</v>
          </cell>
          <cell r="T360" t="str">
            <v>C2C Canada</v>
          </cell>
          <cell r="U360" t="str">
            <v>CoForge</v>
          </cell>
          <cell r="V360">
            <v>85</v>
          </cell>
          <cell r="W360">
            <v>0</v>
          </cell>
          <cell r="X360" t="str">
            <v>CAD</v>
          </cell>
          <cell r="Y360">
            <v>87</v>
          </cell>
          <cell r="Z360">
            <v>0</v>
          </cell>
          <cell r="AA360">
            <v>0</v>
          </cell>
          <cell r="AB360">
            <v>0</v>
          </cell>
          <cell r="AC360">
            <v>46037</v>
          </cell>
          <cell r="AD360">
            <v>10</v>
          </cell>
          <cell r="AE360">
            <v>46387</v>
          </cell>
          <cell r="AF360">
            <v>60.349999999999994</v>
          </cell>
          <cell r="AG360">
            <v>0</v>
          </cell>
          <cell r="AH360">
            <v>60.349999999999994</v>
          </cell>
          <cell r="AI360">
            <v>61.769999999999996</v>
          </cell>
          <cell r="AJ360">
            <v>0</v>
          </cell>
          <cell r="AK360">
            <v>0</v>
          </cell>
          <cell r="AL360">
            <v>1.4200000000000017</v>
          </cell>
          <cell r="AM360">
            <v>0</v>
          </cell>
          <cell r="AN360">
            <v>1.4200000000000017</v>
          </cell>
          <cell r="AO360">
            <v>0</v>
          </cell>
          <cell r="AP360">
            <v>1.4200000000000017</v>
          </cell>
          <cell r="AQ360" t="str">
            <v>CAD_1882</v>
          </cell>
          <cell r="AR360">
            <v>0</v>
          </cell>
          <cell r="AS360">
            <v>88</v>
          </cell>
          <cell r="AU360">
            <v>88</v>
          </cell>
          <cell r="AV360">
            <v>0</v>
          </cell>
          <cell r="AW360">
            <v>124.96000000000015</v>
          </cell>
          <cell r="AX360">
            <v>124.96000000000015</v>
          </cell>
          <cell r="AY360">
            <v>0</v>
          </cell>
          <cell r="AZ360">
            <v>124.96000000000015</v>
          </cell>
          <cell r="BA360">
            <v>124.96000000000015</v>
          </cell>
          <cell r="BB360">
            <v>124.96000000000015</v>
          </cell>
          <cell r="BC360">
            <v>0</v>
          </cell>
          <cell r="BD360">
            <v>0</v>
          </cell>
          <cell r="BE360">
            <v>0</v>
          </cell>
          <cell r="BG360">
            <v>124.96000000000015</v>
          </cell>
          <cell r="BI360">
            <v>124.96000000000015</v>
          </cell>
          <cell r="BJ360">
            <v>7656</v>
          </cell>
          <cell r="BK360">
            <v>5435.7599999999993</v>
          </cell>
          <cell r="BL360">
            <v>5541.9319999999998</v>
          </cell>
          <cell r="BM360">
            <v>0</v>
          </cell>
          <cell r="BN360">
            <v>0</v>
          </cell>
          <cell r="BO360">
            <v>0</v>
          </cell>
          <cell r="BP360">
            <v>5541.9319999999998</v>
          </cell>
          <cell r="BQ360">
            <v>0</v>
          </cell>
          <cell r="BR360">
            <v>-106.17200000000048</v>
          </cell>
          <cell r="BS360" t="str">
            <v>Y</v>
          </cell>
          <cell r="BT360">
            <v>1</v>
          </cell>
          <cell r="BU360">
            <v>1</v>
          </cell>
          <cell r="BV360" t="str">
            <v>Y</v>
          </cell>
          <cell r="BW360">
            <v>0</v>
          </cell>
          <cell r="BX360">
            <v>0</v>
          </cell>
          <cell r="BY360">
            <v>2026</v>
          </cell>
          <cell r="BZ360" t="str">
            <v>-</v>
          </cell>
          <cell r="CA360" t="str">
            <v>-</v>
          </cell>
        </row>
        <row r="361">
          <cell r="A361" t="str">
            <v>Lucknow</v>
          </cell>
          <cell r="B361" t="str">
            <v>Mavericks</v>
          </cell>
          <cell r="C361" t="str">
            <v>Mid Level</v>
          </cell>
          <cell r="D361" t="str">
            <v>Akbar Ibrahim</v>
          </cell>
          <cell r="E361" t="str">
            <v>-</v>
          </cell>
          <cell r="F361" t="str">
            <v>MSP</v>
          </cell>
          <cell r="H361" t="str">
            <v>Pass Through</v>
          </cell>
          <cell r="L361" t="str">
            <v>New</v>
          </cell>
          <cell r="M361">
            <v>46041</v>
          </cell>
          <cell r="N361">
            <v>161</v>
          </cell>
          <cell r="P361">
            <v>46406</v>
          </cell>
          <cell r="Q361" t="str">
            <v>PLC-Passthrough</v>
          </cell>
          <cell r="R361" t="str">
            <v>Mahesh Sreedharan</v>
          </cell>
          <cell r="S361" t="str">
            <v>Individual</v>
          </cell>
          <cell r="T361" t="str">
            <v>C2C Canada</v>
          </cell>
          <cell r="U361" t="str">
            <v>CoForge</v>
          </cell>
          <cell r="V361">
            <v>85</v>
          </cell>
          <cell r="W361">
            <v>0</v>
          </cell>
          <cell r="X361" t="str">
            <v>CAD</v>
          </cell>
          <cell r="Y361">
            <v>87</v>
          </cell>
          <cell r="Z361">
            <v>0</v>
          </cell>
          <cell r="AA361">
            <v>0</v>
          </cell>
          <cell r="AB361">
            <v>0</v>
          </cell>
          <cell r="AC361">
            <v>46068</v>
          </cell>
          <cell r="AD361">
            <v>20</v>
          </cell>
          <cell r="AE361">
            <v>46387</v>
          </cell>
          <cell r="AF361">
            <v>60.349999999999994</v>
          </cell>
          <cell r="AG361">
            <v>0</v>
          </cell>
          <cell r="AH361">
            <v>60.349999999999994</v>
          </cell>
          <cell r="AI361">
            <v>61.769999999999996</v>
          </cell>
          <cell r="AJ361">
            <v>0</v>
          </cell>
          <cell r="AK361">
            <v>0</v>
          </cell>
          <cell r="AL361">
            <v>1.4200000000000017</v>
          </cell>
          <cell r="AM361">
            <v>0</v>
          </cell>
          <cell r="AN361">
            <v>1.4200000000000017</v>
          </cell>
          <cell r="AO361">
            <v>0</v>
          </cell>
          <cell r="AP361">
            <v>1.4200000000000017</v>
          </cell>
          <cell r="AQ361" t="str">
            <v>CAD_1983</v>
          </cell>
          <cell r="AR361">
            <v>0</v>
          </cell>
          <cell r="AS361">
            <v>138</v>
          </cell>
          <cell r="AU361">
            <v>138</v>
          </cell>
          <cell r="AV361">
            <v>0</v>
          </cell>
          <cell r="AW361">
            <v>195.96000000000024</v>
          </cell>
          <cell r="AX361">
            <v>195.96000000000024</v>
          </cell>
          <cell r="AY361">
            <v>0</v>
          </cell>
          <cell r="AZ361">
            <v>195.96000000000024</v>
          </cell>
          <cell r="BA361">
            <v>195.96000000000024</v>
          </cell>
          <cell r="BB361">
            <v>195.96000000000024</v>
          </cell>
          <cell r="BC361">
            <v>0</v>
          </cell>
          <cell r="BD361">
            <v>0</v>
          </cell>
          <cell r="BE361">
            <v>0</v>
          </cell>
          <cell r="BG361">
            <v>195.96000000000024</v>
          </cell>
          <cell r="BI361">
            <v>195.96000000000024</v>
          </cell>
          <cell r="BJ361">
            <v>12006</v>
          </cell>
          <cell r="BK361">
            <v>8524.26</v>
          </cell>
          <cell r="BL361">
            <v>8690.7569999999996</v>
          </cell>
          <cell r="BM361">
            <v>0</v>
          </cell>
          <cell r="BN361">
            <v>0</v>
          </cell>
          <cell r="BO361">
            <v>0</v>
          </cell>
          <cell r="BP361">
            <v>8690.7569999999996</v>
          </cell>
          <cell r="BQ361">
            <v>0</v>
          </cell>
          <cell r="BR361">
            <v>-166.49699999999939</v>
          </cell>
          <cell r="BS361" t="str">
            <v>Y</v>
          </cell>
          <cell r="BT361">
            <v>1</v>
          </cell>
          <cell r="BU361">
            <v>1</v>
          </cell>
          <cell r="BV361" t="str">
            <v>Y</v>
          </cell>
          <cell r="BW361">
            <v>0</v>
          </cell>
          <cell r="BX361">
            <v>0</v>
          </cell>
          <cell r="BY361">
            <v>2026</v>
          </cell>
          <cell r="BZ361" t="str">
            <v>-</v>
          </cell>
          <cell r="CA361" t="str">
            <v>-</v>
          </cell>
        </row>
        <row r="362">
          <cell r="A362" t="str">
            <v>Lucknow</v>
          </cell>
          <cell r="B362" t="str">
            <v>Mavericks</v>
          </cell>
          <cell r="C362" t="str">
            <v>Mid Level</v>
          </cell>
          <cell r="D362" t="str">
            <v>Akbar Ibrahim</v>
          </cell>
          <cell r="E362" t="str">
            <v>-</v>
          </cell>
          <cell r="F362" t="str">
            <v>MSP</v>
          </cell>
          <cell r="H362" t="str">
            <v>Pass Through</v>
          </cell>
          <cell r="L362" t="str">
            <v>New</v>
          </cell>
          <cell r="M362">
            <v>46041</v>
          </cell>
          <cell r="N362">
            <v>161</v>
          </cell>
          <cell r="P362">
            <v>46406</v>
          </cell>
          <cell r="Q362" t="str">
            <v>PLC-Passthrough</v>
          </cell>
          <cell r="R362" t="str">
            <v>Mahesh Sreedharan</v>
          </cell>
          <cell r="S362" t="str">
            <v>Individual</v>
          </cell>
          <cell r="T362" t="str">
            <v>C2C Canada</v>
          </cell>
          <cell r="U362" t="str">
            <v>CoForge</v>
          </cell>
          <cell r="V362">
            <v>85</v>
          </cell>
          <cell r="W362">
            <v>0</v>
          </cell>
          <cell r="X362" t="str">
            <v>CAD</v>
          </cell>
          <cell r="Y362">
            <v>87</v>
          </cell>
          <cell r="Z362">
            <v>0</v>
          </cell>
          <cell r="AA362">
            <v>0</v>
          </cell>
          <cell r="AB362">
            <v>0</v>
          </cell>
          <cell r="AC362">
            <v>46096</v>
          </cell>
          <cell r="AD362">
            <v>22</v>
          </cell>
          <cell r="AE362">
            <v>46387</v>
          </cell>
          <cell r="AF362">
            <v>60.349999999999994</v>
          </cell>
          <cell r="AG362">
            <v>0</v>
          </cell>
          <cell r="AH362">
            <v>60.349999999999994</v>
          </cell>
          <cell r="AI362">
            <v>61.769999999999996</v>
          </cell>
          <cell r="AJ362">
            <v>0</v>
          </cell>
          <cell r="AK362">
            <v>0</v>
          </cell>
          <cell r="AL362">
            <v>1.4200000000000017</v>
          </cell>
          <cell r="AM362">
            <v>0</v>
          </cell>
          <cell r="AN362">
            <v>1.4200000000000017</v>
          </cell>
          <cell r="AO362">
            <v>0</v>
          </cell>
          <cell r="AP362">
            <v>1.4200000000000017</v>
          </cell>
          <cell r="AQ362" t="str">
            <v>CAD_2019</v>
          </cell>
          <cell r="AR362">
            <v>0</v>
          </cell>
          <cell r="AS362">
            <v>168</v>
          </cell>
          <cell r="AU362">
            <v>168</v>
          </cell>
          <cell r="AV362">
            <v>0</v>
          </cell>
          <cell r="AW362">
            <v>238.56000000000029</v>
          </cell>
          <cell r="AX362">
            <v>238.56000000000029</v>
          </cell>
          <cell r="AY362">
            <v>0</v>
          </cell>
          <cell r="AZ362">
            <v>238.56000000000029</v>
          </cell>
          <cell r="BA362">
            <v>238.56000000000029</v>
          </cell>
          <cell r="BB362">
            <v>238.56000000000029</v>
          </cell>
          <cell r="BC362">
            <v>0</v>
          </cell>
          <cell r="BD362">
            <v>0</v>
          </cell>
          <cell r="BE362">
            <v>0</v>
          </cell>
          <cell r="BG362">
            <v>238.56000000000029</v>
          </cell>
          <cell r="BI362">
            <v>238.56000000000029</v>
          </cell>
          <cell r="BJ362">
            <v>14616</v>
          </cell>
          <cell r="BK362">
            <v>10377.359999999999</v>
          </cell>
          <cell r="BL362">
            <v>10580.052</v>
          </cell>
          <cell r="BM362">
            <v>0</v>
          </cell>
          <cell r="BN362">
            <v>0</v>
          </cell>
          <cell r="BO362">
            <v>0</v>
          </cell>
          <cell r="BP362">
            <v>10580.052</v>
          </cell>
          <cell r="BQ362">
            <v>0</v>
          </cell>
          <cell r="BR362">
            <v>-202.69200000000092</v>
          </cell>
          <cell r="BS362" t="str">
            <v>Y</v>
          </cell>
          <cell r="BT362">
            <v>1</v>
          </cell>
          <cell r="BU362">
            <v>1</v>
          </cell>
          <cell r="BV362" t="str">
            <v>Y</v>
          </cell>
          <cell r="BW362">
            <v>0</v>
          </cell>
          <cell r="BX362">
            <v>0</v>
          </cell>
          <cell r="BY362">
            <v>2026</v>
          </cell>
          <cell r="BZ362" t="str">
            <v>-</v>
          </cell>
          <cell r="CA362" t="str">
            <v>-</v>
          </cell>
        </row>
        <row r="363">
          <cell r="A363" t="str">
            <v>Lucknow</v>
          </cell>
          <cell r="B363" t="str">
            <v>Mavericks</v>
          </cell>
          <cell r="C363" t="str">
            <v>Mid Level</v>
          </cell>
          <cell r="D363" t="str">
            <v>Akbar Ibrahim</v>
          </cell>
          <cell r="E363" t="str">
            <v>-</v>
          </cell>
          <cell r="F363" t="str">
            <v>MSP</v>
          </cell>
          <cell r="H363" t="str">
            <v>Pass Through</v>
          </cell>
          <cell r="J363" t="str">
            <v>ACH</v>
          </cell>
          <cell r="L363" t="str">
            <v>New</v>
          </cell>
          <cell r="M363">
            <v>46041</v>
          </cell>
          <cell r="N363">
            <v>161</v>
          </cell>
          <cell r="P363">
            <v>46406</v>
          </cell>
          <cell r="Q363" t="str">
            <v>PLC-Passthrough</v>
          </cell>
          <cell r="R363" t="str">
            <v>Mahesh Sreedharan</v>
          </cell>
          <cell r="S363" t="str">
            <v>Individual</v>
          </cell>
          <cell r="T363" t="str">
            <v>C2C Canada</v>
          </cell>
          <cell r="U363" t="str">
            <v>CoForge</v>
          </cell>
          <cell r="V363">
            <v>85</v>
          </cell>
          <cell r="W363">
            <v>0</v>
          </cell>
          <cell r="X363" t="str">
            <v>CAD</v>
          </cell>
          <cell r="Y363">
            <v>87</v>
          </cell>
          <cell r="Z363">
            <v>0</v>
          </cell>
          <cell r="AA363">
            <v>0</v>
          </cell>
          <cell r="AB363">
            <v>0</v>
          </cell>
          <cell r="AC363">
            <v>46127</v>
          </cell>
          <cell r="AD363">
            <v>22</v>
          </cell>
          <cell r="AE363">
            <v>46387</v>
          </cell>
          <cell r="AF363">
            <v>60.349999999999994</v>
          </cell>
          <cell r="AG363">
            <v>0</v>
          </cell>
          <cell r="AH363">
            <v>60.349999999999994</v>
          </cell>
          <cell r="AI363">
            <v>61.769999999999996</v>
          </cell>
          <cell r="AJ363">
            <v>0</v>
          </cell>
          <cell r="AK363">
            <v>0</v>
          </cell>
          <cell r="AL363">
            <v>1.4200000000000017</v>
          </cell>
          <cell r="AM363">
            <v>0</v>
          </cell>
          <cell r="AN363">
            <v>1.4200000000000017</v>
          </cell>
          <cell r="AO363">
            <v>0</v>
          </cell>
          <cell r="AP363">
            <v>1.4200000000000017</v>
          </cell>
          <cell r="AQ363" t="str">
            <v>CAD_2125</v>
          </cell>
          <cell r="AR363">
            <v>0</v>
          </cell>
          <cell r="AS363">
            <v>160</v>
          </cell>
          <cell r="AU363">
            <v>160</v>
          </cell>
          <cell r="AV363">
            <v>0</v>
          </cell>
          <cell r="AW363">
            <v>227.20000000000027</v>
          </cell>
          <cell r="AX363">
            <v>224.92800000000028</v>
          </cell>
          <cell r="AY363">
            <v>0</v>
          </cell>
          <cell r="AZ363">
            <v>227.20000000000027</v>
          </cell>
          <cell r="BA363">
            <v>224.92800000000028</v>
          </cell>
          <cell r="BB363">
            <v>227.20000000000027</v>
          </cell>
          <cell r="BC363">
            <v>0</v>
          </cell>
          <cell r="BD363">
            <v>0</v>
          </cell>
          <cell r="BE363">
            <v>0</v>
          </cell>
          <cell r="BG363">
            <v>224.92800000000028</v>
          </cell>
          <cell r="BI363">
            <v>224.92800000000028</v>
          </cell>
          <cell r="BJ363">
            <v>13920</v>
          </cell>
          <cell r="BK363">
            <v>9883.1999999999989</v>
          </cell>
          <cell r="BL363">
            <v>10076.24</v>
          </cell>
          <cell r="BM363">
            <v>0</v>
          </cell>
          <cell r="BN363">
            <v>0</v>
          </cell>
          <cell r="BO363">
            <v>0</v>
          </cell>
          <cell r="BP363">
            <v>10076.24</v>
          </cell>
          <cell r="BQ363">
            <v>0</v>
          </cell>
          <cell r="BR363">
            <v>-193.04000000000087</v>
          </cell>
          <cell r="BS363" t="str">
            <v>Y</v>
          </cell>
          <cell r="BT363">
            <v>2</v>
          </cell>
          <cell r="BU363">
            <v>1</v>
          </cell>
          <cell r="BV363" t="str">
            <v>Y</v>
          </cell>
          <cell r="BW363">
            <v>0</v>
          </cell>
          <cell r="BX363">
            <v>0</v>
          </cell>
          <cell r="BY363">
            <v>2026</v>
          </cell>
          <cell r="BZ363" t="str">
            <v>-</v>
          </cell>
          <cell r="CA363" t="str">
            <v>-</v>
          </cell>
        </row>
        <row r="364">
          <cell r="A364" t="str">
            <v>Lucknow</v>
          </cell>
          <cell r="B364" t="str">
            <v>Mavericks</v>
          </cell>
          <cell r="C364" t="str">
            <v>Mid Level</v>
          </cell>
          <cell r="D364" t="str">
            <v>Akbar Ibrahim</v>
          </cell>
          <cell r="E364" t="str">
            <v>-</v>
          </cell>
          <cell r="F364" t="str">
            <v>MSP</v>
          </cell>
          <cell r="H364" t="str">
            <v>Pass Through</v>
          </cell>
          <cell r="J364" t="str">
            <v>ACH</v>
          </cell>
          <cell r="L364" t="str">
            <v>New</v>
          </cell>
          <cell r="M364">
            <v>46041</v>
          </cell>
          <cell r="N364">
            <v>161</v>
          </cell>
          <cell r="P364">
            <v>46406</v>
          </cell>
          <cell r="Q364" t="str">
            <v>PLC-Passthrough</v>
          </cell>
          <cell r="R364" t="str">
            <v>Mahesh Sreedharan</v>
          </cell>
          <cell r="S364" t="str">
            <v>Individual</v>
          </cell>
          <cell r="T364" t="str">
            <v>C2C Canada</v>
          </cell>
          <cell r="U364" t="str">
            <v>CoForge</v>
          </cell>
          <cell r="V364">
            <v>85</v>
          </cell>
          <cell r="W364">
            <v>0</v>
          </cell>
          <cell r="X364" t="str">
            <v>CAD</v>
          </cell>
          <cell r="Y364">
            <v>87</v>
          </cell>
          <cell r="Z364">
            <v>0</v>
          </cell>
          <cell r="AA364">
            <v>0</v>
          </cell>
          <cell r="AB364">
            <v>0</v>
          </cell>
          <cell r="AC364">
            <v>46157</v>
          </cell>
          <cell r="AD364">
            <v>22</v>
          </cell>
          <cell r="AE364">
            <v>46387</v>
          </cell>
          <cell r="AF364">
            <v>60.349999999999994</v>
          </cell>
          <cell r="AG364">
            <v>0</v>
          </cell>
          <cell r="AH364">
            <v>60.349999999999994</v>
          </cell>
          <cell r="AI364">
            <v>61.769999999999996</v>
          </cell>
          <cell r="AJ364">
            <v>0</v>
          </cell>
          <cell r="AK364">
            <v>0</v>
          </cell>
          <cell r="AL364">
            <v>1.4200000000000017</v>
          </cell>
          <cell r="AM364">
            <v>0</v>
          </cell>
          <cell r="AN364">
            <v>1.4200000000000017</v>
          </cell>
          <cell r="AO364">
            <v>0</v>
          </cell>
          <cell r="AP364">
            <v>1.4200000000000017</v>
          </cell>
          <cell r="AQ364" t="str">
            <v>CAD_2169</v>
          </cell>
          <cell r="AR364">
            <v>0</v>
          </cell>
          <cell r="AS364">
            <v>160</v>
          </cell>
          <cell r="AU364">
            <v>160</v>
          </cell>
          <cell r="AV364">
            <v>0</v>
          </cell>
          <cell r="AW364">
            <v>227.20000000000027</v>
          </cell>
          <cell r="AX364">
            <v>224.92800000000028</v>
          </cell>
          <cell r="AY364">
            <v>0</v>
          </cell>
          <cell r="AZ364">
            <v>227.20000000000027</v>
          </cell>
          <cell r="BA364">
            <v>224.92800000000028</v>
          </cell>
          <cell r="BB364">
            <v>227.20000000000027</v>
          </cell>
          <cell r="BC364">
            <v>0</v>
          </cell>
          <cell r="BD364">
            <v>0</v>
          </cell>
          <cell r="BE364">
            <v>0</v>
          </cell>
          <cell r="BG364">
            <v>224.92800000000028</v>
          </cell>
          <cell r="BI364">
            <v>224.92800000000028</v>
          </cell>
          <cell r="BJ364">
            <v>13920</v>
          </cell>
          <cell r="BK364">
            <v>9883.1999999999989</v>
          </cell>
          <cell r="BL364">
            <v>10076.24</v>
          </cell>
          <cell r="BM364">
            <v>0</v>
          </cell>
          <cell r="BN364">
            <v>0</v>
          </cell>
          <cell r="BO364">
            <v>0</v>
          </cell>
          <cell r="BP364">
            <v>10076.24</v>
          </cell>
          <cell r="BQ364">
            <v>0</v>
          </cell>
          <cell r="BR364">
            <v>-193.04000000000087</v>
          </cell>
          <cell r="BT364">
            <v>2</v>
          </cell>
          <cell r="BU364">
            <v>1</v>
          </cell>
          <cell r="BV364" t="str">
            <v>Y</v>
          </cell>
          <cell r="BW364">
            <v>0</v>
          </cell>
          <cell r="BX364">
            <v>0</v>
          </cell>
          <cell r="BY364">
            <v>2026</v>
          </cell>
          <cell r="BZ364" t="str">
            <v>-</v>
          </cell>
          <cell r="CA364" t="str">
            <v>-</v>
          </cell>
        </row>
        <row r="365">
          <cell r="A365" t="str">
            <v>Lucknow</v>
          </cell>
          <cell r="B365" t="str">
            <v>Mavericks</v>
          </cell>
          <cell r="C365" t="str">
            <v>Mid Level</v>
          </cell>
          <cell r="D365" t="str">
            <v>Mohammad Fakhrul</v>
          </cell>
          <cell r="E365" t="str">
            <v>-</v>
          </cell>
          <cell r="F365" t="str">
            <v>MSP</v>
          </cell>
          <cell r="H365" t="str">
            <v>Pass Through/MSP</v>
          </cell>
          <cell r="J365" t="str">
            <v>ACH</v>
          </cell>
          <cell r="L365" t="str">
            <v>New</v>
          </cell>
          <cell r="M365">
            <v>46125</v>
          </cell>
          <cell r="N365">
            <v>77</v>
          </cell>
          <cell r="P365">
            <v>46490</v>
          </cell>
          <cell r="Q365" t="str">
            <v>PLC-Passthrough</v>
          </cell>
          <cell r="R365" t="str">
            <v>Mahesh Yeluka</v>
          </cell>
          <cell r="S365" t="str">
            <v>Individual</v>
          </cell>
          <cell r="T365" t="str">
            <v>C2C</v>
          </cell>
          <cell r="U365" t="str">
            <v>Cigniti</v>
          </cell>
          <cell r="V365">
            <v>76</v>
          </cell>
          <cell r="W365">
            <v>0</v>
          </cell>
          <cell r="X365" t="str">
            <v>USD</v>
          </cell>
          <cell r="Y365">
            <v>77</v>
          </cell>
          <cell r="Z365">
            <v>0</v>
          </cell>
          <cell r="AA365">
            <v>0</v>
          </cell>
          <cell r="AB365">
            <v>0</v>
          </cell>
          <cell r="AC365">
            <v>46127</v>
          </cell>
          <cell r="AD365">
            <v>14</v>
          </cell>
          <cell r="AE365">
            <v>46387</v>
          </cell>
          <cell r="AF365">
            <v>76</v>
          </cell>
          <cell r="AG365">
            <v>0</v>
          </cell>
          <cell r="AH365">
            <v>76</v>
          </cell>
          <cell r="AI365">
            <v>77</v>
          </cell>
          <cell r="AJ365">
            <v>0</v>
          </cell>
          <cell r="AK365">
            <v>0</v>
          </cell>
          <cell r="AL365">
            <v>1</v>
          </cell>
          <cell r="AM365">
            <v>0</v>
          </cell>
          <cell r="AN365">
            <v>1</v>
          </cell>
          <cell r="AO365">
            <v>0</v>
          </cell>
          <cell r="AP365">
            <v>1</v>
          </cell>
          <cell r="AQ365" t="str">
            <v>US_CMSP_00740</v>
          </cell>
          <cell r="AR365">
            <v>0</v>
          </cell>
          <cell r="AS365">
            <v>96</v>
          </cell>
          <cell r="AU365">
            <v>96</v>
          </cell>
          <cell r="AV365">
            <v>0</v>
          </cell>
          <cell r="AW365">
            <v>96</v>
          </cell>
          <cell r="AX365">
            <v>95.039999999999992</v>
          </cell>
          <cell r="AY365">
            <v>0</v>
          </cell>
          <cell r="AZ365">
            <v>96</v>
          </cell>
          <cell r="BA365">
            <v>95.039999999999992</v>
          </cell>
          <cell r="BB365">
            <v>96</v>
          </cell>
          <cell r="BC365">
            <v>0</v>
          </cell>
          <cell r="BD365">
            <v>0</v>
          </cell>
          <cell r="BE365">
            <v>0</v>
          </cell>
          <cell r="BG365">
            <v>95.039999999999992</v>
          </cell>
          <cell r="BI365">
            <v>0</v>
          </cell>
          <cell r="BJ365">
            <v>7392</v>
          </cell>
          <cell r="BK365">
            <v>7392</v>
          </cell>
          <cell r="BL365">
            <v>7296</v>
          </cell>
          <cell r="BM365">
            <v>0</v>
          </cell>
          <cell r="BN365">
            <v>0</v>
          </cell>
          <cell r="BO365">
            <v>0</v>
          </cell>
          <cell r="BP365">
            <v>7296</v>
          </cell>
          <cell r="BQ365">
            <v>0</v>
          </cell>
          <cell r="BR365">
            <v>96</v>
          </cell>
          <cell r="BT365">
            <v>2</v>
          </cell>
          <cell r="BU365">
            <v>2</v>
          </cell>
          <cell r="BV365" t="str">
            <v>N</v>
          </cell>
          <cell r="BW365">
            <v>0</v>
          </cell>
          <cell r="BX365">
            <v>0</v>
          </cell>
          <cell r="BY365">
            <v>2026</v>
          </cell>
          <cell r="BZ365" t="str">
            <v>-</v>
          </cell>
          <cell r="CA365" t="str">
            <v>-</v>
          </cell>
        </row>
        <row r="366">
          <cell r="A366" t="str">
            <v>Lucknow</v>
          </cell>
          <cell r="B366" t="str">
            <v>Mavericks</v>
          </cell>
          <cell r="C366" t="str">
            <v>Mid Level</v>
          </cell>
          <cell r="D366" t="str">
            <v>Mohammad Fakhrul</v>
          </cell>
          <cell r="E366" t="str">
            <v>-</v>
          </cell>
          <cell r="F366" t="str">
            <v>MSP</v>
          </cell>
          <cell r="H366" t="str">
            <v>Pass Through/MSP</v>
          </cell>
          <cell r="J366" t="str">
            <v>ACH</v>
          </cell>
          <cell r="L366" t="str">
            <v>New</v>
          </cell>
          <cell r="M366">
            <v>46125</v>
          </cell>
          <cell r="N366">
            <v>77</v>
          </cell>
          <cell r="P366">
            <v>46490</v>
          </cell>
          <cell r="Q366" t="str">
            <v>PLC-Passthrough</v>
          </cell>
          <cell r="R366" t="str">
            <v>Mahesh Yeluka</v>
          </cell>
          <cell r="S366" t="str">
            <v>Individual</v>
          </cell>
          <cell r="T366" t="str">
            <v>C2C</v>
          </cell>
          <cell r="U366" t="str">
            <v>Cigniti</v>
          </cell>
          <cell r="V366">
            <v>76</v>
          </cell>
          <cell r="W366">
            <v>0</v>
          </cell>
          <cell r="X366" t="str">
            <v>USD</v>
          </cell>
          <cell r="Y366">
            <v>77</v>
          </cell>
          <cell r="Z366">
            <v>0</v>
          </cell>
          <cell r="AA366">
            <v>0</v>
          </cell>
          <cell r="AB366">
            <v>0</v>
          </cell>
          <cell r="AC366">
            <v>46157</v>
          </cell>
          <cell r="AD366">
            <v>14</v>
          </cell>
          <cell r="AE366">
            <v>46387</v>
          </cell>
          <cell r="AF366">
            <v>76</v>
          </cell>
          <cell r="AG366">
            <v>0</v>
          </cell>
          <cell r="AH366">
            <v>76</v>
          </cell>
          <cell r="AI366">
            <v>77</v>
          </cell>
          <cell r="AJ366">
            <v>0</v>
          </cell>
          <cell r="AK366">
            <v>0</v>
          </cell>
          <cell r="AL366">
            <v>1</v>
          </cell>
          <cell r="AM366">
            <v>0</v>
          </cell>
          <cell r="AN366">
            <v>1</v>
          </cell>
          <cell r="AO366">
            <v>0</v>
          </cell>
          <cell r="AP366">
            <v>1</v>
          </cell>
          <cell r="AQ366" t="str">
            <v>US_CMSP_00881</v>
          </cell>
          <cell r="AR366">
            <v>0</v>
          </cell>
          <cell r="AS366">
            <v>160</v>
          </cell>
          <cell r="AU366">
            <v>160</v>
          </cell>
          <cell r="AV366">
            <v>0</v>
          </cell>
          <cell r="AW366">
            <v>160</v>
          </cell>
          <cell r="AX366">
            <v>158.4</v>
          </cell>
          <cell r="AY366">
            <v>0</v>
          </cell>
          <cell r="AZ366">
            <v>160</v>
          </cell>
          <cell r="BA366">
            <v>158.4</v>
          </cell>
          <cell r="BB366">
            <v>160</v>
          </cell>
          <cell r="BC366">
            <v>0</v>
          </cell>
          <cell r="BD366">
            <v>0</v>
          </cell>
          <cell r="BE366">
            <v>0</v>
          </cell>
          <cell r="BG366">
            <v>158.4</v>
          </cell>
          <cell r="BI366">
            <v>0</v>
          </cell>
          <cell r="BJ366">
            <v>12320</v>
          </cell>
          <cell r="BK366">
            <v>12320</v>
          </cell>
          <cell r="BL366">
            <v>12160</v>
          </cell>
          <cell r="BM366">
            <v>0</v>
          </cell>
          <cell r="BN366">
            <v>0</v>
          </cell>
          <cell r="BO366">
            <v>0</v>
          </cell>
          <cell r="BP366">
            <v>12160</v>
          </cell>
          <cell r="BQ366">
            <v>0</v>
          </cell>
          <cell r="BR366">
            <v>160</v>
          </cell>
          <cell r="BT366">
            <v>2</v>
          </cell>
          <cell r="BU366">
            <v>2</v>
          </cell>
          <cell r="BV366" t="str">
            <v>N</v>
          </cell>
          <cell r="BW366">
            <v>0</v>
          </cell>
          <cell r="BX366">
            <v>0</v>
          </cell>
          <cell r="BY366">
            <v>2026</v>
          </cell>
          <cell r="BZ366" t="str">
            <v>-</v>
          </cell>
          <cell r="CA366" t="str">
            <v>-</v>
          </cell>
        </row>
        <row r="367">
          <cell r="A367" t="str">
            <v>Lucknow</v>
          </cell>
          <cell r="B367" t="str">
            <v>Mavericks</v>
          </cell>
          <cell r="C367" t="str">
            <v>Mid Level</v>
          </cell>
          <cell r="D367" t="str">
            <v>Rohit Gupta</v>
          </cell>
          <cell r="E367" t="str">
            <v>Vivek Yadav</v>
          </cell>
          <cell r="F367" t="str">
            <v>Non-MSP</v>
          </cell>
          <cell r="H367" t="str">
            <v>Abhishek Mishra Mavericks</v>
          </cell>
          <cell r="L367" t="str">
            <v>New</v>
          </cell>
          <cell r="M367">
            <v>46083</v>
          </cell>
          <cell r="N367">
            <v>119</v>
          </cell>
          <cell r="P367">
            <v>46448</v>
          </cell>
          <cell r="Q367" t="str">
            <v>PLC-4722</v>
          </cell>
          <cell r="R367" t="str">
            <v>Mani Teja Ladi</v>
          </cell>
          <cell r="S367" t="str">
            <v>Individual</v>
          </cell>
          <cell r="T367" t="str">
            <v>C2C</v>
          </cell>
          <cell r="U367" t="str">
            <v>CoForge</v>
          </cell>
          <cell r="V367">
            <v>95</v>
          </cell>
          <cell r="W367">
            <v>0</v>
          </cell>
          <cell r="X367" t="str">
            <v>USD</v>
          </cell>
          <cell r="Y367">
            <v>98</v>
          </cell>
          <cell r="Z367">
            <v>0</v>
          </cell>
          <cell r="AA367">
            <v>0</v>
          </cell>
          <cell r="AB367">
            <v>0</v>
          </cell>
          <cell r="AC367">
            <v>46096</v>
          </cell>
          <cell r="AD367">
            <v>22</v>
          </cell>
          <cell r="AE367">
            <v>46387</v>
          </cell>
          <cell r="AF367">
            <v>95</v>
          </cell>
          <cell r="AG367">
            <v>0</v>
          </cell>
          <cell r="AH367">
            <v>95</v>
          </cell>
          <cell r="AI367">
            <v>98</v>
          </cell>
          <cell r="AJ367">
            <v>0</v>
          </cell>
          <cell r="AK367">
            <v>0</v>
          </cell>
          <cell r="AL367">
            <v>3</v>
          </cell>
          <cell r="AM367">
            <v>0</v>
          </cell>
          <cell r="AN367">
            <v>3</v>
          </cell>
          <cell r="AO367">
            <v>0</v>
          </cell>
          <cell r="AP367">
            <v>3</v>
          </cell>
          <cell r="AQ367" t="str">
            <v>US_27421</v>
          </cell>
          <cell r="AR367">
            <v>0</v>
          </cell>
          <cell r="AS367">
            <v>163</v>
          </cell>
          <cell r="AU367">
            <v>163</v>
          </cell>
          <cell r="AV367">
            <v>0</v>
          </cell>
          <cell r="AW367">
            <v>489</v>
          </cell>
          <cell r="AX367">
            <v>489</v>
          </cell>
          <cell r="AY367">
            <v>0</v>
          </cell>
          <cell r="AZ367">
            <v>489</v>
          </cell>
          <cell r="BA367">
            <v>489</v>
          </cell>
          <cell r="BB367">
            <v>489</v>
          </cell>
          <cell r="BC367">
            <v>0</v>
          </cell>
          <cell r="BD367">
            <v>0</v>
          </cell>
          <cell r="BE367">
            <v>0</v>
          </cell>
          <cell r="BG367">
            <v>489</v>
          </cell>
          <cell r="BI367">
            <v>489</v>
          </cell>
          <cell r="BJ367">
            <v>15974</v>
          </cell>
          <cell r="BK367">
            <v>15974</v>
          </cell>
          <cell r="BL367">
            <v>15485</v>
          </cell>
          <cell r="BM367">
            <v>0</v>
          </cell>
          <cell r="BN367">
            <v>0</v>
          </cell>
          <cell r="BO367">
            <v>0</v>
          </cell>
          <cell r="BP367">
            <v>15485</v>
          </cell>
          <cell r="BQ367">
            <v>0</v>
          </cell>
          <cell r="BR367">
            <v>489</v>
          </cell>
          <cell r="BT367">
            <v>1</v>
          </cell>
          <cell r="BU367">
            <v>1</v>
          </cell>
          <cell r="BV367" t="str">
            <v>N</v>
          </cell>
          <cell r="BW367">
            <v>0</v>
          </cell>
          <cell r="BX367">
            <v>0</v>
          </cell>
          <cell r="BY367">
            <v>2026</v>
          </cell>
          <cell r="BZ367" t="str">
            <v>-</v>
          </cell>
          <cell r="CA367" t="str">
            <v>-</v>
          </cell>
        </row>
        <row r="368">
          <cell r="A368" t="str">
            <v>Lucknow</v>
          </cell>
          <cell r="B368" t="str">
            <v>Mavericks</v>
          </cell>
          <cell r="C368" t="str">
            <v>Mid Level</v>
          </cell>
          <cell r="D368" t="str">
            <v>Rohit Gupta</v>
          </cell>
          <cell r="E368" t="str">
            <v>Vivek Yadav</v>
          </cell>
          <cell r="F368" t="str">
            <v>Non-MSP</v>
          </cell>
          <cell r="H368" t="str">
            <v>Abhishek Mishra Mavericks</v>
          </cell>
          <cell r="J368" t="str">
            <v>ACH</v>
          </cell>
          <cell r="L368" t="str">
            <v>New</v>
          </cell>
          <cell r="M368">
            <v>46083</v>
          </cell>
          <cell r="N368">
            <v>119</v>
          </cell>
          <cell r="P368">
            <v>46448</v>
          </cell>
          <cell r="Q368" t="str">
            <v>PLC-4722</v>
          </cell>
          <cell r="R368" t="str">
            <v>Mani Teja Ladi</v>
          </cell>
          <cell r="S368" t="str">
            <v>Individual</v>
          </cell>
          <cell r="T368" t="str">
            <v>C2C</v>
          </cell>
          <cell r="U368" t="str">
            <v>CoForge</v>
          </cell>
          <cell r="V368">
            <v>95</v>
          </cell>
          <cell r="W368">
            <v>0</v>
          </cell>
          <cell r="X368" t="str">
            <v>USD</v>
          </cell>
          <cell r="Y368">
            <v>98</v>
          </cell>
          <cell r="Z368">
            <v>0</v>
          </cell>
          <cell r="AA368">
            <v>0</v>
          </cell>
          <cell r="AB368">
            <v>0</v>
          </cell>
          <cell r="AC368">
            <v>46127</v>
          </cell>
          <cell r="AD368">
            <v>22</v>
          </cell>
          <cell r="AE368">
            <v>46387</v>
          </cell>
          <cell r="AF368">
            <v>95</v>
          </cell>
          <cell r="AG368">
            <v>0</v>
          </cell>
          <cell r="AH368">
            <v>95</v>
          </cell>
          <cell r="AI368">
            <v>98</v>
          </cell>
          <cell r="AJ368">
            <v>0</v>
          </cell>
          <cell r="AK368">
            <v>0</v>
          </cell>
          <cell r="AL368">
            <v>3</v>
          </cell>
          <cell r="AM368">
            <v>0</v>
          </cell>
          <cell r="AN368">
            <v>3</v>
          </cell>
          <cell r="AO368">
            <v>0</v>
          </cell>
          <cell r="AP368">
            <v>3</v>
          </cell>
          <cell r="AQ368" t="str">
            <v>US_27652</v>
          </cell>
          <cell r="AR368">
            <v>0</v>
          </cell>
          <cell r="AS368">
            <v>163</v>
          </cell>
          <cell r="AU368">
            <v>163</v>
          </cell>
          <cell r="AV368">
            <v>0</v>
          </cell>
          <cell r="AW368">
            <v>489</v>
          </cell>
          <cell r="AX368">
            <v>484.11</v>
          </cell>
          <cell r="AY368">
            <v>0</v>
          </cell>
          <cell r="AZ368">
            <v>489</v>
          </cell>
          <cell r="BA368">
            <v>484.11</v>
          </cell>
          <cell r="BB368">
            <v>489</v>
          </cell>
          <cell r="BC368">
            <v>0</v>
          </cell>
          <cell r="BD368">
            <v>0</v>
          </cell>
          <cell r="BE368">
            <v>0</v>
          </cell>
          <cell r="BG368">
            <v>484.11</v>
          </cell>
          <cell r="BI368">
            <v>484.11</v>
          </cell>
          <cell r="BJ368">
            <v>15974</v>
          </cell>
          <cell r="BK368">
            <v>15974</v>
          </cell>
          <cell r="BL368">
            <v>15485</v>
          </cell>
          <cell r="BM368">
            <v>0</v>
          </cell>
          <cell r="BN368">
            <v>0</v>
          </cell>
          <cell r="BO368">
            <v>0</v>
          </cell>
          <cell r="BP368">
            <v>15485</v>
          </cell>
          <cell r="BQ368">
            <v>0</v>
          </cell>
          <cell r="BR368">
            <v>489</v>
          </cell>
          <cell r="BT368">
            <v>2</v>
          </cell>
          <cell r="BU368">
            <v>1</v>
          </cell>
          <cell r="BV368" t="str">
            <v>N</v>
          </cell>
          <cell r="BW368">
            <v>0</v>
          </cell>
          <cell r="BX368">
            <v>0</v>
          </cell>
          <cell r="BY368">
            <v>2026</v>
          </cell>
          <cell r="BZ368" t="str">
            <v>-</v>
          </cell>
          <cell r="CA368" t="str">
            <v>-</v>
          </cell>
        </row>
        <row r="369">
          <cell r="A369" t="str">
            <v>Lucknow</v>
          </cell>
          <cell r="B369" t="str">
            <v>Mavericks</v>
          </cell>
          <cell r="C369" t="str">
            <v>Mid Level</v>
          </cell>
          <cell r="D369" t="str">
            <v>Rohit Gupta</v>
          </cell>
          <cell r="E369" t="str">
            <v>Vivek Yadav</v>
          </cell>
          <cell r="F369" t="str">
            <v>Non-MSP</v>
          </cell>
          <cell r="H369" t="str">
            <v>Abhishek Mishra Mavericks</v>
          </cell>
          <cell r="J369" t="str">
            <v>ACH</v>
          </cell>
          <cell r="L369" t="str">
            <v>New</v>
          </cell>
          <cell r="M369">
            <v>46083</v>
          </cell>
          <cell r="N369">
            <v>119</v>
          </cell>
          <cell r="P369">
            <v>46448</v>
          </cell>
          <cell r="Q369" t="str">
            <v>PLC-4722</v>
          </cell>
          <cell r="R369" t="str">
            <v>Mani Teja Ladi</v>
          </cell>
          <cell r="S369" t="str">
            <v>Individual</v>
          </cell>
          <cell r="T369" t="str">
            <v>C2C</v>
          </cell>
          <cell r="U369" t="str">
            <v>CoForge</v>
          </cell>
          <cell r="V369">
            <v>95</v>
          </cell>
          <cell r="W369">
            <v>0</v>
          </cell>
          <cell r="X369" t="str">
            <v>USD</v>
          </cell>
          <cell r="Y369">
            <v>98</v>
          </cell>
          <cell r="Z369">
            <v>0</v>
          </cell>
          <cell r="AA369">
            <v>0</v>
          </cell>
          <cell r="AB369">
            <v>0</v>
          </cell>
          <cell r="AC369">
            <v>46157</v>
          </cell>
          <cell r="AD369">
            <v>22</v>
          </cell>
          <cell r="AE369">
            <v>46387</v>
          </cell>
          <cell r="AF369">
            <v>95</v>
          </cell>
          <cell r="AG369">
            <v>0</v>
          </cell>
          <cell r="AH369">
            <v>95</v>
          </cell>
          <cell r="AI369">
            <v>98</v>
          </cell>
          <cell r="AJ369">
            <v>0</v>
          </cell>
          <cell r="AK369">
            <v>0</v>
          </cell>
          <cell r="AL369">
            <v>3</v>
          </cell>
          <cell r="AM369">
            <v>0</v>
          </cell>
          <cell r="AN369">
            <v>3</v>
          </cell>
          <cell r="AO369">
            <v>0</v>
          </cell>
          <cell r="AP369">
            <v>3</v>
          </cell>
          <cell r="AU369">
            <v>176</v>
          </cell>
          <cell r="BB369">
            <v>528</v>
          </cell>
          <cell r="BC369">
            <v>0</v>
          </cell>
          <cell r="BD369">
            <v>0</v>
          </cell>
          <cell r="BE369">
            <v>0</v>
          </cell>
          <cell r="BK369">
            <v>17248</v>
          </cell>
          <cell r="BL369">
            <v>16720</v>
          </cell>
          <cell r="BM369">
            <v>0</v>
          </cell>
          <cell r="BN369">
            <v>0</v>
          </cell>
          <cell r="BO369">
            <v>0</v>
          </cell>
          <cell r="BP369">
            <v>16720</v>
          </cell>
          <cell r="BQ369">
            <v>0</v>
          </cell>
          <cell r="BR369">
            <v>528</v>
          </cell>
          <cell r="BT369">
            <v>2</v>
          </cell>
          <cell r="BU369">
            <v>1</v>
          </cell>
          <cell r="BV369" t="str">
            <v>N</v>
          </cell>
          <cell r="BW369">
            <v>0</v>
          </cell>
          <cell r="BX369">
            <v>0</v>
          </cell>
          <cell r="BY369">
            <v>2026</v>
          </cell>
          <cell r="BZ369" t="str">
            <v>-</v>
          </cell>
          <cell r="CA369" t="str">
            <v>-</v>
          </cell>
        </row>
        <row r="370">
          <cell r="A370" t="str">
            <v>Lucknow</v>
          </cell>
          <cell r="B370" t="str">
            <v>Mavericks</v>
          </cell>
          <cell r="C370" t="str">
            <v>Mid Level</v>
          </cell>
          <cell r="D370" t="str">
            <v>Kashif Nabi</v>
          </cell>
          <cell r="F370" t="str">
            <v>Non-MSP</v>
          </cell>
          <cell r="H370" t="str">
            <v>Ubaid Rahman</v>
          </cell>
          <cell r="J370" t="str">
            <v>ACH</v>
          </cell>
          <cell r="L370" t="str">
            <v>New</v>
          </cell>
          <cell r="M370">
            <v>46118</v>
          </cell>
          <cell r="N370">
            <v>84</v>
          </cell>
          <cell r="P370">
            <v>46483</v>
          </cell>
          <cell r="Q370" t="str">
            <v>PLC-4756</v>
          </cell>
          <cell r="R370" t="str">
            <v>Manikanta Manoj Paruchuri</v>
          </cell>
          <cell r="S370" t="str">
            <v>Individual</v>
          </cell>
          <cell r="T370" t="str">
            <v>C2C</v>
          </cell>
          <cell r="U370" t="str">
            <v>GRI</v>
          </cell>
          <cell r="V370">
            <v>58</v>
          </cell>
          <cell r="W370">
            <v>0</v>
          </cell>
          <cell r="X370" t="str">
            <v>USD</v>
          </cell>
          <cell r="Y370">
            <v>68</v>
          </cell>
          <cell r="Z370">
            <v>0</v>
          </cell>
          <cell r="AA370">
            <v>0</v>
          </cell>
          <cell r="AB370">
            <v>0</v>
          </cell>
          <cell r="AC370">
            <v>46127</v>
          </cell>
          <cell r="AD370">
            <v>19</v>
          </cell>
          <cell r="AE370">
            <v>46387</v>
          </cell>
          <cell r="AF370">
            <v>58</v>
          </cell>
          <cell r="AG370">
            <v>0</v>
          </cell>
          <cell r="AH370">
            <v>58</v>
          </cell>
          <cell r="AI370">
            <v>66.381599999999992</v>
          </cell>
          <cell r="AJ370">
            <v>0</v>
          </cell>
          <cell r="AK370">
            <v>0</v>
          </cell>
          <cell r="AL370">
            <v>8.3815999999999917</v>
          </cell>
          <cell r="AM370">
            <v>0</v>
          </cell>
          <cell r="AN370">
            <v>8.3815999999999917</v>
          </cell>
          <cell r="AO370">
            <v>0</v>
          </cell>
          <cell r="AP370">
            <v>8.3815999999999917</v>
          </cell>
          <cell r="AQ370" t="str">
            <v>GRI123499</v>
          </cell>
          <cell r="AR370">
            <v>0</v>
          </cell>
          <cell r="AS370">
            <v>160</v>
          </cell>
          <cell r="AU370">
            <v>160</v>
          </cell>
          <cell r="AV370">
            <v>0</v>
          </cell>
          <cell r="AW370">
            <v>1341.0559999999987</v>
          </cell>
          <cell r="AX370">
            <v>1327.6454399999986</v>
          </cell>
          <cell r="AY370">
            <v>0</v>
          </cell>
          <cell r="AZ370">
            <v>1341.0559999999987</v>
          </cell>
          <cell r="BA370">
            <v>1327.6454399999986</v>
          </cell>
          <cell r="BB370">
            <v>1341.0559999999987</v>
          </cell>
          <cell r="BC370">
            <v>37.5</v>
          </cell>
          <cell r="BD370">
            <v>1752.4919807999984</v>
          </cell>
          <cell r="BE370">
            <v>1752.4919807999984</v>
          </cell>
          <cell r="BG370">
            <v>1327.6454399999986</v>
          </cell>
          <cell r="BI370">
            <v>0</v>
          </cell>
          <cell r="BJ370">
            <v>10880</v>
          </cell>
          <cell r="BK370">
            <v>10621.055999999999</v>
          </cell>
          <cell r="BL370">
            <v>9280</v>
          </cell>
          <cell r="BM370">
            <v>0</v>
          </cell>
          <cell r="BN370">
            <v>0</v>
          </cell>
          <cell r="BO370">
            <v>0</v>
          </cell>
          <cell r="BP370">
            <v>9280</v>
          </cell>
          <cell r="BQ370">
            <v>0</v>
          </cell>
          <cell r="BR370">
            <v>1341.0559999999987</v>
          </cell>
          <cell r="BS370" t="str">
            <v>Y</v>
          </cell>
          <cell r="BT370">
            <v>2</v>
          </cell>
          <cell r="BU370">
            <v>2</v>
          </cell>
          <cell r="BV370" t="str">
            <v>Y</v>
          </cell>
          <cell r="BW370">
            <v>3504.9839615999967</v>
          </cell>
          <cell r="BX370">
            <v>3504.9839615999967</v>
          </cell>
          <cell r="BY370">
            <v>2026</v>
          </cell>
          <cell r="BZ370" t="str">
            <v>-</v>
          </cell>
          <cell r="CA370" t="str">
            <v>-</v>
          </cell>
        </row>
        <row r="371">
          <cell r="A371" t="str">
            <v>Lucknow</v>
          </cell>
          <cell r="B371" t="str">
            <v>Mavericks</v>
          </cell>
          <cell r="C371" t="str">
            <v>Mid Level</v>
          </cell>
          <cell r="D371" t="str">
            <v>Kashif Nabi</v>
          </cell>
          <cell r="F371" t="str">
            <v>Non-MSP</v>
          </cell>
          <cell r="H371" t="str">
            <v>Ubaid Rahman</v>
          </cell>
          <cell r="J371" t="str">
            <v>ACH</v>
          </cell>
          <cell r="L371" t="str">
            <v>New</v>
          </cell>
          <cell r="M371">
            <v>46118</v>
          </cell>
          <cell r="N371">
            <v>84</v>
          </cell>
          <cell r="P371">
            <v>46483</v>
          </cell>
          <cell r="Q371" t="str">
            <v>PLC-4756</v>
          </cell>
          <cell r="R371" t="str">
            <v>Manikanta Manoj Paruchuri</v>
          </cell>
          <cell r="S371" t="str">
            <v>Individual</v>
          </cell>
          <cell r="T371" t="str">
            <v>C2C</v>
          </cell>
          <cell r="U371" t="str">
            <v>GRI</v>
          </cell>
          <cell r="V371">
            <v>58</v>
          </cell>
          <cell r="W371">
            <v>0</v>
          </cell>
          <cell r="X371" t="str">
            <v>USD</v>
          </cell>
          <cell r="Y371">
            <v>68</v>
          </cell>
          <cell r="Z371">
            <v>0</v>
          </cell>
          <cell r="AA371">
            <v>0</v>
          </cell>
          <cell r="AB371">
            <v>0</v>
          </cell>
          <cell r="AC371">
            <v>46157</v>
          </cell>
          <cell r="AD371">
            <v>19</v>
          </cell>
          <cell r="AE371">
            <v>46387</v>
          </cell>
          <cell r="AF371">
            <v>58</v>
          </cell>
          <cell r="AG371">
            <v>0</v>
          </cell>
          <cell r="AH371">
            <v>58</v>
          </cell>
          <cell r="AI371">
            <v>66.381599999999992</v>
          </cell>
          <cell r="AJ371">
            <v>0</v>
          </cell>
          <cell r="AK371">
            <v>0</v>
          </cell>
          <cell r="AL371">
            <v>8.3815999999999917</v>
          </cell>
          <cell r="AM371">
            <v>0</v>
          </cell>
          <cell r="AN371">
            <v>8.3815999999999917</v>
          </cell>
          <cell r="AO371">
            <v>0</v>
          </cell>
          <cell r="AP371">
            <v>8.3815999999999917</v>
          </cell>
          <cell r="AQ371" t="str">
            <v>GRI123500</v>
          </cell>
          <cell r="AR371">
            <v>0</v>
          </cell>
          <cell r="AS371">
            <v>24</v>
          </cell>
          <cell r="AU371">
            <v>24</v>
          </cell>
          <cell r="AV371">
            <v>0</v>
          </cell>
          <cell r="AW371">
            <v>201.1583999999998</v>
          </cell>
          <cell r="AX371">
            <v>199.1468159999998</v>
          </cell>
          <cell r="AY371">
            <v>0</v>
          </cell>
          <cell r="AZ371">
            <v>201.1583999999998</v>
          </cell>
          <cell r="BA371">
            <v>199.1468159999998</v>
          </cell>
          <cell r="BB371">
            <v>201.1583999999998</v>
          </cell>
          <cell r="BC371">
            <v>37.5</v>
          </cell>
          <cell r="BD371">
            <v>262.87379711999972</v>
          </cell>
          <cell r="BE371">
            <v>262.87379711999972</v>
          </cell>
          <cell r="BG371">
            <v>199.1468159999998</v>
          </cell>
          <cell r="BI371">
            <v>0</v>
          </cell>
          <cell r="BJ371">
            <v>1632</v>
          </cell>
          <cell r="BK371">
            <v>1593.1583999999998</v>
          </cell>
          <cell r="BL371">
            <v>1392</v>
          </cell>
          <cell r="BM371">
            <v>0</v>
          </cell>
          <cell r="BN371">
            <v>0</v>
          </cell>
          <cell r="BO371">
            <v>0</v>
          </cell>
          <cell r="BP371">
            <v>1392</v>
          </cell>
          <cell r="BQ371">
            <v>0</v>
          </cell>
          <cell r="BR371">
            <v>201.1583999999998</v>
          </cell>
          <cell r="BS371" t="str">
            <v>Y</v>
          </cell>
          <cell r="BT371">
            <v>2</v>
          </cell>
          <cell r="BU371">
            <v>2</v>
          </cell>
          <cell r="BV371" t="str">
            <v>Y</v>
          </cell>
          <cell r="BW371">
            <v>525.74759423999944</v>
          </cell>
          <cell r="BX371">
            <v>525.74759423999944</v>
          </cell>
          <cell r="BY371">
            <v>2026</v>
          </cell>
          <cell r="BZ371" t="str">
            <v>-</v>
          </cell>
          <cell r="CA371" t="str">
            <v>-</v>
          </cell>
        </row>
        <row r="372">
          <cell r="A372" t="str">
            <v>Lucknow</v>
          </cell>
          <cell r="B372" t="str">
            <v>Trust</v>
          </cell>
          <cell r="C372" t="str">
            <v>Mid Level</v>
          </cell>
          <cell r="D372" t="str">
            <v>Bhanu Pratap Singh</v>
          </cell>
          <cell r="E372" t="str">
            <v>-</v>
          </cell>
          <cell r="F372" t="str">
            <v>Non-MSP</v>
          </cell>
          <cell r="H372" t="str">
            <v>Shubham Saini</v>
          </cell>
          <cell r="L372" t="str">
            <v>New</v>
          </cell>
          <cell r="M372">
            <v>46097</v>
          </cell>
          <cell r="N372">
            <v>105</v>
          </cell>
          <cell r="P372">
            <v>46462</v>
          </cell>
          <cell r="Q372" t="str">
            <v>PLC-4750</v>
          </cell>
          <cell r="R372" t="str">
            <v>Manjyot Singh Saini</v>
          </cell>
          <cell r="S372" t="str">
            <v>Individual</v>
          </cell>
          <cell r="T372" t="str">
            <v>C2C Canada</v>
          </cell>
          <cell r="U372" t="str">
            <v>Global Logic</v>
          </cell>
          <cell r="V372">
            <v>102</v>
          </cell>
          <cell r="W372">
            <v>0</v>
          </cell>
          <cell r="X372" t="str">
            <v>CAD</v>
          </cell>
          <cell r="Y372">
            <v>112</v>
          </cell>
          <cell r="Z372">
            <v>0</v>
          </cell>
          <cell r="AA372">
            <v>0</v>
          </cell>
          <cell r="AB372">
            <v>0</v>
          </cell>
          <cell r="AC372">
            <v>46096</v>
          </cell>
          <cell r="AD372">
            <v>12</v>
          </cell>
          <cell r="AE372">
            <v>46387</v>
          </cell>
          <cell r="AF372">
            <v>72.42</v>
          </cell>
          <cell r="AG372">
            <v>0</v>
          </cell>
          <cell r="AH372">
            <v>72.42</v>
          </cell>
          <cell r="AI372">
            <v>79.52</v>
          </cell>
          <cell r="AJ372">
            <v>0</v>
          </cell>
          <cell r="AK372">
            <v>0</v>
          </cell>
          <cell r="AL372">
            <v>7.0999999999999943</v>
          </cell>
          <cell r="AM372">
            <v>0</v>
          </cell>
          <cell r="AN372">
            <v>7.0999999999999943</v>
          </cell>
          <cell r="AO372">
            <v>0</v>
          </cell>
          <cell r="AP372">
            <v>7.0999999999999943</v>
          </cell>
          <cell r="AQ372" t="str">
            <v>CAD_2069</v>
          </cell>
          <cell r="AR372">
            <v>0</v>
          </cell>
          <cell r="AS372">
            <v>96</v>
          </cell>
          <cell r="AU372">
            <v>96</v>
          </cell>
          <cell r="AV372">
            <v>0</v>
          </cell>
          <cell r="AW372">
            <v>681.59999999999945</v>
          </cell>
          <cell r="AX372">
            <v>681.59999999999945</v>
          </cell>
          <cell r="AY372">
            <v>0</v>
          </cell>
          <cell r="AZ372">
            <v>681.59999999999945</v>
          </cell>
          <cell r="BA372">
            <v>681.59999999999945</v>
          </cell>
          <cell r="BB372">
            <v>681.59999999999945</v>
          </cell>
          <cell r="BC372">
            <v>0</v>
          </cell>
          <cell r="BD372">
            <v>0</v>
          </cell>
          <cell r="BE372">
            <v>0</v>
          </cell>
          <cell r="BG372">
            <v>681.59999999999945</v>
          </cell>
          <cell r="BI372">
            <v>681.59999999999945</v>
          </cell>
          <cell r="BJ372">
            <v>10752</v>
          </cell>
          <cell r="BK372">
            <v>7633.92</v>
          </cell>
          <cell r="BL372">
            <v>7254.8927999999996</v>
          </cell>
          <cell r="BM372">
            <v>0</v>
          </cell>
          <cell r="BN372">
            <v>0</v>
          </cell>
          <cell r="BO372">
            <v>0</v>
          </cell>
          <cell r="BP372">
            <v>7254.8927999999996</v>
          </cell>
          <cell r="BQ372">
            <v>0</v>
          </cell>
          <cell r="BR372">
            <v>379.02720000000045</v>
          </cell>
          <cell r="BT372">
            <v>1</v>
          </cell>
          <cell r="BU372">
            <v>1</v>
          </cell>
          <cell r="BV372" t="str">
            <v>N</v>
          </cell>
          <cell r="BW372">
            <v>0</v>
          </cell>
          <cell r="BX372">
            <v>0</v>
          </cell>
          <cell r="BY372">
            <v>2026</v>
          </cell>
          <cell r="BZ372" t="str">
            <v>-</v>
          </cell>
          <cell r="CA372" t="str">
            <v>-</v>
          </cell>
        </row>
        <row r="373">
          <cell r="A373" t="str">
            <v>Lucknow</v>
          </cell>
          <cell r="B373" t="str">
            <v>Trust</v>
          </cell>
          <cell r="C373" t="str">
            <v>Mid Level</v>
          </cell>
          <cell r="D373" t="str">
            <v>Bhanu Pratap Singh</v>
          </cell>
          <cell r="E373" t="str">
            <v>-</v>
          </cell>
          <cell r="F373" t="str">
            <v>Non-MSP</v>
          </cell>
          <cell r="H373" t="str">
            <v>Shubham Saini</v>
          </cell>
          <cell r="J373" t="str">
            <v>ACH</v>
          </cell>
          <cell r="L373" t="str">
            <v>New</v>
          </cell>
          <cell r="M373">
            <v>46097</v>
          </cell>
          <cell r="N373">
            <v>105</v>
          </cell>
          <cell r="P373">
            <v>46462</v>
          </cell>
          <cell r="Q373" t="str">
            <v>PLC-4750</v>
          </cell>
          <cell r="R373" t="str">
            <v>Manjyot Singh Saini</v>
          </cell>
          <cell r="S373" t="str">
            <v>Individual</v>
          </cell>
          <cell r="T373" t="str">
            <v>C2C Canada</v>
          </cell>
          <cell r="U373" t="str">
            <v>Global Logic</v>
          </cell>
          <cell r="V373">
            <v>102</v>
          </cell>
          <cell r="W373">
            <v>0</v>
          </cell>
          <cell r="X373" t="str">
            <v>CAD</v>
          </cell>
          <cell r="Y373">
            <v>112</v>
          </cell>
          <cell r="Z373">
            <v>0</v>
          </cell>
          <cell r="AA373">
            <v>0</v>
          </cell>
          <cell r="AB373">
            <v>0</v>
          </cell>
          <cell r="AC373">
            <v>46127</v>
          </cell>
          <cell r="AD373">
            <v>22</v>
          </cell>
          <cell r="AE373">
            <v>46387</v>
          </cell>
          <cell r="AF373">
            <v>72.42</v>
          </cell>
          <cell r="AG373">
            <v>0</v>
          </cell>
          <cell r="AH373">
            <v>72.42</v>
          </cell>
          <cell r="AI373">
            <v>79.52</v>
          </cell>
          <cell r="AJ373">
            <v>0</v>
          </cell>
          <cell r="AK373">
            <v>0</v>
          </cell>
          <cell r="AL373">
            <v>7.0999999999999943</v>
          </cell>
          <cell r="AM373">
            <v>0</v>
          </cell>
          <cell r="AN373">
            <v>7.0999999999999943</v>
          </cell>
          <cell r="AO373">
            <v>0</v>
          </cell>
          <cell r="AP373">
            <v>7.0999999999999943</v>
          </cell>
          <cell r="AQ373" t="str">
            <v>CAD_2124</v>
          </cell>
          <cell r="AR373">
            <v>0</v>
          </cell>
          <cell r="AS373">
            <v>168</v>
          </cell>
          <cell r="AU373">
            <v>168</v>
          </cell>
          <cell r="AV373">
            <v>0</v>
          </cell>
          <cell r="AW373">
            <v>1192.799999999999</v>
          </cell>
          <cell r="AX373">
            <v>1180.8719999999989</v>
          </cell>
          <cell r="AY373">
            <v>0</v>
          </cell>
          <cell r="AZ373">
            <v>1192.799999999999</v>
          </cell>
          <cell r="BA373">
            <v>1180.8719999999989</v>
          </cell>
          <cell r="BB373">
            <v>1192.799999999999</v>
          </cell>
          <cell r="BC373">
            <v>0</v>
          </cell>
          <cell r="BD373">
            <v>0</v>
          </cell>
          <cell r="BE373">
            <v>0</v>
          </cell>
          <cell r="BG373">
            <v>1180.8719999999989</v>
          </cell>
          <cell r="BI373">
            <v>1180.8719999999989</v>
          </cell>
          <cell r="BJ373">
            <v>18816</v>
          </cell>
          <cell r="BK373">
            <v>13359.359999999999</v>
          </cell>
          <cell r="BL373">
            <v>12696.062400000001</v>
          </cell>
          <cell r="BM373">
            <v>0</v>
          </cell>
          <cell r="BN373">
            <v>0</v>
          </cell>
          <cell r="BO373">
            <v>0</v>
          </cell>
          <cell r="BP373">
            <v>12696.062400000001</v>
          </cell>
          <cell r="BQ373">
            <v>0</v>
          </cell>
          <cell r="BR373">
            <v>663.29759999999806</v>
          </cell>
          <cell r="BT373">
            <v>2</v>
          </cell>
          <cell r="BU373">
            <v>1</v>
          </cell>
          <cell r="BV373" t="str">
            <v>N</v>
          </cell>
          <cell r="BW373">
            <v>0</v>
          </cell>
          <cell r="BX373">
            <v>0</v>
          </cell>
          <cell r="BY373">
            <v>2026</v>
          </cell>
          <cell r="BZ373" t="str">
            <v>-</v>
          </cell>
          <cell r="CA373" t="str">
            <v>-</v>
          </cell>
        </row>
        <row r="374">
          <cell r="A374" t="str">
            <v>Lucknow</v>
          </cell>
          <cell r="B374" t="str">
            <v>Trust</v>
          </cell>
          <cell r="C374" t="str">
            <v>Mid Level</v>
          </cell>
          <cell r="D374" t="str">
            <v>Bhanu Pratap Singh</v>
          </cell>
          <cell r="E374" t="str">
            <v>-</v>
          </cell>
          <cell r="F374" t="str">
            <v>Non-MSP</v>
          </cell>
          <cell r="H374" t="str">
            <v>Shubham Saini</v>
          </cell>
          <cell r="J374" t="str">
            <v>ACH</v>
          </cell>
          <cell r="L374" t="str">
            <v>New</v>
          </cell>
          <cell r="M374">
            <v>46097</v>
          </cell>
          <cell r="N374">
            <v>105</v>
          </cell>
          <cell r="P374">
            <v>46462</v>
          </cell>
          <cell r="Q374" t="str">
            <v>PLC-4750</v>
          </cell>
          <cell r="R374" t="str">
            <v>Manjyot Singh Saini</v>
          </cell>
          <cell r="S374" t="str">
            <v>Individual</v>
          </cell>
          <cell r="T374" t="str">
            <v>C2C Canada</v>
          </cell>
          <cell r="U374" t="str">
            <v>Global Logic</v>
          </cell>
          <cell r="V374">
            <v>102</v>
          </cell>
          <cell r="W374">
            <v>0</v>
          </cell>
          <cell r="X374" t="str">
            <v>CAD</v>
          </cell>
          <cell r="Y374">
            <v>112</v>
          </cell>
          <cell r="Z374">
            <v>0</v>
          </cell>
          <cell r="AA374">
            <v>0</v>
          </cell>
          <cell r="AB374">
            <v>0</v>
          </cell>
          <cell r="AC374">
            <v>46157</v>
          </cell>
          <cell r="AD374">
            <v>22</v>
          </cell>
          <cell r="AE374">
            <v>46387</v>
          </cell>
          <cell r="AF374">
            <v>72.42</v>
          </cell>
          <cell r="AG374">
            <v>0</v>
          </cell>
          <cell r="AH374">
            <v>72.42</v>
          </cell>
          <cell r="AI374">
            <v>79.52</v>
          </cell>
          <cell r="AJ374">
            <v>0</v>
          </cell>
          <cell r="AK374">
            <v>0</v>
          </cell>
          <cell r="AL374">
            <v>7.0999999999999943</v>
          </cell>
          <cell r="AM374">
            <v>0</v>
          </cell>
          <cell r="AN374">
            <v>7.0999999999999943</v>
          </cell>
          <cell r="AO374">
            <v>0</v>
          </cell>
          <cell r="AP374">
            <v>7.0999999999999943</v>
          </cell>
          <cell r="AQ374" t="str">
            <v>CAD_2177</v>
          </cell>
          <cell r="AR374">
            <v>0</v>
          </cell>
          <cell r="AS374">
            <v>160</v>
          </cell>
          <cell r="AU374">
            <v>160</v>
          </cell>
          <cell r="AV374">
            <v>0</v>
          </cell>
          <cell r="AW374">
            <v>1135.9999999999991</v>
          </cell>
          <cell r="AX374">
            <v>1124.6399999999992</v>
          </cell>
          <cell r="AY374">
            <v>0</v>
          </cell>
          <cell r="AZ374">
            <v>1135.9999999999991</v>
          </cell>
          <cell r="BA374">
            <v>1124.6399999999992</v>
          </cell>
          <cell r="BB374">
            <v>1135.9999999999991</v>
          </cell>
          <cell r="BC374">
            <v>0</v>
          </cell>
          <cell r="BD374">
            <v>0</v>
          </cell>
          <cell r="BE374">
            <v>0</v>
          </cell>
          <cell r="BG374">
            <v>1124.6399999999992</v>
          </cell>
          <cell r="BI374">
            <v>1124.6399999999992</v>
          </cell>
          <cell r="BJ374">
            <v>17920</v>
          </cell>
          <cell r="BK374">
            <v>12723.199999999999</v>
          </cell>
          <cell r="BL374">
            <v>12091.487999999999</v>
          </cell>
          <cell r="BM374">
            <v>0</v>
          </cell>
          <cell r="BN374">
            <v>0</v>
          </cell>
          <cell r="BO374">
            <v>0</v>
          </cell>
          <cell r="BP374">
            <v>12091.487999999999</v>
          </cell>
          <cell r="BQ374">
            <v>0</v>
          </cell>
          <cell r="BR374">
            <v>631.71199999999953</v>
          </cell>
          <cell r="BT374">
            <v>2</v>
          </cell>
          <cell r="BU374">
            <v>1</v>
          </cell>
          <cell r="BV374" t="str">
            <v>N</v>
          </cell>
          <cell r="BW374">
            <v>0</v>
          </cell>
          <cell r="BX374">
            <v>0</v>
          </cell>
          <cell r="BY374">
            <v>2026</v>
          </cell>
          <cell r="BZ374" t="str">
            <v>-</v>
          </cell>
          <cell r="CA374" t="str">
            <v>-</v>
          </cell>
        </row>
        <row r="375">
          <cell r="A375" t="str">
            <v>Lucknow</v>
          </cell>
          <cell r="B375" t="str">
            <v>Mavericks</v>
          </cell>
          <cell r="C375" t="str">
            <v>Mid Level</v>
          </cell>
          <cell r="D375" t="str">
            <v>Rohit Gupta</v>
          </cell>
          <cell r="F375" t="str">
            <v>Non-MSP</v>
          </cell>
          <cell r="G375" t="str">
            <v>Nitin Saxena</v>
          </cell>
          <cell r="H375" t="str">
            <v xml:space="preserve">Anurag Mishra </v>
          </cell>
          <cell r="J375" t="str">
            <v>ACH</v>
          </cell>
          <cell r="L375" t="str">
            <v>New</v>
          </cell>
          <cell r="M375">
            <v>46153</v>
          </cell>
          <cell r="N375">
            <v>49</v>
          </cell>
          <cell r="P375">
            <v>46518</v>
          </cell>
          <cell r="Q375" t="str">
            <v>PLC-4883</v>
          </cell>
          <cell r="R375" t="str">
            <v>Mark E Skarupa</v>
          </cell>
          <cell r="S375" t="str">
            <v>Split</v>
          </cell>
          <cell r="T375">
            <v>1099</v>
          </cell>
          <cell r="U375" t="str">
            <v>CoForge</v>
          </cell>
          <cell r="V375">
            <v>43</v>
          </cell>
          <cell r="W375">
            <v>0</v>
          </cell>
          <cell r="X375" t="str">
            <v>USD</v>
          </cell>
          <cell r="Y375">
            <v>50</v>
          </cell>
          <cell r="Z375">
            <v>0</v>
          </cell>
          <cell r="AA375">
            <v>0</v>
          </cell>
          <cell r="AB375">
            <v>0</v>
          </cell>
          <cell r="AC375">
            <v>46157</v>
          </cell>
          <cell r="AD375">
            <v>15</v>
          </cell>
          <cell r="AE375">
            <v>46387</v>
          </cell>
          <cell r="AF375">
            <v>46.010000000000005</v>
          </cell>
          <cell r="AG375">
            <v>0</v>
          </cell>
          <cell r="AH375">
            <v>46.010000000000005</v>
          </cell>
          <cell r="AI375">
            <v>50</v>
          </cell>
          <cell r="AJ375">
            <v>0</v>
          </cell>
          <cell r="AK375">
            <v>0</v>
          </cell>
          <cell r="AL375">
            <v>3.9899999999999949</v>
          </cell>
          <cell r="AM375">
            <v>0</v>
          </cell>
          <cell r="AN375">
            <v>1.9949999999999974</v>
          </cell>
          <cell r="AO375">
            <v>0</v>
          </cell>
          <cell r="AP375">
            <v>1.9949999999999974</v>
          </cell>
          <cell r="AQ375" t="str">
            <v>US_27974</v>
          </cell>
          <cell r="AR375">
            <v>0</v>
          </cell>
          <cell r="AS375">
            <v>112</v>
          </cell>
          <cell r="AU375">
            <v>112</v>
          </cell>
          <cell r="AV375">
            <v>0</v>
          </cell>
          <cell r="AW375">
            <v>223.43999999999971</v>
          </cell>
          <cell r="AX375">
            <v>221.20559999999972</v>
          </cell>
          <cell r="AY375">
            <v>0</v>
          </cell>
          <cell r="AZ375">
            <v>223.43999999999971</v>
          </cell>
          <cell r="BA375">
            <v>221.20559999999972</v>
          </cell>
          <cell r="BB375">
            <v>223.43999999999971</v>
          </cell>
          <cell r="BC375">
            <v>0</v>
          </cell>
          <cell r="BD375">
            <v>0</v>
          </cell>
          <cell r="BE375">
            <v>0</v>
          </cell>
          <cell r="BG375">
            <v>221.20559999999972</v>
          </cell>
          <cell r="BI375">
            <v>0</v>
          </cell>
          <cell r="BJ375">
            <v>2800</v>
          </cell>
          <cell r="BK375">
            <v>2800</v>
          </cell>
          <cell r="BL375">
            <v>2408</v>
          </cell>
          <cell r="BM375">
            <v>3.0100000000000002</v>
          </cell>
          <cell r="BN375">
            <v>0</v>
          </cell>
          <cell r="BO375">
            <v>337.12</v>
          </cell>
          <cell r="BP375">
            <v>2745.12</v>
          </cell>
          <cell r="BQ375">
            <v>3.0100000000000002</v>
          </cell>
          <cell r="BR375">
            <v>54.879999999999995</v>
          </cell>
          <cell r="BT375">
            <v>2</v>
          </cell>
          <cell r="BU375">
            <v>2</v>
          </cell>
          <cell r="BV375" t="str">
            <v>N</v>
          </cell>
          <cell r="BW375">
            <v>0</v>
          </cell>
          <cell r="BX375">
            <v>0</v>
          </cell>
          <cell r="BY375">
            <v>2026</v>
          </cell>
          <cell r="BZ375" t="str">
            <v>-</v>
          </cell>
          <cell r="CA375" t="str">
            <v>-</v>
          </cell>
        </row>
        <row r="376">
          <cell r="A376" t="str">
            <v>Lucknow</v>
          </cell>
          <cell r="B376" t="str">
            <v>Titans</v>
          </cell>
          <cell r="C376" t="str">
            <v>Mid Level</v>
          </cell>
          <cell r="D376" t="str">
            <v>Nitin Saxena</v>
          </cell>
          <cell r="F376" t="str">
            <v>Non-MSP</v>
          </cell>
          <cell r="G376" t="str">
            <v>Rohit Gupta</v>
          </cell>
          <cell r="H376" t="str">
            <v xml:space="preserve">Anurag Mishra </v>
          </cell>
          <cell r="J376" t="str">
            <v>ACH</v>
          </cell>
          <cell r="L376" t="str">
            <v>New</v>
          </cell>
          <cell r="M376">
            <v>46153</v>
          </cell>
          <cell r="N376">
            <v>49</v>
          </cell>
          <cell r="P376">
            <v>46518</v>
          </cell>
          <cell r="Q376" t="str">
            <v>PLC-4883</v>
          </cell>
          <cell r="R376" t="str">
            <v>Mark E Skarupa</v>
          </cell>
          <cell r="S376" t="str">
            <v>Split</v>
          </cell>
          <cell r="T376">
            <v>1099</v>
          </cell>
          <cell r="U376" t="str">
            <v>CoForge</v>
          </cell>
          <cell r="V376">
            <v>43</v>
          </cell>
          <cell r="W376">
            <v>0</v>
          </cell>
          <cell r="X376" t="str">
            <v>USD</v>
          </cell>
          <cell r="Y376">
            <v>50</v>
          </cell>
          <cell r="Z376">
            <v>0</v>
          </cell>
          <cell r="AA376">
            <v>0</v>
          </cell>
          <cell r="AB376">
            <v>0</v>
          </cell>
          <cell r="AC376">
            <v>46157</v>
          </cell>
          <cell r="AD376">
            <v>15</v>
          </cell>
          <cell r="AE376">
            <v>46387</v>
          </cell>
          <cell r="AF376">
            <v>46.010000000000005</v>
          </cell>
          <cell r="AG376">
            <v>0</v>
          </cell>
          <cell r="AH376">
            <v>46.010000000000005</v>
          </cell>
          <cell r="AI376">
            <v>50</v>
          </cell>
          <cell r="AJ376">
            <v>0</v>
          </cell>
          <cell r="AK376">
            <v>0</v>
          </cell>
          <cell r="AL376">
            <v>3.9899999999999949</v>
          </cell>
          <cell r="AM376">
            <v>0</v>
          </cell>
          <cell r="AN376">
            <v>1.9949999999999974</v>
          </cell>
          <cell r="AO376">
            <v>0</v>
          </cell>
          <cell r="AP376">
            <v>1.9949999999999974</v>
          </cell>
          <cell r="AQ376" t="str">
            <v>US_27974</v>
          </cell>
          <cell r="AR376">
            <v>0</v>
          </cell>
          <cell r="AS376">
            <v>112</v>
          </cell>
          <cell r="AU376">
            <v>112</v>
          </cell>
          <cell r="AV376">
            <v>0</v>
          </cell>
          <cell r="AW376">
            <v>223.43999999999971</v>
          </cell>
          <cell r="AX376">
            <v>221.20559999999972</v>
          </cell>
          <cell r="AY376">
            <v>0</v>
          </cell>
          <cell r="AZ376">
            <v>223.43999999999971</v>
          </cell>
          <cell r="BA376">
            <v>221.20559999999972</v>
          </cell>
          <cell r="BB376">
            <v>223.43999999999971</v>
          </cell>
          <cell r="BC376">
            <v>0</v>
          </cell>
          <cell r="BD376">
            <v>0</v>
          </cell>
          <cell r="BE376">
            <v>0</v>
          </cell>
          <cell r="BG376">
            <v>221.20559999999972</v>
          </cell>
          <cell r="BI376">
            <v>0</v>
          </cell>
          <cell r="BJ376">
            <v>2800</v>
          </cell>
          <cell r="BK376">
            <v>2800</v>
          </cell>
          <cell r="BL376">
            <v>2408</v>
          </cell>
          <cell r="BM376">
            <v>3.0100000000000002</v>
          </cell>
          <cell r="BN376">
            <v>0</v>
          </cell>
          <cell r="BO376">
            <v>337.12</v>
          </cell>
          <cell r="BP376">
            <v>2745.12</v>
          </cell>
          <cell r="BQ376">
            <v>3.0100000000000002</v>
          </cell>
          <cell r="BR376">
            <v>54.879999999999995</v>
          </cell>
          <cell r="BT376">
            <v>2</v>
          </cell>
          <cell r="BU376">
            <v>2</v>
          </cell>
          <cell r="BV376" t="str">
            <v>N</v>
          </cell>
          <cell r="BW376">
            <v>0</v>
          </cell>
          <cell r="BX376">
            <v>0</v>
          </cell>
          <cell r="BY376">
            <v>2026</v>
          </cell>
          <cell r="BZ376" t="str">
            <v>-</v>
          </cell>
          <cell r="CA376" t="str">
            <v>-</v>
          </cell>
        </row>
        <row r="377">
          <cell r="A377" t="str">
            <v>Lucknow</v>
          </cell>
          <cell r="B377" t="str">
            <v>Titans</v>
          </cell>
          <cell r="C377" t="str">
            <v>Mid Level</v>
          </cell>
          <cell r="D377" t="str">
            <v>Noor Beg</v>
          </cell>
          <cell r="E377" t="str">
            <v>-</v>
          </cell>
          <cell r="F377" t="str">
            <v>Non-MSP</v>
          </cell>
          <cell r="H377" t="str">
            <v>Pass Through</v>
          </cell>
          <cell r="L377" t="str">
            <v>New</v>
          </cell>
          <cell r="M377">
            <v>46101</v>
          </cell>
          <cell r="N377">
            <v>101</v>
          </cell>
          <cell r="P377">
            <v>46466</v>
          </cell>
          <cell r="Q377" t="str">
            <v>PLC-Passthrough</v>
          </cell>
          <cell r="R377" t="str">
            <v>Mark Simon Gribble</v>
          </cell>
          <cell r="S377" t="str">
            <v>Individual</v>
          </cell>
          <cell r="T377" t="str">
            <v>C2c</v>
          </cell>
          <cell r="U377" t="str">
            <v>Genpact</v>
          </cell>
          <cell r="V377">
            <v>200</v>
          </cell>
          <cell r="W377">
            <v>0</v>
          </cell>
          <cell r="X377" t="str">
            <v>USD</v>
          </cell>
          <cell r="Y377">
            <v>205</v>
          </cell>
          <cell r="Z377">
            <v>0</v>
          </cell>
          <cell r="AA377">
            <v>0</v>
          </cell>
          <cell r="AB377">
            <v>0</v>
          </cell>
          <cell r="AC377">
            <v>46096</v>
          </cell>
          <cell r="AD377">
            <v>7</v>
          </cell>
          <cell r="AE377">
            <v>46387</v>
          </cell>
          <cell r="AF377">
            <v>200</v>
          </cell>
          <cell r="AG377">
            <v>0</v>
          </cell>
          <cell r="AH377">
            <v>200</v>
          </cell>
          <cell r="AI377">
            <v>205</v>
          </cell>
          <cell r="AJ377">
            <v>0</v>
          </cell>
          <cell r="AK377">
            <v>0</v>
          </cell>
          <cell r="AL377">
            <v>5</v>
          </cell>
          <cell r="AM377">
            <v>0</v>
          </cell>
          <cell r="AN377">
            <v>5</v>
          </cell>
          <cell r="AO377">
            <v>0</v>
          </cell>
          <cell r="AP377">
            <v>5</v>
          </cell>
          <cell r="AQ377" t="str">
            <v>US_GB_00044</v>
          </cell>
          <cell r="AR377">
            <v>0</v>
          </cell>
          <cell r="AS377">
            <v>72</v>
          </cell>
          <cell r="AU377">
            <v>72</v>
          </cell>
          <cell r="AV377">
            <v>0</v>
          </cell>
          <cell r="AW377">
            <v>360</v>
          </cell>
          <cell r="AX377">
            <v>360</v>
          </cell>
          <cell r="AY377">
            <v>0</v>
          </cell>
          <cell r="AZ377">
            <v>360</v>
          </cell>
          <cell r="BA377">
            <v>360</v>
          </cell>
          <cell r="BB377">
            <v>360</v>
          </cell>
          <cell r="BC377">
            <v>0</v>
          </cell>
          <cell r="BD377">
            <v>0</v>
          </cell>
          <cell r="BE377">
            <v>0</v>
          </cell>
          <cell r="BG377">
            <v>360</v>
          </cell>
          <cell r="BI377">
            <v>360</v>
          </cell>
          <cell r="BJ377">
            <v>14760</v>
          </cell>
          <cell r="BK377">
            <v>14760</v>
          </cell>
          <cell r="BL377">
            <v>14400</v>
          </cell>
          <cell r="BM377">
            <v>0</v>
          </cell>
          <cell r="BN377">
            <v>0</v>
          </cell>
          <cell r="BO377">
            <v>0</v>
          </cell>
          <cell r="BP377">
            <v>14400</v>
          </cell>
          <cell r="BQ377">
            <v>0</v>
          </cell>
          <cell r="BR377">
            <v>360</v>
          </cell>
          <cell r="BS377" t="str">
            <v>Y</v>
          </cell>
          <cell r="BT377">
            <v>1</v>
          </cell>
          <cell r="BU377">
            <v>1</v>
          </cell>
          <cell r="BV377" t="str">
            <v>Y</v>
          </cell>
          <cell r="BW377">
            <v>0</v>
          </cell>
          <cell r="BX377">
            <v>0</v>
          </cell>
          <cell r="BY377">
            <v>2026</v>
          </cell>
          <cell r="BZ377" t="str">
            <v>-</v>
          </cell>
          <cell r="CA377" t="str">
            <v>-</v>
          </cell>
        </row>
        <row r="378">
          <cell r="A378" t="str">
            <v>Lucknow</v>
          </cell>
          <cell r="B378" t="str">
            <v>Titans</v>
          </cell>
          <cell r="C378" t="str">
            <v>Mid Level</v>
          </cell>
          <cell r="D378" t="str">
            <v>Noor Beg</v>
          </cell>
          <cell r="E378" t="str">
            <v>-</v>
          </cell>
          <cell r="F378" t="str">
            <v>Non-MSP</v>
          </cell>
          <cell r="H378" t="str">
            <v>Pass Through</v>
          </cell>
          <cell r="J378" t="str">
            <v>ACH</v>
          </cell>
          <cell r="L378" t="str">
            <v>New</v>
          </cell>
          <cell r="M378">
            <v>46101</v>
          </cell>
          <cell r="N378">
            <v>101</v>
          </cell>
          <cell r="P378">
            <v>46466</v>
          </cell>
          <cell r="Q378" t="str">
            <v>PLC-Passthrough</v>
          </cell>
          <cell r="R378" t="str">
            <v>Mark Simon Gribble</v>
          </cell>
          <cell r="S378" t="str">
            <v>Individual</v>
          </cell>
          <cell r="T378" t="str">
            <v>C2c</v>
          </cell>
          <cell r="U378" t="str">
            <v>Genpact</v>
          </cell>
          <cell r="V378">
            <v>200</v>
          </cell>
          <cell r="W378">
            <v>0</v>
          </cell>
          <cell r="X378" t="str">
            <v>USD</v>
          </cell>
          <cell r="Y378">
            <v>205</v>
          </cell>
          <cell r="Z378">
            <v>0</v>
          </cell>
          <cell r="AA378">
            <v>0</v>
          </cell>
          <cell r="AB378">
            <v>0</v>
          </cell>
          <cell r="AC378">
            <v>46127</v>
          </cell>
          <cell r="AD378">
            <v>22</v>
          </cell>
          <cell r="AE378">
            <v>46387</v>
          </cell>
          <cell r="AF378">
            <v>200</v>
          </cell>
          <cell r="AG378">
            <v>0</v>
          </cell>
          <cell r="AH378">
            <v>200</v>
          </cell>
          <cell r="AI378">
            <v>205</v>
          </cell>
          <cell r="AJ378">
            <v>0</v>
          </cell>
          <cell r="AK378">
            <v>0</v>
          </cell>
          <cell r="AL378">
            <v>5</v>
          </cell>
          <cell r="AM378">
            <v>0</v>
          </cell>
          <cell r="AN378">
            <v>5</v>
          </cell>
          <cell r="AO378">
            <v>0</v>
          </cell>
          <cell r="AP378">
            <v>5</v>
          </cell>
          <cell r="AQ378" t="str">
            <v>US_GB_00050</v>
          </cell>
          <cell r="AR378">
            <v>0</v>
          </cell>
          <cell r="AS378">
            <v>156</v>
          </cell>
          <cell r="AU378">
            <v>156</v>
          </cell>
          <cell r="AV378">
            <v>0</v>
          </cell>
          <cell r="AW378">
            <v>780</v>
          </cell>
          <cell r="AX378">
            <v>772.2</v>
          </cell>
          <cell r="AY378">
            <v>0</v>
          </cell>
          <cell r="AZ378">
            <v>780</v>
          </cell>
          <cell r="BA378">
            <v>772.2</v>
          </cell>
          <cell r="BB378">
            <v>780</v>
          </cell>
          <cell r="BC378">
            <v>0</v>
          </cell>
          <cell r="BD378">
            <v>0</v>
          </cell>
          <cell r="BE378">
            <v>0</v>
          </cell>
          <cell r="BG378">
            <v>772.2</v>
          </cell>
          <cell r="BI378">
            <v>772.2</v>
          </cell>
          <cell r="BJ378">
            <v>31980</v>
          </cell>
          <cell r="BK378">
            <v>31980</v>
          </cell>
          <cell r="BL378">
            <v>31200</v>
          </cell>
          <cell r="BM378">
            <v>0</v>
          </cell>
          <cell r="BN378">
            <v>0</v>
          </cell>
          <cell r="BO378">
            <v>0</v>
          </cell>
          <cell r="BP378">
            <v>31200</v>
          </cell>
          <cell r="BQ378">
            <v>0</v>
          </cell>
          <cell r="BR378">
            <v>780</v>
          </cell>
          <cell r="BT378">
            <v>2</v>
          </cell>
          <cell r="BU378">
            <v>1</v>
          </cell>
          <cell r="BV378" t="str">
            <v>Y</v>
          </cell>
          <cell r="BW378">
            <v>0</v>
          </cell>
          <cell r="BX378">
            <v>0</v>
          </cell>
          <cell r="BY378">
            <v>2026</v>
          </cell>
          <cell r="BZ378" t="str">
            <v>-</v>
          </cell>
          <cell r="CA378" t="str">
            <v>-</v>
          </cell>
        </row>
        <row r="379">
          <cell r="A379" t="str">
            <v>Lucknow</v>
          </cell>
          <cell r="B379" t="str">
            <v>Titans</v>
          </cell>
          <cell r="C379" t="str">
            <v>Mid Level</v>
          </cell>
          <cell r="D379" t="str">
            <v>Noor Beg</v>
          </cell>
          <cell r="E379" t="str">
            <v>-</v>
          </cell>
          <cell r="F379" t="str">
            <v>Non-MSP</v>
          </cell>
          <cell r="H379" t="str">
            <v>Pass Through</v>
          </cell>
          <cell r="J379" t="str">
            <v>ACH</v>
          </cell>
          <cell r="L379" t="str">
            <v>New</v>
          </cell>
          <cell r="M379">
            <v>46101</v>
          </cell>
          <cell r="N379">
            <v>101</v>
          </cell>
          <cell r="P379">
            <v>46466</v>
          </cell>
          <cell r="Q379" t="str">
            <v>PLC-Passthrough</v>
          </cell>
          <cell r="R379" t="str">
            <v>Mark Simon Gribble</v>
          </cell>
          <cell r="S379" t="str">
            <v>Individual</v>
          </cell>
          <cell r="T379" t="str">
            <v>C2c</v>
          </cell>
          <cell r="U379" t="str">
            <v>Genpact</v>
          </cell>
          <cell r="V379">
            <v>200</v>
          </cell>
          <cell r="W379">
            <v>0</v>
          </cell>
          <cell r="X379" t="str">
            <v>USD</v>
          </cell>
          <cell r="Y379">
            <v>205</v>
          </cell>
          <cell r="Z379">
            <v>0</v>
          </cell>
          <cell r="AA379">
            <v>0</v>
          </cell>
          <cell r="AB379">
            <v>0</v>
          </cell>
          <cell r="AC379">
            <v>46157</v>
          </cell>
          <cell r="AD379">
            <v>22</v>
          </cell>
          <cell r="AE379">
            <v>46387</v>
          </cell>
          <cell r="AF379">
            <v>200</v>
          </cell>
          <cell r="AG379">
            <v>0</v>
          </cell>
          <cell r="AH379">
            <v>200</v>
          </cell>
          <cell r="AI379">
            <v>205</v>
          </cell>
          <cell r="AJ379">
            <v>0</v>
          </cell>
          <cell r="AK379">
            <v>0</v>
          </cell>
          <cell r="AL379">
            <v>5</v>
          </cell>
          <cell r="AM379">
            <v>0</v>
          </cell>
          <cell r="AN379">
            <v>5</v>
          </cell>
          <cell r="AO379">
            <v>0</v>
          </cell>
          <cell r="AP379">
            <v>5</v>
          </cell>
          <cell r="AQ379" t="str">
            <v>US_GB_00056</v>
          </cell>
          <cell r="AR379">
            <v>0</v>
          </cell>
          <cell r="AS379">
            <v>152</v>
          </cell>
          <cell r="AU379">
            <v>152</v>
          </cell>
          <cell r="AV379">
            <v>0</v>
          </cell>
          <cell r="AW379">
            <v>760</v>
          </cell>
          <cell r="AX379">
            <v>752.4</v>
          </cell>
          <cell r="AY379">
            <v>0</v>
          </cell>
          <cell r="AZ379">
            <v>760</v>
          </cell>
          <cell r="BA379">
            <v>752.4</v>
          </cell>
          <cell r="BB379">
            <v>760</v>
          </cell>
          <cell r="BC379">
            <v>0</v>
          </cell>
          <cell r="BD379">
            <v>0</v>
          </cell>
          <cell r="BE379">
            <v>0</v>
          </cell>
          <cell r="BG379">
            <v>752.4</v>
          </cell>
          <cell r="BI379">
            <v>752.4</v>
          </cell>
          <cell r="BJ379">
            <v>31160</v>
          </cell>
          <cell r="BK379">
            <v>31160</v>
          </cell>
          <cell r="BL379">
            <v>30400</v>
          </cell>
          <cell r="BM379">
            <v>0</v>
          </cell>
          <cell r="BN379">
            <v>0</v>
          </cell>
          <cell r="BO379">
            <v>0</v>
          </cell>
          <cell r="BP379">
            <v>30400</v>
          </cell>
          <cell r="BQ379">
            <v>0</v>
          </cell>
          <cell r="BR379">
            <v>760</v>
          </cell>
          <cell r="BT379">
            <v>2</v>
          </cell>
          <cell r="BU379">
            <v>1</v>
          </cell>
          <cell r="BV379" t="str">
            <v>Y</v>
          </cell>
          <cell r="BW379">
            <v>0</v>
          </cell>
          <cell r="BX379">
            <v>0</v>
          </cell>
          <cell r="BY379">
            <v>2026</v>
          </cell>
          <cell r="BZ379" t="str">
            <v>-</v>
          </cell>
          <cell r="CA379" t="str">
            <v>-</v>
          </cell>
        </row>
        <row r="380">
          <cell r="A380" t="str">
            <v>Lucknow</v>
          </cell>
          <cell r="B380" t="str">
            <v>Mavericks</v>
          </cell>
          <cell r="C380" t="str">
            <v>Mid Level</v>
          </cell>
          <cell r="D380" t="str">
            <v>Rohit Gupta</v>
          </cell>
          <cell r="E380" t="str">
            <v>Vivek Yadav</v>
          </cell>
          <cell r="F380" t="str">
            <v>Non-MSP</v>
          </cell>
          <cell r="H380" t="str">
            <v>Abhishek Mishra Mavericks</v>
          </cell>
          <cell r="L380" t="str">
            <v>New</v>
          </cell>
          <cell r="M380">
            <v>46105</v>
          </cell>
          <cell r="N380">
            <v>97</v>
          </cell>
          <cell r="O380">
            <v>46142</v>
          </cell>
          <cell r="P380">
            <v>46470</v>
          </cell>
          <cell r="Q380" t="str">
            <v>PLC-4770</v>
          </cell>
          <cell r="R380" t="str">
            <v>Meera Deshabathula</v>
          </cell>
          <cell r="S380" t="str">
            <v>Individual</v>
          </cell>
          <cell r="T380" t="str">
            <v>C2C</v>
          </cell>
          <cell r="U380" t="str">
            <v>CoForge</v>
          </cell>
          <cell r="V380">
            <v>67</v>
          </cell>
          <cell r="W380">
            <v>0</v>
          </cell>
          <cell r="X380" t="str">
            <v>USD</v>
          </cell>
          <cell r="Y380">
            <v>77</v>
          </cell>
          <cell r="Z380">
            <v>0</v>
          </cell>
          <cell r="AA380">
            <v>0</v>
          </cell>
          <cell r="AB380">
            <v>0</v>
          </cell>
          <cell r="AC380">
            <v>46096</v>
          </cell>
          <cell r="AD380">
            <v>6</v>
          </cell>
          <cell r="AE380">
            <v>46387</v>
          </cell>
          <cell r="AF380">
            <v>67</v>
          </cell>
          <cell r="AG380">
            <v>0</v>
          </cell>
          <cell r="AH380">
            <v>67</v>
          </cell>
          <cell r="AI380">
            <v>77</v>
          </cell>
          <cell r="AJ380">
            <v>0</v>
          </cell>
          <cell r="AK380">
            <v>0</v>
          </cell>
          <cell r="AL380">
            <v>10</v>
          </cell>
          <cell r="AM380">
            <v>0</v>
          </cell>
          <cell r="AN380">
            <v>10</v>
          </cell>
          <cell r="AO380">
            <v>0</v>
          </cell>
          <cell r="AP380">
            <v>10</v>
          </cell>
          <cell r="AQ380" t="str">
            <v>US_27436</v>
          </cell>
          <cell r="AR380">
            <v>0</v>
          </cell>
          <cell r="AS380">
            <v>56</v>
          </cell>
          <cell r="AU380">
            <v>56</v>
          </cell>
          <cell r="AV380">
            <v>0</v>
          </cell>
          <cell r="AW380">
            <v>560</v>
          </cell>
          <cell r="AX380">
            <v>560</v>
          </cell>
          <cell r="AY380">
            <v>0</v>
          </cell>
          <cell r="AZ380">
            <v>560</v>
          </cell>
          <cell r="BA380">
            <v>560</v>
          </cell>
          <cell r="BB380">
            <v>560</v>
          </cell>
          <cell r="BC380">
            <v>0</v>
          </cell>
          <cell r="BD380">
            <v>0</v>
          </cell>
          <cell r="BE380">
            <v>0</v>
          </cell>
          <cell r="BG380">
            <v>560</v>
          </cell>
          <cell r="BI380">
            <v>560</v>
          </cell>
          <cell r="BJ380">
            <v>4312</v>
          </cell>
          <cell r="BK380">
            <v>4312</v>
          </cell>
          <cell r="BL380">
            <v>3752</v>
          </cell>
          <cell r="BM380">
            <v>0</v>
          </cell>
          <cell r="BN380">
            <v>0</v>
          </cell>
          <cell r="BO380">
            <v>0</v>
          </cell>
          <cell r="BP380">
            <v>3752</v>
          </cell>
          <cell r="BQ380">
            <v>0</v>
          </cell>
          <cell r="BR380">
            <v>560</v>
          </cell>
          <cell r="BS380" t="str">
            <v>Y</v>
          </cell>
          <cell r="BT380">
            <v>1</v>
          </cell>
          <cell r="BU380">
            <v>1</v>
          </cell>
          <cell r="BV380" t="str">
            <v>N</v>
          </cell>
          <cell r="BW380">
            <v>0</v>
          </cell>
          <cell r="BX380">
            <v>0</v>
          </cell>
          <cell r="BY380">
            <v>2026</v>
          </cell>
          <cell r="BZ380" t="str">
            <v>-</v>
          </cell>
          <cell r="CA380" t="str">
            <v>-</v>
          </cell>
        </row>
        <row r="381">
          <cell r="A381" t="str">
            <v>Lucknow</v>
          </cell>
          <cell r="B381" t="str">
            <v>Mavericks</v>
          </cell>
          <cell r="C381" t="str">
            <v>Mid Level</v>
          </cell>
          <cell r="D381" t="str">
            <v>Rohit Gupta</v>
          </cell>
          <cell r="E381" t="str">
            <v>Vivek Yadav</v>
          </cell>
          <cell r="F381" t="str">
            <v>Non-MSP</v>
          </cell>
          <cell r="H381" t="str">
            <v>Abhishek Mishra Mavericks</v>
          </cell>
          <cell r="J381" t="str">
            <v>ACH</v>
          </cell>
          <cell r="L381" t="str">
            <v>New</v>
          </cell>
          <cell r="M381">
            <v>46105</v>
          </cell>
          <cell r="N381">
            <v>97</v>
          </cell>
          <cell r="O381">
            <v>46142</v>
          </cell>
          <cell r="P381">
            <v>46470</v>
          </cell>
          <cell r="Q381" t="str">
            <v>PLC-4770</v>
          </cell>
          <cell r="R381" t="str">
            <v>Meera Deshabathula</v>
          </cell>
          <cell r="S381" t="str">
            <v>Individual</v>
          </cell>
          <cell r="T381" t="str">
            <v>C2C</v>
          </cell>
          <cell r="U381" t="str">
            <v>CoForge</v>
          </cell>
          <cell r="V381">
            <v>67</v>
          </cell>
          <cell r="W381">
            <v>0</v>
          </cell>
          <cell r="X381" t="str">
            <v>USD</v>
          </cell>
          <cell r="Y381">
            <v>77</v>
          </cell>
          <cell r="Z381">
            <v>0</v>
          </cell>
          <cell r="AA381">
            <v>0</v>
          </cell>
          <cell r="AB381">
            <v>0</v>
          </cell>
          <cell r="AC381">
            <v>46127</v>
          </cell>
          <cell r="AD381">
            <v>22</v>
          </cell>
          <cell r="AE381">
            <v>46387</v>
          </cell>
          <cell r="AF381">
            <v>67</v>
          </cell>
          <cell r="AG381">
            <v>0</v>
          </cell>
          <cell r="AH381">
            <v>67</v>
          </cell>
          <cell r="AI381">
            <v>77</v>
          </cell>
          <cell r="AJ381">
            <v>0</v>
          </cell>
          <cell r="AK381">
            <v>0</v>
          </cell>
          <cell r="AL381">
            <v>10</v>
          </cell>
          <cell r="AM381">
            <v>0</v>
          </cell>
          <cell r="AN381">
            <v>10</v>
          </cell>
          <cell r="AO381">
            <v>0</v>
          </cell>
          <cell r="AP381">
            <v>10</v>
          </cell>
          <cell r="AQ381" t="str">
            <v>US_27665</v>
          </cell>
          <cell r="AR381">
            <v>0</v>
          </cell>
          <cell r="AS381">
            <v>168</v>
          </cell>
          <cell r="AU381">
            <v>168</v>
          </cell>
          <cell r="AV381">
            <v>0</v>
          </cell>
          <cell r="AW381">
            <v>1680</v>
          </cell>
          <cell r="AX381">
            <v>1663.2</v>
          </cell>
          <cell r="AY381">
            <v>0</v>
          </cell>
          <cell r="AZ381">
            <v>1680</v>
          </cell>
          <cell r="BA381">
            <v>1663.2</v>
          </cell>
          <cell r="BB381">
            <v>1680</v>
          </cell>
          <cell r="BC381">
            <v>0</v>
          </cell>
          <cell r="BD381">
            <v>0</v>
          </cell>
          <cell r="BE381">
            <v>0</v>
          </cell>
          <cell r="BG381">
            <v>1663.2</v>
          </cell>
          <cell r="BI381">
            <v>1663.2</v>
          </cell>
          <cell r="BJ381">
            <v>12936</v>
          </cell>
          <cell r="BK381">
            <v>12936</v>
          </cell>
          <cell r="BL381">
            <v>11256</v>
          </cell>
          <cell r="BM381">
            <v>0</v>
          </cell>
          <cell r="BN381">
            <v>0</v>
          </cell>
          <cell r="BO381">
            <v>0</v>
          </cell>
          <cell r="BP381">
            <v>11256</v>
          </cell>
          <cell r="BQ381">
            <v>0</v>
          </cell>
          <cell r="BR381">
            <v>1680</v>
          </cell>
          <cell r="BT381">
            <v>2</v>
          </cell>
          <cell r="BU381">
            <v>1</v>
          </cell>
          <cell r="BV381" t="str">
            <v>N</v>
          </cell>
          <cell r="BW381">
            <v>0</v>
          </cell>
          <cell r="BX381">
            <v>0</v>
          </cell>
          <cell r="BY381">
            <v>2026</v>
          </cell>
          <cell r="BZ381" t="str">
            <v>-</v>
          </cell>
          <cell r="CA381" t="str">
            <v>-</v>
          </cell>
        </row>
        <row r="382">
          <cell r="A382" t="str">
            <v>Lucknow</v>
          </cell>
          <cell r="B382" t="str">
            <v>Mavericks</v>
          </cell>
          <cell r="C382" t="str">
            <v>Mid Level</v>
          </cell>
          <cell r="D382" t="str">
            <v>Kashif Nabi</v>
          </cell>
          <cell r="E382" t="str">
            <v>Mohammad Tariq</v>
          </cell>
          <cell r="F382" t="str">
            <v>Non-MSP</v>
          </cell>
          <cell r="H382" t="str">
            <v>Mohammad Tariq</v>
          </cell>
          <cell r="L382" t="str">
            <v>New</v>
          </cell>
          <cell r="M382">
            <v>46056</v>
          </cell>
          <cell r="N382">
            <v>146</v>
          </cell>
          <cell r="P382">
            <v>46421</v>
          </cell>
          <cell r="Q382" t="str">
            <v>PLC-4648</v>
          </cell>
          <cell r="R382" t="str">
            <v>Megan Lamothe</v>
          </cell>
          <cell r="S382" t="str">
            <v>Individual</v>
          </cell>
          <cell r="T382" t="str">
            <v>FTE</v>
          </cell>
          <cell r="U382" t="str">
            <v>Cellino Law</v>
          </cell>
          <cell r="V382">
            <v>0</v>
          </cell>
          <cell r="W382">
            <v>0</v>
          </cell>
          <cell r="X382" t="str">
            <v>USD</v>
          </cell>
          <cell r="Y382">
            <v>5000</v>
          </cell>
          <cell r="Z382">
            <v>0</v>
          </cell>
          <cell r="AA382">
            <v>0</v>
          </cell>
          <cell r="AB382">
            <v>0</v>
          </cell>
          <cell r="AC382">
            <v>46068</v>
          </cell>
          <cell r="AD382">
            <v>1</v>
          </cell>
          <cell r="AE382">
            <v>46387</v>
          </cell>
          <cell r="AF382">
            <v>0</v>
          </cell>
          <cell r="AG382">
            <v>0</v>
          </cell>
          <cell r="AH382">
            <v>0</v>
          </cell>
          <cell r="AI382">
            <v>5000</v>
          </cell>
          <cell r="AJ382">
            <v>0</v>
          </cell>
          <cell r="AK382">
            <v>0</v>
          </cell>
          <cell r="AL382">
            <v>5000</v>
          </cell>
          <cell r="AM382">
            <v>0</v>
          </cell>
          <cell r="AN382">
            <v>5000</v>
          </cell>
          <cell r="AO382">
            <v>0</v>
          </cell>
          <cell r="AP382">
            <v>5000</v>
          </cell>
          <cell r="AQ382" t="str">
            <v>US_27195</v>
          </cell>
          <cell r="AR382">
            <v>0</v>
          </cell>
          <cell r="AS382">
            <v>1</v>
          </cell>
          <cell r="AU382">
            <v>1</v>
          </cell>
          <cell r="AV382">
            <v>0</v>
          </cell>
          <cell r="AW382">
            <v>5000</v>
          </cell>
          <cell r="AX382">
            <v>5000</v>
          </cell>
          <cell r="AY382">
            <v>0</v>
          </cell>
          <cell r="AZ382">
            <v>5000</v>
          </cell>
          <cell r="BA382">
            <v>5000</v>
          </cell>
          <cell r="BB382">
            <v>5000</v>
          </cell>
          <cell r="BC382">
            <v>50</v>
          </cell>
          <cell r="BD382">
            <v>6600</v>
          </cell>
          <cell r="BE382">
            <v>6600</v>
          </cell>
          <cell r="BG382">
            <v>5000</v>
          </cell>
          <cell r="BI382">
            <v>5000</v>
          </cell>
          <cell r="BJ382">
            <v>5000</v>
          </cell>
          <cell r="BK382">
            <v>5000</v>
          </cell>
          <cell r="BL382">
            <v>0</v>
          </cell>
          <cell r="BM382">
            <v>0</v>
          </cell>
          <cell r="BN382">
            <v>0</v>
          </cell>
          <cell r="BO382">
            <v>0</v>
          </cell>
          <cell r="BP382">
            <v>0</v>
          </cell>
          <cell r="BQ382">
            <v>0</v>
          </cell>
          <cell r="BR382">
            <v>5000</v>
          </cell>
          <cell r="BS382" t="str">
            <v>Y</v>
          </cell>
          <cell r="BT382">
            <v>1</v>
          </cell>
          <cell r="BU382">
            <v>1</v>
          </cell>
          <cell r="BV382" t="str">
            <v>N</v>
          </cell>
          <cell r="BW382">
            <v>13200</v>
          </cell>
          <cell r="BX382">
            <v>13200</v>
          </cell>
          <cell r="BY382">
            <v>2026</v>
          </cell>
          <cell r="BZ382" t="str">
            <v>-</v>
          </cell>
          <cell r="CA382" t="str">
            <v>-</v>
          </cell>
        </row>
        <row r="383">
          <cell r="A383" t="str">
            <v>Noida</v>
          </cell>
          <cell r="B383" t="str">
            <v>Noida IT</v>
          </cell>
          <cell r="C383" t="str">
            <v>Mid Level</v>
          </cell>
          <cell r="D383" t="str">
            <v>Akash Saxena</v>
          </cell>
          <cell r="E383" t="str">
            <v>-</v>
          </cell>
          <cell r="F383" t="str">
            <v>Non-MSP</v>
          </cell>
          <cell r="H383" t="str">
            <v>Hemant Kumar</v>
          </cell>
          <cell r="L383" t="str">
            <v>New</v>
          </cell>
          <cell r="M383">
            <v>46029</v>
          </cell>
          <cell r="N383">
            <v>173</v>
          </cell>
          <cell r="P383">
            <v>46394</v>
          </cell>
          <cell r="Q383" t="str">
            <v>PLC-4668</v>
          </cell>
          <cell r="R383" t="str">
            <v>Michael Andrew Kopp</v>
          </cell>
          <cell r="S383" t="str">
            <v>Individual</v>
          </cell>
          <cell r="T383" t="str">
            <v>FTE</v>
          </cell>
          <cell r="U383" t="str">
            <v>Hexaware</v>
          </cell>
          <cell r="V383">
            <v>0</v>
          </cell>
          <cell r="W383">
            <v>0</v>
          </cell>
          <cell r="X383" t="str">
            <v>USD</v>
          </cell>
          <cell r="Y383">
            <v>6500</v>
          </cell>
          <cell r="Z383">
            <v>0</v>
          </cell>
          <cell r="AA383">
            <v>0</v>
          </cell>
          <cell r="AB383">
            <v>0</v>
          </cell>
          <cell r="AC383">
            <v>46037</v>
          </cell>
          <cell r="AD383">
            <v>1</v>
          </cell>
          <cell r="AE383">
            <v>46387</v>
          </cell>
          <cell r="AF383">
            <v>0</v>
          </cell>
          <cell r="AG383">
            <v>0</v>
          </cell>
          <cell r="AH383">
            <v>0</v>
          </cell>
          <cell r="AI383">
            <v>6500</v>
          </cell>
          <cell r="AJ383">
            <v>0</v>
          </cell>
          <cell r="AK383">
            <v>0</v>
          </cell>
          <cell r="AL383">
            <v>6500</v>
          </cell>
          <cell r="AM383">
            <v>0</v>
          </cell>
          <cell r="AN383">
            <v>6500</v>
          </cell>
          <cell r="AO383">
            <v>0</v>
          </cell>
          <cell r="AP383">
            <v>6500</v>
          </cell>
          <cell r="AQ383" t="str">
            <v>US_26918</v>
          </cell>
          <cell r="AR383">
            <v>0</v>
          </cell>
          <cell r="AS383">
            <v>1</v>
          </cell>
          <cell r="AU383">
            <v>1</v>
          </cell>
          <cell r="AV383">
            <v>0</v>
          </cell>
          <cell r="AW383">
            <v>6500</v>
          </cell>
          <cell r="AX383">
            <v>6500</v>
          </cell>
          <cell r="AY383">
            <v>0</v>
          </cell>
          <cell r="AZ383">
            <v>6500</v>
          </cell>
          <cell r="BA383">
            <v>6500</v>
          </cell>
          <cell r="BB383">
            <v>6500</v>
          </cell>
          <cell r="BC383">
            <v>80</v>
          </cell>
          <cell r="BD383">
            <v>11440</v>
          </cell>
          <cell r="BE383">
            <v>11440</v>
          </cell>
          <cell r="BG383">
            <v>6500</v>
          </cell>
          <cell r="BI383">
            <v>6500</v>
          </cell>
          <cell r="BJ383">
            <v>6500</v>
          </cell>
          <cell r="BK383">
            <v>6500</v>
          </cell>
          <cell r="BL383">
            <v>0</v>
          </cell>
          <cell r="BM383">
            <v>0</v>
          </cell>
          <cell r="BN383">
            <v>0</v>
          </cell>
          <cell r="BO383">
            <v>0</v>
          </cell>
          <cell r="BP383">
            <v>0</v>
          </cell>
          <cell r="BQ383">
            <v>0</v>
          </cell>
          <cell r="BR383">
            <v>6500</v>
          </cell>
          <cell r="BT383">
            <v>1</v>
          </cell>
          <cell r="BU383">
            <v>1</v>
          </cell>
          <cell r="BV383" t="str">
            <v>Y</v>
          </cell>
          <cell r="BW383">
            <v>22880</v>
          </cell>
          <cell r="BX383">
            <v>22880</v>
          </cell>
          <cell r="BY383">
            <v>2026</v>
          </cell>
          <cell r="BZ383" t="str">
            <v>-</v>
          </cell>
          <cell r="CA383" t="str">
            <v>-</v>
          </cell>
        </row>
        <row r="384">
          <cell r="A384" t="str">
            <v>Lucknow</v>
          </cell>
          <cell r="B384" t="str">
            <v>Chennai</v>
          </cell>
          <cell r="C384" t="str">
            <v>Mid Level</v>
          </cell>
          <cell r="D384" t="str">
            <v>Akbar Ibrahim</v>
          </cell>
          <cell r="E384" t="str">
            <v>-</v>
          </cell>
          <cell r="F384" t="str">
            <v>Non-MSP</v>
          </cell>
          <cell r="H384" t="str">
            <v>Rohini L</v>
          </cell>
          <cell r="L384" t="str">
            <v>New</v>
          </cell>
          <cell r="M384">
            <v>46072</v>
          </cell>
          <cell r="N384">
            <v>130</v>
          </cell>
          <cell r="P384">
            <v>46437</v>
          </cell>
          <cell r="Q384" t="str">
            <v>PLC-4755</v>
          </cell>
          <cell r="R384" t="str">
            <v>Michael Terrell Hagin</v>
          </cell>
          <cell r="S384" t="str">
            <v>Individual</v>
          </cell>
          <cell r="T384" t="str">
            <v>W2</v>
          </cell>
          <cell r="U384" t="str">
            <v>LTIMindtree</v>
          </cell>
          <cell r="V384">
            <v>42</v>
          </cell>
          <cell r="W384">
            <v>0</v>
          </cell>
          <cell r="X384" t="str">
            <v>USD</v>
          </cell>
          <cell r="Y384">
            <v>60</v>
          </cell>
          <cell r="Z384">
            <v>0</v>
          </cell>
          <cell r="AA384">
            <v>0</v>
          </cell>
          <cell r="AB384">
            <v>0</v>
          </cell>
          <cell r="AC384">
            <v>46068</v>
          </cell>
          <cell r="AD384">
            <v>7</v>
          </cell>
          <cell r="AE384">
            <v>46387</v>
          </cell>
          <cell r="AF384">
            <v>48.3</v>
          </cell>
          <cell r="AG384">
            <v>0</v>
          </cell>
          <cell r="AH384">
            <v>48.3</v>
          </cell>
          <cell r="AI384">
            <v>58.199999999999996</v>
          </cell>
          <cell r="AJ384">
            <v>0</v>
          </cell>
          <cell r="AK384">
            <v>0</v>
          </cell>
          <cell r="AL384">
            <v>9.8999999999999986</v>
          </cell>
          <cell r="AM384">
            <v>0</v>
          </cell>
          <cell r="AN384">
            <v>9.8999999999999986</v>
          </cell>
          <cell r="AO384">
            <v>0</v>
          </cell>
          <cell r="AP384">
            <v>9.8999999999999986</v>
          </cell>
          <cell r="AQ384" t="str">
            <v>US_27188</v>
          </cell>
          <cell r="AR384">
            <v>0</v>
          </cell>
          <cell r="AS384">
            <v>56</v>
          </cell>
          <cell r="AU384">
            <v>56</v>
          </cell>
          <cell r="AV384">
            <v>0</v>
          </cell>
          <cell r="AW384">
            <v>554.39999999999986</v>
          </cell>
          <cell r="AX384">
            <v>554.39999999999986</v>
          </cell>
          <cell r="AY384">
            <v>0</v>
          </cell>
          <cell r="AZ384">
            <v>554.39999999999986</v>
          </cell>
          <cell r="BA384">
            <v>554.39999999999986</v>
          </cell>
          <cell r="BB384">
            <v>554.39999999999986</v>
          </cell>
          <cell r="BC384">
            <v>0</v>
          </cell>
          <cell r="BD384">
            <v>0</v>
          </cell>
          <cell r="BE384">
            <v>0</v>
          </cell>
          <cell r="BG384">
            <v>554.39999999999986</v>
          </cell>
          <cell r="BI384">
            <v>554.39999999999986</v>
          </cell>
          <cell r="BJ384">
            <v>3360</v>
          </cell>
          <cell r="BK384">
            <v>3259.2</v>
          </cell>
          <cell r="BL384">
            <v>2352</v>
          </cell>
          <cell r="BM384">
            <v>6.3</v>
          </cell>
          <cell r="BN384">
            <v>0</v>
          </cell>
          <cell r="BO384">
            <v>352.8</v>
          </cell>
          <cell r="BP384">
            <v>2704.8</v>
          </cell>
          <cell r="BQ384">
            <v>6.3</v>
          </cell>
          <cell r="BR384">
            <v>554.39999999999986</v>
          </cell>
          <cell r="BS384" t="str">
            <v>Y</v>
          </cell>
          <cell r="BT384">
            <v>1</v>
          </cell>
          <cell r="BU384">
            <v>1</v>
          </cell>
          <cell r="BV384" t="str">
            <v>N</v>
          </cell>
          <cell r="BW384">
            <v>0</v>
          </cell>
          <cell r="BX384">
            <v>0</v>
          </cell>
          <cell r="BY384">
            <v>2026</v>
          </cell>
          <cell r="BZ384" t="str">
            <v>-</v>
          </cell>
          <cell r="CA384" t="str">
            <v>-</v>
          </cell>
        </row>
        <row r="385">
          <cell r="A385" t="str">
            <v>Lucknow</v>
          </cell>
          <cell r="B385" t="str">
            <v>Chennai</v>
          </cell>
          <cell r="C385" t="str">
            <v>Mid Level</v>
          </cell>
          <cell r="D385" t="str">
            <v>Akbar Ibrahim</v>
          </cell>
          <cell r="E385" t="str">
            <v>-</v>
          </cell>
          <cell r="F385" t="str">
            <v>Non-MSP</v>
          </cell>
          <cell r="H385" t="str">
            <v>Rohini L</v>
          </cell>
          <cell r="L385" t="str">
            <v>New</v>
          </cell>
          <cell r="M385">
            <v>46072</v>
          </cell>
          <cell r="N385">
            <v>130</v>
          </cell>
          <cell r="P385">
            <v>46437</v>
          </cell>
          <cell r="Q385" t="str">
            <v>PLC-4755</v>
          </cell>
          <cell r="R385" t="str">
            <v>Michael Terrell Hagin</v>
          </cell>
          <cell r="S385" t="str">
            <v>Individual</v>
          </cell>
          <cell r="T385" t="str">
            <v>W2</v>
          </cell>
          <cell r="U385" t="str">
            <v>LTIMindtree</v>
          </cell>
          <cell r="V385">
            <v>42</v>
          </cell>
          <cell r="W385">
            <v>0</v>
          </cell>
          <cell r="X385" t="str">
            <v>USD</v>
          </cell>
          <cell r="Y385">
            <v>60</v>
          </cell>
          <cell r="Z385">
            <v>0</v>
          </cell>
          <cell r="AA385">
            <v>0</v>
          </cell>
          <cell r="AB385">
            <v>0</v>
          </cell>
          <cell r="AC385">
            <v>46096</v>
          </cell>
          <cell r="AD385">
            <v>22</v>
          </cell>
          <cell r="AE385">
            <v>46387</v>
          </cell>
          <cell r="AF385">
            <v>48.3</v>
          </cell>
          <cell r="AG385">
            <v>0</v>
          </cell>
          <cell r="AH385">
            <v>48.3</v>
          </cell>
          <cell r="AI385">
            <v>58.199999999999996</v>
          </cell>
          <cell r="AJ385">
            <v>0</v>
          </cell>
          <cell r="AK385">
            <v>0</v>
          </cell>
          <cell r="AL385">
            <v>9.8999999999999986</v>
          </cell>
          <cell r="AM385">
            <v>0</v>
          </cell>
          <cell r="AN385">
            <v>9.8999999999999986</v>
          </cell>
          <cell r="AO385">
            <v>0</v>
          </cell>
          <cell r="AP385">
            <v>9.8999999999999986</v>
          </cell>
          <cell r="AQ385" t="str">
            <v>US_27401</v>
          </cell>
          <cell r="AR385">
            <v>0</v>
          </cell>
          <cell r="AS385">
            <v>176</v>
          </cell>
          <cell r="AU385">
            <v>176</v>
          </cell>
          <cell r="AV385">
            <v>0</v>
          </cell>
          <cell r="AW385">
            <v>1742.3999999999996</v>
          </cell>
          <cell r="AX385">
            <v>1742.3999999999996</v>
          </cell>
          <cell r="AY385">
            <v>0</v>
          </cell>
          <cell r="AZ385">
            <v>1742.3999999999996</v>
          </cell>
          <cell r="BA385">
            <v>1742.3999999999996</v>
          </cell>
          <cell r="BB385">
            <v>1742.3999999999996</v>
          </cell>
          <cell r="BC385">
            <v>0</v>
          </cell>
          <cell r="BD385">
            <v>0</v>
          </cell>
          <cell r="BE385">
            <v>0</v>
          </cell>
          <cell r="BG385">
            <v>1742.3999999999996</v>
          </cell>
          <cell r="BI385">
            <v>1742.3999999999996</v>
          </cell>
          <cell r="BJ385">
            <v>10560</v>
          </cell>
          <cell r="BK385">
            <v>10243.199999999999</v>
          </cell>
          <cell r="BL385">
            <v>7392</v>
          </cell>
          <cell r="BM385">
            <v>6.3</v>
          </cell>
          <cell r="BN385">
            <v>0</v>
          </cell>
          <cell r="BO385">
            <v>1108.8</v>
          </cell>
          <cell r="BP385">
            <v>8500.7999999999993</v>
          </cell>
          <cell r="BQ385">
            <v>6.3</v>
          </cell>
          <cell r="BR385">
            <v>1742.399999999999</v>
          </cell>
          <cell r="BS385" t="str">
            <v>Y</v>
          </cell>
          <cell r="BT385">
            <v>1</v>
          </cell>
          <cell r="BU385">
            <v>1</v>
          </cell>
          <cell r="BV385" t="str">
            <v>N</v>
          </cell>
          <cell r="BW385">
            <v>0</v>
          </cell>
          <cell r="BX385">
            <v>0</v>
          </cell>
          <cell r="BY385">
            <v>2026</v>
          </cell>
          <cell r="BZ385" t="str">
            <v>-</v>
          </cell>
          <cell r="CA385" t="str">
            <v>-</v>
          </cell>
        </row>
        <row r="386">
          <cell r="A386" t="str">
            <v>Lucknow</v>
          </cell>
          <cell r="B386" t="str">
            <v>Chennai</v>
          </cell>
          <cell r="C386" t="str">
            <v>Mid Level</v>
          </cell>
          <cell r="D386" t="str">
            <v>Akbar Ibrahim</v>
          </cell>
          <cell r="E386" t="str">
            <v>-</v>
          </cell>
          <cell r="F386" t="str">
            <v>Non-MSP</v>
          </cell>
          <cell r="H386" t="str">
            <v>Rohini L</v>
          </cell>
          <cell r="J386" t="str">
            <v>ACH</v>
          </cell>
          <cell r="L386" t="str">
            <v>New</v>
          </cell>
          <cell r="M386">
            <v>46072</v>
          </cell>
          <cell r="N386">
            <v>130</v>
          </cell>
          <cell r="P386">
            <v>46437</v>
          </cell>
          <cell r="Q386" t="str">
            <v>PLC-4755</v>
          </cell>
          <cell r="R386" t="str">
            <v>Michael Terrell Hagin</v>
          </cell>
          <cell r="S386" t="str">
            <v>Individual</v>
          </cell>
          <cell r="T386" t="str">
            <v>W2</v>
          </cell>
          <cell r="U386" t="str">
            <v>LTIMindtree</v>
          </cell>
          <cell r="V386">
            <v>42</v>
          </cell>
          <cell r="W386">
            <v>0</v>
          </cell>
          <cell r="X386" t="str">
            <v>USD</v>
          </cell>
          <cell r="Y386">
            <v>60</v>
          </cell>
          <cell r="Z386">
            <v>0</v>
          </cell>
          <cell r="AA386">
            <v>0</v>
          </cell>
          <cell r="AB386">
            <v>0</v>
          </cell>
          <cell r="AC386">
            <v>46127</v>
          </cell>
          <cell r="AD386">
            <v>22</v>
          </cell>
          <cell r="AE386">
            <v>46387</v>
          </cell>
          <cell r="AF386">
            <v>48.3</v>
          </cell>
          <cell r="AG386">
            <v>0</v>
          </cell>
          <cell r="AH386">
            <v>48.3</v>
          </cell>
          <cell r="AI386">
            <v>58.199999999999996</v>
          </cell>
          <cell r="AJ386">
            <v>0</v>
          </cell>
          <cell r="AK386">
            <v>0</v>
          </cell>
          <cell r="AL386">
            <v>9.8999999999999986</v>
          </cell>
          <cell r="AM386">
            <v>0</v>
          </cell>
          <cell r="AN386">
            <v>9.8999999999999986</v>
          </cell>
          <cell r="AO386">
            <v>0</v>
          </cell>
          <cell r="AP386">
            <v>9.8999999999999986</v>
          </cell>
          <cell r="AQ386" t="str">
            <v>US_27634</v>
          </cell>
          <cell r="AR386">
            <v>0</v>
          </cell>
          <cell r="AS386">
            <v>176</v>
          </cell>
          <cell r="AU386">
            <v>176</v>
          </cell>
          <cell r="AV386">
            <v>0</v>
          </cell>
          <cell r="AW386">
            <v>1742.3999999999996</v>
          </cell>
          <cell r="AX386">
            <v>1724.9759999999997</v>
          </cell>
          <cell r="AY386">
            <v>0</v>
          </cell>
          <cell r="AZ386">
            <v>1742.3999999999996</v>
          </cell>
          <cell r="BA386">
            <v>1724.9759999999997</v>
          </cell>
          <cell r="BB386">
            <v>1742.3999999999996</v>
          </cell>
          <cell r="BC386">
            <v>0</v>
          </cell>
          <cell r="BD386">
            <v>0</v>
          </cell>
          <cell r="BE386">
            <v>0</v>
          </cell>
          <cell r="BG386">
            <v>1724.9759999999997</v>
          </cell>
          <cell r="BI386">
            <v>1724.9759999999997</v>
          </cell>
          <cell r="BJ386">
            <v>10560</v>
          </cell>
          <cell r="BK386">
            <v>10243.199999999999</v>
          </cell>
          <cell r="BL386">
            <v>7392</v>
          </cell>
          <cell r="BM386">
            <v>6.3</v>
          </cell>
          <cell r="BN386">
            <v>0</v>
          </cell>
          <cell r="BO386">
            <v>1108.8</v>
          </cell>
          <cell r="BP386">
            <v>8500.7999999999993</v>
          </cell>
          <cell r="BQ386">
            <v>6.3</v>
          </cell>
          <cell r="BR386">
            <v>1742.399999999999</v>
          </cell>
          <cell r="BT386">
            <v>2</v>
          </cell>
          <cell r="BU386">
            <v>1</v>
          </cell>
          <cell r="BV386" t="str">
            <v>N</v>
          </cell>
          <cell r="BW386">
            <v>0</v>
          </cell>
          <cell r="BX386">
            <v>0</v>
          </cell>
          <cell r="BY386">
            <v>2026</v>
          </cell>
          <cell r="BZ386" t="str">
            <v>-</v>
          </cell>
          <cell r="CA386" t="str">
            <v>-</v>
          </cell>
        </row>
        <row r="387">
          <cell r="A387" t="str">
            <v>Lucknow</v>
          </cell>
          <cell r="B387" t="str">
            <v>Chennai</v>
          </cell>
          <cell r="C387" t="str">
            <v>Mid Level</v>
          </cell>
          <cell r="D387" t="str">
            <v>Akbar Ibrahim</v>
          </cell>
          <cell r="E387" t="str">
            <v>-</v>
          </cell>
          <cell r="F387" t="str">
            <v>Non-MSP</v>
          </cell>
          <cell r="H387" t="str">
            <v>Rohini L</v>
          </cell>
          <cell r="J387" t="str">
            <v>ACH</v>
          </cell>
          <cell r="L387" t="str">
            <v>New</v>
          </cell>
          <cell r="M387">
            <v>46072</v>
          </cell>
          <cell r="N387">
            <v>130</v>
          </cell>
          <cell r="P387">
            <v>46437</v>
          </cell>
          <cell r="Q387" t="str">
            <v>PLC-4755</v>
          </cell>
          <cell r="R387" t="str">
            <v>Michael Terrell Hagin</v>
          </cell>
          <cell r="S387" t="str">
            <v>Individual</v>
          </cell>
          <cell r="T387" t="str">
            <v>W2</v>
          </cell>
          <cell r="U387" t="str">
            <v>LTIMindtree</v>
          </cell>
          <cell r="V387">
            <v>42</v>
          </cell>
          <cell r="W387">
            <v>0</v>
          </cell>
          <cell r="X387" t="str">
            <v>USD</v>
          </cell>
          <cell r="Y387">
            <v>60</v>
          </cell>
          <cell r="Z387">
            <v>0</v>
          </cell>
          <cell r="AA387">
            <v>0</v>
          </cell>
          <cell r="AB387">
            <v>0</v>
          </cell>
          <cell r="AC387">
            <v>46157</v>
          </cell>
          <cell r="AD387">
            <v>22</v>
          </cell>
          <cell r="AE387">
            <v>46387</v>
          </cell>
          <cell r="AF387">
            <v>48.3</v>
          </cell>
          <cell r="AG387">
            <v>0</v>
          </cell>
          <cell r="AH387">
            <v>48.3</v>
          </cell>
          <cell r="AI387">
            <v>58.199999999999996</v>
          </cell>
          <cell r="AJ387">
            <v>0</v>
          </cell>
          <cell r="AK387">
            <v>0</v>
          </cell>
          <cell r="AL387">
            <v>9.8999999999999986</v>
          </cell>
          <cell r="AM387">
            <v>0</v>
          </cell>
          <cell r="AN387">
            <v>9.8999999999999986</v>
          </cell>
          <cell r="AO387">
            <v>0</v>
          </cell>
          <cell r="AP387">
            <v>9.8999999999999986</v>
          </cell>
          <cell r="AQ387" t="str">
            <v>US_27919</v>
          </cell>
          <cell r="AR387">
            <v>0</v>
          </cell>
          <cell r="AS387">
            <v>160</v>
          </cell>
          <cell r="AU387">
            <v>160</v>
          </cell>
          <cell r="AV387">
            <v>0</v>
          </cell>
          <cell r="AW387">
            <v>1583.9999999999998</v>
          </cell>
          <cell r="AX387">
            <v>1568.1599999999999</v>
          </cell>
          <cell r="AY387">
            <v>0</v>
          </cell>
          <cell r="AZ387">
            <v>1583.9999999999998</v>
          </cell>
          <cell r="BA387">
            <v>1568.1599999999999</v>
          </cell>
          <cell r="BB387">
            <v>1583.9999999999998</v>
          </cell>
          <cell r="BC387">
            <v>0</v>
          </cell>
          <cell r="BD387">
            <v>0</v>
          </cell>
          <cell r="BE387">
            <v>0</v>
          </cell>
          <cell r="BG387">
            <v>1568.1599999999999</v>
          </cell>
          <cell r="BI387">
            <v>1568.1599999999999</v>
          </cell>
          <cell r="BJ387">
            <v>9600</v>
          </cell>
          <cell r="BK387">
            <v>9312</v>
          </cell>
          <cell r="BL387">
            <v>6720</v>
          </cell>
          <cell r="BM387">
            <v>6.3</v>
          </cell>
          <cell r="BN387">
            <v>0</v>
          </cell>
          <cell r="BO387">
            <v>1008</v>
          </cell>
          <cell r="BP387">
            <v>7728</v>
          </cell>
          <cell r="BQ387">
            <v>6.3</v>
          </cell>
          <cell r="BR387">
            <v>1584</v>
          </cell>
          <cell r="BT387">
            <v>2</v>
          </cell>
          <cell r="BU387">
            <v>1</v>
          </cell>
          <cell r="BV387" t="str">
            <v>N</v>
          </cell>
          <cell r="BW387">
            <v>0</v>
          </cell>
          <cell r="BX387">
            <v>0</v>
          </cell>
          <cell r="BY387">
            <v>2026</v>
          </cell>
          <cell r="BZ387" t="str">
            <v>-</v>
          </cell>
          <cell r="CA387" t="str">
            <v>-</v>
          </cell>
        </row>
        <row r="388">
          <cell r="A388" t="str">
            <v>Lucknow</v>
          </cell>
          <cell r="B388" t="str">
            <v>Trust</v>
          </cell>
          <cell r="C388" t="str">
            <v>Mid Level</v>
          </cell>
          <cell r="D388" t="str">
            <v>Shashank Yadav</v>
          </cell>
          <cell r="F388" t="str">
            <v>Non-MSP</v>
          </cell>
          <cell r="H388" t="str">
            <v>Vishwajeet Tiwari</v>
          </cell>
          <cell r="L388" t="str">
            <v>New</v>
          </cell>
          <cell r="M388">
            <v>46119</v>
          </cell>
          <cell r="N388">
            <v>83</v>
          </cell>
          <cell r="P388">
            <v>46484</v>
          </cell>
          <cell r="Q388" t="str">
            <v>PLC-4817</v>
          </cell>
          <cell r="R388" t="str">
            <v>Michael Weigand</v>
          </cell>
          <cell r="S388" t="str">
            <v>Individual</v>
          </cell>
          <cell r="T388" t="str">
            <v>FTE</v>
          </cell>
          <cell r="U388" t="str">
            <v>Reflik</v>
          </cell>
          <cell r="V388">
            <v>0</v>
          </cell>
          <cell r="W388">
            <v>0</v>
          </cell>
          <cell r="X388" t="str">
            <v>USD</v>
          </cell>
          <cell r="Y388">
            <v>3000</v>
          </cell>
          <cell r="Z388">
            <v>0</v>
          </cell>
          <cell r="AA388">
            <v>0</v>
          </cell>
          <cell r="AB388">
            <v>0</v>
          </cell>
          <cell r="AC388">
            <v>46127</v>
          </cell>
          <cell r="AD388">
            <v>1</v>
          </cell>
          <cell r="AE388">
            <v>46387</v>
          </cell>
          <cell r="AF388">
            <v>0</v>
          </cell>
          <cell r="AG388">
            <v>0</v>
          </cell>
          <cell r="AH388">
            <v>0</v>
          </cell>
          <cell r="AI388">
            <v>3000</v>
          </cell>
          <cell r="AJ388">
            <v>0</v>
          </cell>
          <cell r="AK388">
            <v>0</v>
          </cell>
          <cell r="AL388">
            <v>3000</v>
          </cell>
          <cell r="AM388">
            <v>0</v>
          </cell>
          <cell r="AN388">
            <v>3000</v>
          </cell>
          <cell r="AO388">
            <v>0</v>
          </cell>
          <cell r="AP388">
            <v>3000</v>
          </cell>
          <cell r="AQ388" t="str">
            <v>US_27695</v>
          </cell>
          <cell r="AR388">
            <v>0</v>
          </cell>
          <cell r="AS388">
            <v>1</v>
          </cell>
          <cell r="AU388">
            <v>1</v>
          </cell>
          <cell r="AV388">
            <v>0</v>
          </cell>
          <cell r="AW388">
            <v>3000</v>
          </cell>
          <cell r="AX388">
            <v>3000</v>
          </cell>
          <cell r="AY388">
            <v>0</v>
          </cell>
          <cell r="AZ388">
            <v>3000</v>
          </cell>
          <cell r="BA388">
            <v>3000</v>
          </cell>
          <cell r="BB388">
            <v>3000</v>
          </cell>
          <cell r="BC388">
            <v>0</v>
          </cell>
          <cell r="BD388">
            <v>0</v>
          </cell>
          <cell r="BE388">
            <v>0</v>
          </cell>
          <cell r="BG388">
            <v>3000</v>
          </cell>
          <cell r="BI388">
            <v>0</v>
          </cell>
          <cell r="BJ388">
            <v>3000</v>
          </cell>
          <cell r="BK388">
            <v>3000</v>
          </cell>
          <cell r="BL388">
            <v>0</v>
          </cell>
          <cell r="BM388">
            <v>0</v>
          </cell>
          <cell r="BN388">
            <v>0</v>
          </cell>
          <cell r="BO388">
            <v>0</v>
          </cell>
          <cell r="BP388">
            <v>0</v>
          </cell>
          <cell r="BQ388">
            <v>0</v>
          </cell>
          <cell r="BR388">
            <v>3000</v>
          </cell>
          <cell r="BT388">
            <v>2</v>
          </cell>
          <cell r="BU388">
            <v>2</v>
          </cell>
          <cell r="BV388" t="str">
            <v>N</v>
          </cell>
          <cell r="BW388">
            <v>0</v>
          </cell>
          <cell r="BX388">
            <v>0</v>
          </cell>
          <cell r="BY388">
            <v>2026</v>
          </cell>
          <cell r="BZ388" t="str">
            <v>-</v>
          </cell>
          <cell r="CA388" t="str">
            <v>-</v>
          </cell>
        </row>
        <row r="389">
          <cell r="A389" t="str">
            <v>Lucknow</v>
          </cell>
          <cell r="B389" t="str">
            <v>Titans</v>
          </cell>
          <cell r="C389" t="str">
            <v>Mid Level</v>
          </cell>
          <cell r="D389" t="str">
            <v>Aditya Yadav</v>
          </cell>
          <cell r="F389" t="str">
            <v>Non-MSP</v>
          </cell>
          <cell r="H389" t="str">
            <v>Aastha Tiwari</v>
          </cell>
          <cell r="L389" t="str">
            <v>New</v>
          </cell>
          <cell r="M389">
            <v>46168</v>
          </cell>
          <cell r="N389">
            <v>34</v>
          </cell>
          <cell r="P389">
            <v>46533</v>
          </cell>
          <cell r="Q389" t="str">
            <v>PLC-4906</v>
          </cell>
          <cell r="R389" t="str">
            <v>Michelle Santiago</v>
          </cell>
          <cell r="S389" t="str">
            <v>Individual</v>
          </cell>
          <cell r="T389" t="str">
            <v>FTE</v>
          </cell>
          <cell r="U389" t="str">
            <v>LTTS</v>
          </cell>
          <cell r="V389">
            <v>0</v>
          </cell>
          <cell r="W389">
            <v>0</v>
          </cell>
          <cell r="X389" t="str">
            <v>USD</v>
          </cell>
          <cell r="Y389">
            <v>5864</v>
          </cell>
          <cell r="Z389">
            <v>0</v>
          </cell>
          <cell r="AA389">
            <v>0</v>
          </cell>
          <cell r="AB389">
            <v>0</v>
          </cell>
          <cell r="AC389">
            <v>46157</v>
          </cell>
          <cell r="AD389">
            <v>1</v>
          </cell>
          <cell r="AE389">
            <v>46387</v>
          </cell>
          <cell r="AF389">
            <v>0</v>
          </cell>
          <cell r="AG389">
            <v>0</v>
          </cell>
          <cell r="AH389">
            <v>0</v>
          </cell>
          <cell r="AI389">
            <v>5864</v>
          </cell>
          <cell r="AJ389">
            <v>0</v>
          </cell>
          <cell r="AK389">
            <v>0</v>
          </cell>
          <cell r="AL389">
            <v>5864</v>
          </cell>
          <cell r="AM389">
            <v>0</v>
          </cell>
          <cell r="AN389">
            <v>5864</v>
          </cell>
          <cell r="AO389">
            <v>0</v>
          </cell>
          <cell r="AP389">
            <v>5864</v>
          </cell>
          <cell r="AQ389" t="str">
            <v>US_27732</v>
          </cell>
          <cell r="AR389">
            <v>0</v>
          </cell>
          <cell r="AS389">
            <v>1</v>
          </cell>
          <cell r="AU389">
            <v>1</v>
          </cell>
          <cell r="AV389">
            <v>0</v>
          </cell>
          <cell r="AW389">
            <v>5864</v>
          </cell>
          <cell r="AX389">
            <v>5864</v>
          </cell>
          <cell r="AY389">
            <v>0</v>
          </cell>
          <cell r="AZ389">
            <v>5864</v>
          </cell>
          <cell r="BA389">
            <v>5864</v>
          </cell>
          <cell r="BB389">
            <v>5864</v>
          </cell>
          <cell r="BC389">
            <v>0</v>
          </cell>
          <cell r="BD389">
            <v>0</v>
          </cell>
          <cell r="BE389">
            <v>0</v>
          </cell>
          <cell r="BG389">
            <v>5864</v>
          </cell>
          <cell r="BI389">
            <v>0</v>
          </cell>
          <cell r="BJ389">
            <v>5864</v>
          </cell>
          <cell r="BK389">
            <v>5864</v>
          </cell>
          <cell r="BL389">
            <v>0</v>
          </cell>
          <cell r="BM389">
            <v>0</v>
          </cell>
          <cell r="BN389">
            <v>0</v>
          </cell>
          <cell r="BO389">
            <v>0</v>
          </cell>
          <cell r="BP389">
            <v>0</v>
          </cell>
          <cell r="BQ389">
            <v>0</v>
          </cell>
          <cell r="BR389">
            <v>5864</v>
          </cell>
          <cell r="BT389">
            <v>2</v>
          </cell>
          <cell r="BU389">
            <v>2</v>
          </cell>
          <cell r="BV389" t="str">
            <v>Y</v>
          </cell>
          <cell r="BW389">
            <v>0</v>
          </cell>
          <cell r="BX389">
            <v>0</v>
          </cell>
          <cell r="BY389">
            <v>2026</v>
          </cell>
          <cell r="BZ389" t="str">
            <v>-</v>
          </cell>
          <cell r="CA389" t="str">
            <v>-</v>
          </cell>
        </row>
        <row r="390">
          <cell r="A390" t="str">
            <v>Lucknow</v>
          </cell>
          <cell r="B390" t="str">
            <v>Mavericks</v>
          </cell>
          <cell r="C390" t="str">
            <v>Mid Level</v>
          </cell>
          <cell r="D390" t="str">
            <v>Rohit Gupta</v>
          </cell>
          <cell r="E390" t="str">
            <v>-</v>
          </cell>
          <cell r="F390" t="str">
            <v>Non-MSP</v>
          </cell>
          <cell r="G390" t="str">
            <v>Kashif Nabi</v>
          </cell>
          <cell r="H390" t="str">
            <v>Harshita Mani Srivastava</v>
          </cell>
          <cell r="L390" t="str">
            <v>New</v>
          </cell>
          <cell r="M390">
            <v>46044</v>
          </cell>
          <cell r="N390">
            <v>158</v>
          </cell>
          <cell r="P390">
            <v>46409</v>
          </cell>
          <cell r="Q390" t="str">
            <v>PLC-4691</v>
          </cell>
          <cell r="R390" t="str">
            <v>Mikael Kenneth Huff</v>
          </cell>
          <cell r="S390" t="str">
            <v>Split</v>
          </cell>
          <cell r="T390" t="str">
            <v>C2C</v>
          </cell>
          <cell r="U390" t="str">
            <v>CoForge</v>
          </cell>
          <cell r="V390">
            <v>90</v>
          </cell>
          <cell r="W390">
            <v>0</v>
          </cell>
          <cell r="X390" t="str">
            <v>USD</v>
          </cell>
          <cell r="Y390">
            <v>95</v>
          </cell>
          <cell r="Z390">
            <v>0</v>
          </cell>
          <cell r="AA390">
            <v>0</v>
          </cell>
          <cell r="AB390">
            <v>0</v>
          </cell>
          <cell r="AC390">
            <v>46037</v>
          </cell>
          <cell r="AD390">
            <v>7</v>
          </cell>
          <cell r="AE390">
            <v>46387</v>
          </cell>
          <cell r="AF390">
            <v>90</v>
          </cell>
          <cell r="AG390">
            <v>0</v>
          </cell>
          <cell r="AH390">
            <v>90</v>
          </cell>
          <cell r="AI390">
            <v>95</v>
          </cell>
          <cell r="AJ390">
            <v>0</v>
          </cell>
          <cell r="AK390">
            <v>0</v>
          </cell>
          <cell r="AL390">
            <v>5</v>
          </cell>
          <cell r="AM390">
            <v>0</v>
          </cell>
          <cell r="AN390">
            <v>2.5</v>
          </cell>
          <cell r="AO390">
            <v>0</v>
          </cell>
          <cell r="AP390">
            <v>2.5</v>
          </cell>
          <cell r="AQ390" t="str">
            <v>US_26966</v>
          </cell>
          <cell r="AR390">
            <v>0</v>
          </cell>
          <cell r="AS390">
            <v>56</v>
          </cell>
          <cell r="AU390">
            <v>56</v>
          </cell>
          <cell r="AV390">
            <v>0</v>
          </cell>
          <cell r="AW390">
            <v>140</v>
          </cell>
          <cell r="AX390">
            <v>140</v>
          </cell>
          <cell r="AY390">
            <v>0</v>
          </cell>
          <cell r="AZ390">
            <v>140</v>
          </cell>
          <cell r="BA390">
            <v>140</v>
          </cell>
          <cell r="BB390">
            <v>140</v>
          </cell>
          <cell r="BC390">
            <v>0</v>
          </cell>
          <cell r="BD390">
            <v>0</v>
          </cell>
          <cell r="BE390">
            <v>0</v>
          </cell>
          <cell r="BG390">
            <v>140</v>
          </cell>
          <cell r="BI390">
            <v>140</v>
          </cell>
          <cell r="BJ390">
            <v>2660</v>
          </cell>
          <cell r="BK390">
            <v>2660</v>
          </cell>
          <cell r="BL390">
            <v>2520</v>
          </cell>
          <cell r="BM390">
            <v>0</v>
          </cell>
          <cell r="BN390">
            <v>0</v>
          </cell>
          <cell r="BO390">
            <v>0</v>
          </cell>
          <cell r="BP390">
            <v>2520</v>
          </cell>
          <cell r="BQ390">
            <v>0</v>
          </cell>
          <cell r="BR390">
            <v>140</v>
          </cell>
          <cell r="BS390" t="str">
            <v>Y</v>
          </cell>
          <cell r="BT390">
            <v>1</v>
          </cell>
          <cell r="BU390">
            <v>1</v>
          </cell>
          <cell r="BV390" t="str">
            <v>Y</v>
          </cell>
          <cell r="BW390">
            <v>0</v>
          </cell>
          <cell r="BX390">
            <v>0</v>
          </cell>
          <cell r="BY390">
            <v>2026</v>
          </cell>
          <cell r="BZ390" t="str">
            <v>-</v>
          </cell>
          <cell r="CA390" t="str">
            <v>-</v>
          </cell>
        </row>
        <row r="391">
          <cell r="A391" t="str">
            <v>Lucknow</v>
          </cell>
          <cell r="B391" t="str">
            <v>Mavericks</v>
          </cell>
          <cell r="C391" t="str">
            <v>Mid Level</v>
          </cell>
          <cell r="D391" t="str">
            <v>Kashif Nabi</v>
          </cell>
          <cell r="E391" t="str">
            <v>-</v>
          </cell>
          <cell r="F391" t="str">
            <v>Non-MSP</v>
          </cell>
          <cell r="G391" t="str">
            <v>Rohit gupta</v>
          </cell>
          <cell r="H391" t="str">
            <v>Harshita Mani Srivastava</v>
          </cell>
          <cell r="L391" t="str">
            <v>New</v>
          </cell>
          <cell r="M391">
            <v>46044</v>
          </cell>
          <cell r="N391">
            <v>158</v>
          </cell>
          <cell r="P391">
            <v>46409</v>
          </cell>
          <cell r="Q391" t="str">
            <v>PLC-4691</v>
          </cell>
          <cell r="R391" t="str">
            <v>Mikael Kenneth Huff</v>
          </cell>
          <cell r="S391" t="str">
            <v>Split</v>
          </cell>
          <cell r="T391" t="str">
            <v>C2C</v>
          </cell>
          <cell r="U391" t="str">
            <v>CoForge</v>
          </cell>
          <cell r="V391">
            <v>90</v>
          </cell>
          <cell r="W391">
            <v>0</v>
          </cell>
          <cell r="X391" t="str">
            <v>USD</v>
          </cell>
          <cell r="Y391">
            <v>95</v>
          </cell>
          <cell r="Z391">
            <v>0</v>
          </cell>
          <cell r="AA391">
            <v>0</v>
          </cell>
          <cell r="AB391">
            <v>0</v>
          </cell>
          <cell r="AC391">
            <v>46037</v>
          </cell>
          <cell r="AD391">
            <v>7</v>
          </cell>
          <cell r="AE391">
            <v>46387</v>
          </cell>
          <cell r="AF391">
            <v>90</v>
          </cell>
          <cell r="AG391">
            <v>0</v>
          </cell>
          <cell r="AH391">
            <v>90</v>
          </cell>
          <cell r="AI391">
            <v>95</v>
          </cell>
          <cell r="AJ391">
            <v>0</v>
          </cell>
          <cell r="AK391">
            <v>0</v>
          </cell>
          <cell r="AL391">
            <v>5</v>
          </cell>
          <cell r="AM391">
            <v>0</v>
          </cell>
          <cell r="AN391">
            <v>2.5</v>
          </cell>
          <cell r="AO391">
            <v>0</v>
          </cell>
          <cell r="AP391">
            <v>2.5</v>
          </cell>
          <cell r="AQ391" t="str">
            <v>US_26966</v>
          </cell>
          <cell r="AR391">
            <v>0</v>
          </cell>
          <cell r="AS391">
            <v>56</v>
          </cell>
          <cell r="AU391">
            <v>56</v>
          </cell>
          <cell r="AV391">
            <v>0</v>
          </cell>
          <cell r="AW391">
            <v>140</v>
          </cell>
          <cell r="AX391">
            <v>140</v>
          </cell>
          <cell r="AY391">
            <v>0</v>
          </cell>
          <cell r="AZ391">
            <v>140</v>
          </cell>
          <cell r="BA391">
            <v>140</v>
          </cell>
          <cell r="BB391">
            <v>140</v>
          </cell>
          <cell r="BC391">
            <v>0</v>
          </cell>
          <cell r="BD391">
            <v>0</v>
          </cell>
          <cell r="BE391">
            <v>0</v>
          </cell>
          <cell r="BG391">
            <v>140</v>
          </cell>
          <cell r="BI391">
            <v>140</v>
          </cell>
          <cell r="BJ391">
            <v>2660</v>
          </cell>
          <cell r="BK391">
            <v>2660</v>
          </cell>
          <cell r="BL391">
            <v>2520</v>
          </cell>
          <cell r="BM391">
            <v>0</v>
          </cell>
          <cell r="BN391">
            <v>0</v>
          </cell>
          <cell r="BO391">
            <v>0</v>
          </cell>
          <cell r="BP391">
            <v>2520</v>
          </cell>
          <cell r="BQ391">
            <v>0</v>
          </cell>
          <cell r="BR391">
            <v>140</v>
          </cell>
          <cell r="BS391" t="str">
            <v>Y</v>
          </cell>
          <cell r="BT391">
            <v>1</v>
          </cell>
          <cell r="BU391">
            <v>1</v>
          </cell>
          <cell r="BV391" t="str">
            <v>Y</v>
          </cell>
          <cell r="BW391">
            <v>0</v>
          </cell>
          <cell r="BX391">
            <v>0</v>
          </cell>
          <cell r="BY391">
            <v>2026</v>
          </cell>
          <cell r="BZ391" t="str">
            <v>-</v>
          </cell>
          <cell r="CA391" t="str">
            <v>-</v>
          </cell>
        </row>
        <row r="392">
          <cell r="A392" t="str">
            <v>Lucknow</v>
          </cell>
          <cell r="B392" t="str">
            <v>Mavericks</v>
          </cell>
          <cell r="C392" t="str">
            <v>Mid Level</v>
          </cell>
          <cell r="D392" t="str">
            <v>Rohit Gupta</v>
          </cell>
          <cell r="E392" t="str">
            <v>-</v>
          </cell>
          <cell r="F392" t="str">
            <v>Non-MSP</v>
          </cell>
          <cell r="G392" t="str">
            <v>Kashif Nabi</v>
          </cell>
          <cell r="H392" t="str">
            <v>Harshita Mani Srivastava</v>
          </cell>
          <cell r="L392" t="str">
            <v>New</v>
          </cell>
          <cell r="M392">
            <v>46044</v>
          </cell>
          <cell r="N392">
            <v>158</v>
          </cell>
          <cell r="P392">
            <v>46409</v>
          </cell>
          <cell r="Q392" t="str">
            <v>PLC-4691</v>
          </cell>
          <cell r="R392" t="str">
            <v>Mikael Kenneth Huff</v>
          </cell>
          <cell r="S392" t="str">
            <v>Split</v>
          </cell>
          <cell r="T392" t="str">
            <v>C2C</v>
          </cell>
          <cell r="U392" t="str">
            <v>CoForge</v>
          </cell>
          <cell r="V392">
            <v>90</v>
          </cell>
          <cell r="W392">
            <v>0</v>
          </cell>
          <cell r="X392" t="str">
            <v>USD</v>
          </cell>
          <cell r="Y392">
            <v>95</v>
          </cell>
          <cell r="Z392">
            <v>0</v>
          </cell>
          <cell r="AA392">
            <v>0</v>
          </cell>
          <cell r="AB392">
            <v>0</v>
          </cell>
          <cell r="AC392">
            <v>46068</v>
          </cell>
          <cell r="AD392">
            <v>20</v>
          </cell>
          <cell r="AE392">
            <v>46387</v>
          </cell>
          <cell r="AF392">
            <v>90</v>
          </cell>
          <cell r="AG392">
            <v>0</v>
          </cell>
          <cell r="AH392">
            <v>90</v>
          </cell>
          <cell r="AI392">
            <v>95</v>
          </cell>
          <cell r="AJ392">
            <v>0</v>
          </cell>
          <cell r="AK392">
            <v>0</v>
          </cell>
          <cell r="AL392">
            <v>5</v>
          </cell>
          <cell r="AM392">
            <v>0</v>
          </cell>
          <cell r="AN392">
            <v>2.5</v>
          </cell>
          <cell r="AO392">
            <v>0</v>
          </cell>
          <cell r="AP392">
            <v>2.5</v>
          </cell>
          <cell r="AQ392" t="str">
            <v>US_27160</v>
          </cell>
          <cell r="AR392">
            <v>0</v>
          </cell>
          <cell r="AS392">
            <v>160</v>
          </cell>
          <cell r="AU392">
            <v>160</v>
          </cell>
          <cell r="AV392">
            <v>0</v>
          </cell>
          <cell r="AW392">
            <v>400</v>
          </cell>
          <cell r="AX392">
            <v>400</v>
          </cell>
          <cell r="AY392">
            <v>0</v>
          </cell>
          <cell r="AZ392">
            <v>400</v>
          </cell>
          <cell r="BA392">
            <v>400</v>
          </cell>
          <cell r="BB392">
            <v>400</v>
          </cell>
          <cell r="BC392">
            <v>0</v>
          </cell>
          <cell r="BD392">
            <v>0</v>
          </cell>
          <cell r="BE392">
            <v>0</v>
          </cell>
          <cell r="BG392">
            <v>400</v>
          </cell>
          <cell r="BI392">
            <v>400</v>
          </cell>
          <cell r="BJ392">
            <v>7600</v>
          </cell>
          <cell r="BK392">
            <v>7600</v>
          </cell>
          <cell r="BL392">
            <v>7200</v>
          </cell>
          <cell r="BM392">
            <v>0</v>
          </cell>
          <cell r="BN392">
            <v>0</v>
          </cell>
          <cell r="BO392">
            <v>0</v>
          </cell>
          <cell r="BP392">
            <v>7200</v>
          </cell>
          <cell r="BQ392">
            <v>0</v>
          </cell>
          <cell r="BR392">
            <v>400</v>
          </cell>
          <cell r="BS392" t="str">
            <v>Y</v>
          </cell>
          <cell r="BT392">
            <v>1</v>
          </cell>
          <cell r="BU392">
            <v>1</v>
          </cell>
          <cell r="BV392" t="str">
            <v>Y</v>
          </cell>
          <cell r="BW392">
            <v>0</v>
          </cell>
          <cell r="BX392">
            <v>0</v>
          </cell>
          <cell r="BY392">
            <v>2026</v>
          </cell>
          <cell r="BZ392" t="str">
            <v>-</v>
          </cell>
          <cell r="CA392" t="str">
            <v>-</v>
          </cell>
        </row>
        <row r="393">
          <cell r="A393" t="str">
            <v>Lucknow</v>
          </cell>
          <cell r="B393" t="str">
            <v>Mavericks</v>
          </cell>
          <cell r="C393" t="str">
            <v>Mid Level</v>
          </cell>
          <cell r="D393" t="str">
            <v>Kashif Nabi</v>
          </cell>
          <cell r="E393" t="str">
            <v>-</v>
          </cell>
          <cell r="F393" t="str">
            <v>Non-MSP</v>
          </cell>
          <cell r="G393" t="str">
            <v>Rohit gupta</v>
          </cell>
          <cell r="H393" t="str">
            <v>Harshita Mani Srivastava</v>
          </cell>
          <cell r="L393" t="str">
            <v>New</v>
          </cell>
          <cell r="M393">
            <v>46044</v>
          </cell>
          <cell r="N393">
            <v>158</v>
          </cell>
          <cell r="P393">
            <v>46409</v>
          </cell>
          <cell r="Q393" t="str">
            <v>PLC-4691</v>
          </cell>
          <cell r="R393" t="str">
            <v>Mikael Kenneth Huff</v>
          </cell>
          <cell r="S393" t="str">
            <v>Split</v>
          </cell>
          <cell r="T393" t="str">
            <v>C2C</v>
          </cell>
          <cell r="U393" t="str">
            <v>CoForge</v>
          </cell>
          <cell r="V393">
            <v>90</v>
          </cell>
          <cell r="W393">
            <v>0</v>
          </cell>
          <cell r="X393" t="str">
            <v>USD</v>
          </cell>
          <cell r="Y393">
            <v>95</v>
          </cell>
          <cell r="Z393">
            <v>0</v>
          </cell>
          <cell r="AA393">
            <v>0</v>
          </cell>
          <cell r="AB393">
            <v>0</v>
          </cell>
          <cell r="AC393">
            <v>46068</v>
          </cell>
          <cell r="AD393">
            <v>20</v>
          </cell>
          <cell r="AE393">
            <v>46387</v>
          </cell>
          <cell r="AF393">
            <v>90</v>
          </cell>
          <cell r="AG393">
            <v>0</v>
          </cell>
          <cell r="AH393">
            <v>90</v>
          </cell>
          <cell r="AI393">
            <v>95</v>
          </cell>
          <cell r="AJ393">
            <v>0</v>
          </cell>
          <cell r="AK393">
            <v>0</v>
          </cell>
          <cell r="AL393">
            <v>5</v>
          </cell>
          <cell r="AM393">
            <v>0</v>
          </cell>
          <cell r="AN393">
            <v>2.5</v>
          </cell>
          <cell r="AO393">
            <v>0</v>
          </cell>
          <cell r="AP393">
            <v>2.5</v>
          </cell>
          <cell r="AQ393" t="str">
            <v>US_27160</v>
          </cell>
          <cell r="AR393">
            <v>0</v>
          </cell>
          <cell r="AS393">
            <v>160</v>
          </cell>
          <cell r="AU393">
            <v>160</v>
          </cell>
          <cell r="AV393">
            <v>0</v>
          </cell>
          <cell r="AW393">
            <v>400</v>
          </cell>
          <cell r="AX393">
            <v>400</v>
          </cell>
          <cell r="AY393">
            <v>0</v>
          </cell>
          <cell r="AZ393">
            <v>400</v>
          </cell>
          <cell r="BA393">
            <v>400</v>
          </cell>
          <cell r="BB393">
            <v>400</v>
          </cell>
          <cell r="BC393">
            <v>0</v>
          </cell>
          <cell r="BD393">
            <v>0</v>
          </cell>
          <cell r="BE393">
            <v>0</v>
          </cell>
          <cell r="BG393">
            <v>400</v>
          </cell>
          <cell r="BI393">
            <v>400</v>
          </cell>
          <cell r="BJ393">
            <v>7600</v>
          </cell>
          <cell r="BK393">
            <v>7600</v>
          </cell>
          <cell r="BL393">
            <v>7200</v>
          </cell>
          <cell r="BM393">
            <v>0</v>
          </cell>
          <cell r="BN393">
            <v>0</v>
          </cell>
          <cell r="BO393">
            <v>0</v>
          </cell>
          <cell r="BP393">
            <v>7200</v>
          </cell>
          <cell r="BQ393">
            <v>0</v>
          </cell>
          <cell r="BR393">
            <v>400</v>
          </cell>
          <cell r="BS393" t="str">
            <v>Y</v>
          </cell>
          <cell r="BT393">
            <v>1</v>
          </cell>
          <cell r="BU393">
            <v>1</v>
          </cell>
          <cell r="BV393" t="str">
            <v>Y</v>
          </cell>
          <cell r="BW393">
            <v>0</v>
          </cell>
          <cell r="BX393">
            <v>0</v>
          </cell>
          <cell r="BY393">
            <v>2026</v>
          </cell>
          <cell r="BZ393" t="str">
            <v>-</v>
          </cell>
          <cell r="CA393" t="str">
            <v>-</v>
          </cell>
        </row>
        <row r="394">
          <cell r="A394" t="str">
            <v>Lucknow</v>
          </cell>
          <cell r="B394" t="str">
            <v>Mavericks</v>
          </cell>
          <cell r="C394" t="str">
            <v>Mid Level</v>
          </cell>
          <cell r="D394" t="str">
            <v>Rohit Gupta</v>
          </cell>
          <cell r="E394" t="str">
            <v>-</v>
          </cell>
          <cell r="F394" t="str">
            <v>Non-MSP</v>
          </cell>
          <cell r="G394" t="str">
            <v>Kashif Nabi</v>
          </cell>
          <cell r="H394" t="str">
            <v>Harshita Mani Srivastava</v>
          </cell>
          <cell r="L394" t="str">
            <v>New</v>
          </cell>
          <cell r="M394">
            <v>46044</v>
          </cell>
          <cell r="N394">
            <v>158</v>
          </cell>
          <cell r="P394">
            <v>46409</v>
          </cell>
          <cell r="Q394" t="str">
            <v>PLC-4691</v>
          </cell>
          <cell r="R394" t="str">
            <v>Mikael Kenneth Huff</v>
          </cell>
          <cell r="S394" t="str">
            <v>Split</v>
          </cell>
          <cell r="T394" t="str">
            <v>C2C</v>
          </cell>
          <cell r="U394" t="str">
            <v>CoForge</v>
          </cell>
          <cell r="V394">
            <v>90</v>
          </cell>
          <cell r="W394">
            <v>0</v>
          </cell>
          <cell r="X394" t="str">
            <v>USD</v>
          </cell>
          <cell r="Y394">
            <v>95</v>
          </cell>
          <cell r="Z394">
            <v>0</v>
          </cell>
          <cell r="AA394">
            <v>0</v>
          </cell>
          <cell r="AB394">
            <v>0</v>
          </cell>
          <cell r="AC394">
            <v>46096</v>
          </cell>
          <cell r="AD394">
            <v>22</v>
          </cell>
          <cell r="AE394">
            <v>46387</v>
          </cell>
          <cell r="AF394">
            <v>90</v>
          </cell>
          <cell r="AG394">
            <v>0</v>
          </cell>
          <cell r="AH394">
            <v>90</v>
          </cell>
          <cell r="AI394">
            <v>95</v>
          </cell>
          <cell r="AJ394">
            <v>0</v>
          </cell>
          <cell r="AK394">
            <v>0</v>
          </cell>
          <cell r="AL394">
            <v>5</v>
          </cell>
          <cell r="AM394">
            <v>0</v>
          </cell>
          <cell r="AN394">
            <v>2.5</v>
          </cell>
          <cell r="AO394">
            <v>0</v>
          </cell>
          <cell r="AP394">
            <v>2.5</v>
          </cell>
          <cell r="AQ394" t="str">
            <v>US_27375</v>
          </cell>
          <cell r="AR394">
            <v>0</v>
          </cell>
          <cell r="AS394">
            <v>176</v>
          </cell>
          <cell r="AU394">
            <v>176</v>
          </cell>
          <cell r="AV394">
            <v>0</v>
          </cell>
          <cell r="AW394">
            <v>440</v>
          </cell>
          <cell r="AX394">
            <v>440</v>
          </cell>
          <cell r="AY394">
            <v>0</v>
          </cell>
          <cell r="AZ394">
            <v>440</v>
          </cell>
          <cell r="BA394">
            <v>440</v>
          </cell>
          <cell r="BB394">
            <v>440</v>
          </cell>
          <cell r="BC394">
            <v>0</v>
          </cell>
          <cell r="BD394">
            <v>0</v>
          </cell>
          <cell r="BE394">
            <v>0</v>
          </cell>
          <cell r="BG394">
            <v>440</v>
          </cell>
          <cell r="BI394">
            <v>440</v>
          </cell>
          <cell r="BJ394">
            <v>8360</v>
          </cell>
          <cell r="BK394">
            <v>8360</v>
          </cell>
          <cell r="BL394">
            <v>7920</v>
          </cell>
          <cell r="BM394">
            <v>0</v>
          </cell>
          <cell r="BN394">
            <v>0</v>
          </cell>
          <cell r="BO394">
            <v>0</v>
          </cell>
          <cell r="BP394">
            <v>7920</v>
          </cell>
          <cell r="BQ394">
            <v>0</v>
          </cell>
          <cell r="BR394">
            <v>440</v>
          </cell>
          <cell r="BS394" t="str">
            <v>Y</v>
          </cell>
          <cell r="BT394">
            <v>1</v>
          </cell>
          <cell r="BU394">
            <v>1</v>
          </cell>
          <cell r="BV394" t="str">
            <v>Y</v>
          </cell>
          <cell r="BW394">
            <v>0</v>
          </cell>
          <cell r="BX394">
            <v>0</v>
          </cell>
          <cell r="BY394">
            <v>2026</v>
          </cell>
          <cell r="BZ394" t="str">
            <v>-</v>
          </cell>
          <cell r="CA394" t="str">
            <v>-</v>
          </cell>
        </row>
        <row r="395">
          <cell r="A395" t="str">
            <v>Lucknow</v>
          </cell>
          <cell r="B395" t="str">
            <v>Mavericks</v>
          </cell>
          <cell r="C395" t="str">
            <v>Mid Level</v>
          </cell>
          <cell r="D395" t="str">
            <v>Kashif Nabi</v>
          </cell>
          <cell r="E395" t="str">
            <v>-</v>
          </cell>
          <cell r="F395" t="str">
            <v>Non-MSP</v>
          </cell>
          <cell r="G395" t="str">
            <v>Rohit gupta</v>
          </cell>
          <cell r="H395" t="str">
            <v>Harshita Mani Srivastava</v>
          </cell>
          <cell r="L395" t="str">
            <v>New</v>
          </cell>
          <cell r="M395">
            <v>46044</v>
          </cell>
          <cell r="N395">
            <v>158</v>
          </cell>
          <cell r="P395">
            <v>46409</v>
          </cell>
          <cell r="Q395" t="str">
            <v>PLC-4691</v>
          </cell>
          <cell r="R395" t="str">
            <v>Mikael Kenneth Huff</v>
          </cell>
          <cell r="S395" t="str">
            <v>Split</v>
          </cell>
          <cell r="T395" t="str">
            <v>C2C</v>
          </cell>
          <cell r="U395" t="str">
            <v>CoForge</v>
          </cell>
          <cell r="V395">
            <v>90</v>
          </cell>
          <cell r="W395">
            <v>0</v>
          </cell>
          <cell r="X395" t="str">
            <v>USD</v>
          </cell>
          <cell r="Y395">
            <v>95</v>
          </cell>
          <cell r="Z395">
            <v>0</v>
          </cell>
          <cell r="AA395">
            <v>0</v>
          </cell>
          <cell r="AB395">
            <v>0</v>
          </cell>
          <cell r="AC395">
            <v>46096</v>
          </cell>
          <cell r="AD395">
            <v>22</v>
          </cell>
          <cell r="AE395">
            <v>46387</v>
          </cell>
          <cell r="AF395">
            <v>90</v>
          </cell>
          <cell r="AG395">
            <v>0</v>
          </cell>
          <cell r="AH395">
            <v>90</v>
          </cell>
          <cell r="AI395">
            <v>95</v>
          </cell>
          <cell r="AJ395">
            <v>0</v>
          </cell>
          <cell r="AK395">
            <v>0</v>
          </cell>
          <cell r="AL395">
            <v>5</v>
          </cell>
          <cell r="AM395">
            <v>0</v>
          </cell>
          <cell r="AN395">
            <v>2.5</v>
          </cell>
          <cell r="AO395">
            <v>0</v>
          </cell>
          <cell r="AP395">
            <v>2.5</v>
          </cell>
          <cell r="AQ395" t="str">
            <v>US_27375</v>
          </cell>
          <cell r="AR395">
            <v>0</v>
          </cell>
          <cell r="AS395">
            <v>176</v>
          </cell>
          <cell r="AU395">
            <v>176</v>
          </cell>
          <cell r="AV395">
            <v>0</v>
          </cell>
          <cell r="AW395">
            <v>440</v>
          </cell>
          <cell r="AX395">
            <v>440</v>
          </cell>
          <cell r="AY395">
            <v>0</v>
          </cell>
          <cell r="AZ395">
            <v>440</v>
          </cell>
          <cell r="BA395">
            <v>440</v>
          </cell>
          <cell r="BB395">
            <v>440</v>
          </cell>
          <cell r="BC395">
            <v>0</v>
          </cell>
          <cell r="BD395">
            <v>0</v>
          </cell>
          <cell r="BE395">
            <v>0</v>
          </cell>
          <cell r="BG395">
            <v>440</v>
          </cell>
          <cell r="BI395">
            <v>440</v>
          </cell>
          <cell r="BJ395">
            <v>8360</v>
          </cell>
          <cell r="BK395">
            <v>8360</v>
          </cell>
          <cell r="BL395">
            <v>7920</v>
          </cell>
          <cell r="BM395">
            <v>0</v>
          </cell>
          <cell r="BN395">
            <v>0</v>
          </cell>
          <cell r="BO395">
            <v>0</v>
          </cell>
          <cell r="BP395">
            <v>7920</v>
          </cell>
          <cell r="BQ395">
            <v>0</v>
          </cell>
          <cell r="BR395">
            <v>440</v>
          </cell>
          <cell r="BS395" t="str">
            <v>Y</v>
          </cell>
          <cell r="BT395">
            <v>1</v>
          </cell>
          <cell r="BU395">
            <v>1</v>
          </cell>
          <cell r="BV395" t="str">
            <v>Y</v>
          </cell>
          <cell r="BW395">
            <v>0</v>
          </cell>
          <cell r="BX395">
            <v>0</v>
          </cell>
          <cell r="BY395">
            <v>2026</v>
          </cell>
          <cell r="BZ395" t="str">
            <v>-</v>
          </cell>
          <cell r="CA395" t="str">
            <v>-</v>
          </cell>
        </row>
        <row r="396">
          <cell r="A396" t="str">
            <v>Lucknow</v>
          </cell>
          <cell r="B396" t="str">
            <v>Mavericks</v>
          </cell>
          <cell r="C396" t="str">
            <v>Mid Level</v>
          </cell>
          <cell r="D396" t="str">
            <v>Rohit Gupta</v>
          </cell>
          <cell r="E396" t="str">
            <v>-</v>
          </cell>
          <cell r="F396" t="str">
            <v>Non-MSP</v>
          </cell>
          <cell r="G396" t="str">
            <v>Kashif Nabi</v>
          </cell>
          <cell r="H396" t="str">
            <v>Harshita Mani Srivastava</v>
          </cell>
          <cell r="J396" t="str">
            <v>ACH</v>
          </cell>
          <cell r="L396" t="str">
            <v>New</v>
          </cell>
          <cell r="M396">
            <v>46044</v>
          </cell>
          <cell r="N396">
            <v>158</v>
          </cell>
          <cell r="P396">
            <v>46409</v>
          </cell>
          <cell r="Q396" t="str">
            <v>PLC-4691</v>
          </cell>
          <cell r="R396" t="str">
            <v>Mikael Kenneth Huff</v>
          </cell>
          <cell r="S396" t="str">
            <v>Split</v>
          </cell>
          <cell r="T396" t="str">
            <v>C2C</v>
          </cell>
          <cell r="U396" t="str">
            <v>CoForge</v>
          </cell>
          <cell r="V396">
            <v>90</v>
          </cell>
          <cell r="W396">
            <v>0</v>
          </cell>
          <cell r="X396" t="str">
            <v>USD</v>
          </cell>
          <cell r="Y396">
            <v>95</v>
          </cell>
          <cell r="Z396">
            <v>0</v>
          </cell>
          <cell r="AA396">
            <v>0</v>
          </cell>
          <cell r="AB396">
            <v>0</v>
          </cell>
          <cell r="AC396">
            <v>46127</v>
          </cell>
          <cell r="AD396">
            <v>22</v>
          </cell>
          <cell r="AE396">
            <v>46387</v>
          </cell>
          <cell r="AF396">
            <v>90</v>
          </cell>
          <cell r="AG396">
            <v>0</v>
          </cell>
          <cell r="AH396">
            <v>90</v>
          </cell>
          <cell r="AI396">
            <v>95</v>
          </cell>
          <cell r="AJ396">
            <v>0</v>
          </cell>
          <cell r="AK396">
            <v>0</v>
          </cell>
          <cell r="AL396">
            <v>5</v>
          </cell>
          <cell r="AM396">
            <v>0</v>
          </cell>
          <cell r="AN396">
            <v>2.5</v>
          </cell>
          <cell r="AO396">
            <v>0</v>
          </cell>
          <cell r="AP396">
            <v>2.5</v>
          </cell>
          <cell r="AQ396" t="str">
            <v>US_27612</v>
          </cell>
          <cell r="AR396">
            <v>0</v>
          </cell>
          <cell r="AS396">
            <v>176</v>
          </cell>
          <cell r="AU396">
            <v>176</v>
          </cell>
          <cell r="AV396">
            <v>0</v>
          </cell>
          <cell r="AW396">
            <v>440</v>
          </cell>
          <cell r="AX396">
            <v>435.6</v>
          </cell>
          <cell r="AY396">
            <v>0</v>
          </cell>
          <cell r="AZ396">
            <v>440</v>
          </cell>
          <cell r="BA396">
            <v>435.6</v>
          </cell>
          <cell r="BB396">
            <v>440</v>
          </cell>
          <cell r="BC396">
            <v>0</v>
          </cell>
          <cell r="BD396">
            <v>0</v>
          </cell>
          <cell r="BE396">
            <v>0</v>
          </cell>
          <cell r="BG396">
            <v>435.6</v>
          </cell>
          <cell r="BI396">
            <v>435.6</v>
          </cell>
          <cell r="BJ396">
            <v>8360</v>
          </cell>
          <cell r="BK396">
            <v>8360</v>
          </cell>
          <cell r="BL396">
            <v>7920</v>
          </cell>
          <cell r="BM396">
            <v>0</v>
          </cell>
          <cell r="BN396">
            <v>0</v>
          </cell>
          <cell r="BO396">
            <v>0</v>
          </cell>
          <cell r="BP396">
            <v>7920</v>
          </cell>
          <cell r="BQ396">
            <v>0</v>
          </cell>
          <cell r="BR396">
            <v>440</v>
          </cell>
          <cell r="BS396" t="str">
            <v>Y</v>
          </cell>
          <cell r="BT396">
            <v>2</v>
          </cell>
          <cell r="BU396">
            <v>1</v>
          </cell>
          <cell r="BV396" t="str">
            <v>Y</v>
          </cell>
          <cell r="BW396">
            <v>0</v>
          </cell>
          <cell r="BX396">
            <v>0</v>
          </cell>
          <cell r="BY396">
            <v>2026</v>
          </cell>
          <cell r="BZ396" t="str">
            <v>-</v>
          </cell>
          <cell r="CA396" t="str">
            <v>-</v>
          </cell>
        </row>
        <row r="397">
          <cell r="A397" t="str">
            <v>Lucknow</v>
          </cell>
          <cell r="B397" t="str">
            <v>Mavericks</v>
          </cell>
          <cell r="C397" t="str">
            <v>Mid Level</v>
          </cell>
          <cell r="D397" t="str">
            <v>Kashif Nabi</v>
          </cell>
          <cell r="E397" t="str">
            <v>-</v>
          </cell>
          <cell r="F397" t="str">
            <v>Non-MSP</v>
          </cell>
          <cell r="G397" t="str">
            <v>Rohit gupta</v>
          </cell>
          <cell r="H397" t="str">
            <v>Harshita Mani Srivastava</v>
          </cell>
          <cell r="J397" t="str">
            <v>ACH</v>
          </cell>
          <cell r="L397" t="str">
            <v>New</v>
          </cell>
          <cell r="M397">
            <v>46044</v>
          </cell>
          <cell r="N397">
            <v>158</v>
          </cell>
          <cell r="P397">
            <v>46409</v>
          </cell>
          <cell r="Q397" t="str">
            <v>PLC-4691</v>
          </cell>
          <cell r="R397" t="str">
            <v>Mikael Kenneth Huff</v>
          </cell>
          <cell r="S397" t="str">
            <v>Split</v>
          </cell>
          <cell r="T397" t="str">
            <v>C2C</v>
          </cell>
          <cell r="U397" t="str">
            <v>CoForge</v>
          </cell>
          <cell r="V397">
            <v>90</v>
          </cell>
          <cell r="W397">
            <v>0</v>
          </cell>
          <cell r="X397" t="str">
            <v>USD</v>
          </cell>
          <cell r="Y397">
            <v>95</v>
          </cell>
          <cell r="Z397">
            <v>0</v>
          </cell>
          <cell r="AA397">
            <v>0</v>
          </cell>
          <cell r="AB397">
            <v>0</v>
          </cell>
          <cell r="AC397">
            <v>46127</v>
          </cell>
          <cell r="AD397">
            <v>22</v>
          </cell>
          <cell r="AE397">
            <v>46387</v>
          </cell>
          <cell r="AF397">
            <v>90</v>
          </cell>
          <cell r="AG397">
            <v>0</v>
          </cell>
          <cell r="AH397">
            <v>90</v>
          </cell>
          <cell r="AI397">
            <v>95</v>
          </cell>
          <cell r="AJ397">
            <v>0</v>
          </cell>
          <cell r="AK397">
            <v>0</v>
          </cell>
          <cell r="AL397">
            <v>5</v>
          </cell>
          <cell r="AM397">
            <v>0</v>
          </cell>
          <cell r="AN397">
            <v>2.5</v>
          </cell>
          <cell r="AO397">
            <v>0</v>
          </cell>
          <cell r="AP397">
            <v>2.5</v>
          </cell>
          <cell r="AQ397" t="str">
            <v>US_27612</v>
          </cell>
          <cell r="AR397">
            <v>0</v>
          </cell>
          <cell r="AS397">
            <v>176</v>
          </cell>
          <cell r="AU397">
            <v>176</v>
          </cell>
          <cell r="AV397">
            <v>0</v>
          </cell>
          <cell r="AW397">
            <v>440</v>
          </cell>
          <cell r="AX397">
            <v>435.6</v>
          </cell>
          <cell r="AY397">
            <v>0</v>
          </cell>
          <cell r="AZ397">
            <v>440</v>
          </cell>
          <cell r="BA397">
            <v>435.6</v>
          </cell>
          <cell r="BB397">
            <v>440</v>
          </cell>
          <cell r="BC397">
            <v>0</v>
          </cell>
          <cell r="BD397">
            <v>0</v>
          </cell>
          <cell r="BE397">
            <v>0</v>
          </cell>
          <cell r="BG397">
            <v>435.6</v>
          </cell>
          <cell r="BI397">
            <v>435.6</v>
          </cell>
          <cell r="BJ397">
            <v>8360</v>
          </cell>
          <cell r="BK397">
            <v>8360</v>
          </cell>
          <cell r="BL397">
            <v>7920</v>
          </cell>
          <cell r="BM397">
            <v>0</v>
          </cell>
          <cell r="BN397">
            <v>0</v>
          </cell>
          <cell r="BO397">
            <v>0</v>
          </cell>
          <cell r="BP397">
            <v>7920</v>
          </cell>
          <cell r="BQ397">
            <v>0</v>
          </cell>
          <cell r="BR397">
            <v>440</v>
          </cell>
          <cell r="BS397" t="str">
            <v>Y</v>
          </cell>
          <cell r="BT397">
            <v>2</v>
          </cell>
          <cell r="BU397">
            <v>1</v>
          </cell>
          <cell r="BV397" t="str">
            <v>Y</v>
          </cell>
          <cell r="BW397">
            <v>0</v>
          </cell>
          <cell r="BX397">
            <v>0</v>
          </cell>
          <cell r="BY397">
            <v>2026</v>
          </cell>
          <cell r="BZ397" t="str">
            <v>-</v>
          </cell>
          <cell r="CA397" t="str">
            <v>-</v>
          </cell>
        </row>
        <row r="398">
          <cell r="A398" t="str">
            <v>Lucknow</v>
          </cell>
          <cell r="B398" t="str">
            <v>Mavericks</v>
          </cell>
          <cell r="C398" t="str">
            <v>Mid Level</v>
          </cell>
          <cell r="D398" t="str">
            <v>Rohit Gupta</v>
          </cell>
          <cell r="E398" t="str">
            <v>-</v>
          </cell>
          <cell r="F398" t="str">
            <v>Non-MSP</v>
          </cell>
          <cell r="G398" t="str">
            <v>Kashif Nabi</v>
          </cell>
          <cell r="H398" t="str">
            <v>Harshita Mani Srivastava</v>
          </cell>
          <cell r="J398" t="str">
            <v>ACH</v>
          </cell>
          <cell r="L398" t="str">
            <v>New</v>
          </cell>
          <cell r="M398">
            <v>46044</v>
          </cell>
          <cell r="N398">
            <v>158</v>
          </cell>
          <cell r="P398">
            <v>46409</v>
          </cell>
          <cell r="Q398" t="str">
            <v>PLC-4691</v>
          </cell>
          <cell r="R398" t="str">
            <v>Mikael Kenneth Huff</v>
          </cell>
          <cell r="S398" t="str">
            <v>Split</v>
          </cell>
          <cell r="T398" t="str">
            <v>C2C</v>
          </cell>
          <cell r="U398" t="str">
            <v>CoForge</v>
          </cell>
          <cell r="V398">
            <v>90</v>
          </cell>
          <cell r="W398">
            <v>0</v>
          </cell>
          <cell r="X398" t="str">
            <v>USD</v>
          </cell>
          <cell r="Y398">
            <v>95</v>
          </cell>
          <cell r="Z398">
            <v>0</v>
          </cell>
          <cell r="AA398">
            <v>0</v>
          </cell>
          <cell r="AB398">
            <v>0</v>
          </cell>
          <cell r="AC398">
            <v>46157</v>
          </cell>
          <cell r="AD398">
            <v>22</v>
          </cell>
          <cell r="AE398">
            <v>46387</v>
          </cell>
          <cell r="AF398">
            <v>90</v>
          </cell>
          <cell r="AG398">
            <v>0</v>
          </cell>
          <cell r="AH398">
            <v>90</v>
          </cell>
          <cell r="AI398">
            <v>95</v>
          </cell>
          <cell r="AJ398">
            <v>0</v>
          </cell>
          <cell r="AK398">
            <v>0</v>
          </cell>
          <cell r="AL398">
            <v>5</v>
          </cell>
          <cell r="AM398">
            <v>0</v>
          </cell>
          <cell r="AN398">
            <v>2.5</v>
          </cell>
          <cell r="AO398">
            <v>0</v>
          </cell>
          <cell r="AP398">
            <v>2.5</v>
          </cell>
          <cell r="AU398">
            <v>176</v>
          </cell>
          <cell r="BB398">
            <v>440</v>
          </cell>
          <cell r="BC398">
            <v>0</v>
          </cell>
          <cell r="BD398">
            <v>0</v>
          </cell>
          <cell r="BE398">
            <v>0</v>
          </cell>
          <cell r="BK398">
            <v>8360</v>
          </cell>
          <cell r="BL398">
            <v>7920</v>
          </cell>
          <cell r="BM398">
            <v>0</v>
          </cell>
          <cell r="BN398">
            <v>0</v>
          </cell>
          <cell r="BO398">
            <v>0</v>
          </cell>
          <cell r="BP398">
            <v>7920</v>
          </cell>
          <cell r="BQ398">
            <v>0</v>
          </cell>
          <cell r="BR398">
            <v>440</v>
          </cell>
          <cell r="BT398">
            <v>2</v>
          </cell>
          <cell r="BU398">
            <v>1</v>
          </cell>
          <cell r="BV398" t="str">
            <v>Y</v>
          </cell>
          <cell r="BW398">
            <v>0</v>
          </cell>
          <cell r="BX398">
            <v>0</v>
          </cell>
          <cell r="BY398">
            <v>2026</v>
          </cell>
          <cell r="BZ398" t="str">
            <v>-</v>
          </cell>
          <cell r="CA398" t="str">
            <v>-</v>
          </cell>
        </row>
        <row r="399">
          <cell r="A399" t="str">
            <v>Lucknow</v>
          </cell>
          <cell r="B399" t="str">
            <v>Mavericks</v>
          </cell>
          <cell r="C399" t="str">
            <v>Mid Level</v>
          </cell>
          <cell r="D399" t="str">
            <v>Kashif Nabi</v>
          </cell>
          <cell r="E399" t="str">
            <v>-</v>
          </cell>
          <cell r="F399" t="str">
            <v>Non-MSP</v>
          </cell>
          <cell r="G399" t="str">
            <v>Rohit gupta</v>
          </cell>
          <cell r="H399" t="str">
            <v>Harshita Mani Srivastava</v>
          </cell>
          <cell r="J399" t="str">
            <v>ACH</v>
          </cell>
          <cell r="L399" t="str">
            <v>New</v>
          </cell>
          <cell r="M399">
            <v>46044</v>
          </cell>
          <cell r="N399">
            <v>158</v>
          </cell>
          <cell r="P399">
            <v>46409</v>
          </cell>
          <cell r="Q399" t="str">
            <v>PLC-4691</v>
          </cell>
          <cell r="R399" t="str">
            <v>Mikael Kenneth Huff</v>
          </cell>
          <cell r="S399" t="str">
            <v>Split</v>
          </cell>
          <cell r="T399" t="str">
            <v>C2C</v>
          </cell>
          <cell r="U399" t="str">
            <v>CoForge</v>
          </cell>
          <cell r="V399">
            <v>90</v>
          </cell>
          <cell r="W399">
            <v>0</v>
          </cell>
          <cell r="X399" t="str">
            <v>USD</v>
          </cell>
          <cell r="Y399">
            <v>95</v>
          </cell>
          <cell r="Z399">
            <v>0</v>
          </cell>
          <cell r="AA399">
            <v>0</v>
          </cell>
          <cell r="AB399">
            <v>0</v>
          </cell>
          <cell r="AC399">
            <v>46157</v>
          </cell>
          <cell r="AD399">
            <v>22</v>
          </cell>
          <cell r="AE399">
            <v>46387</v>
          </cell>
          <cell r="AF399">
            <v>90</v>
          </cell>
          <cell r="AG399">
            <v>0</v>
          </cell>
          <cell r="AH399">
            <v>90</v>
          </cell>
          <cell r="AI399">
            <v>95</v>
          </cell>
          <cell r="AJ399">
            <v>0</v>
          </cell>
          <cell r="AK399">
            <v>0</v>
          </cell>
          <cell r="AL399">
            <v>5</v>
          </cell>
          <cell r="AM399">
            <v>0</v>
          </cell>
          <cell r="AN399">
            <v>2.5</v>
          </cell>
          <cell r="AO399">
            <v>0</v>
          </cell>
          <cell r="AP399">
            <v>2.5</v>
          </cell>
          <cell r="AU399">
            <v>176</v>
          </cell>
          <cell r="BB399">
            <v>440</v>
          </cell>
          <cell r="BC399">
            <v>0</v>
          </cell>
          <cell r="BD399">
            <v>0</v>
          </cell>
          <cell r="BE399">
            <v>0</v>
          </cell>
          <cell r="BK399">
            <v>8360</v>
          </cell>
          <cell r="BL399">
            <v>7920</v>
          </cell>
          <cell r="BM399">
            <v>0</v>
          </cell>
          <cell r="BN399">
            <v>0</v>
          </cell>
          <cell r="BO399">
            <v>0</v>
          </cell>
          <cell r="BP399">
            <v>7920</v>
          </cell>
          <cell r="BQ399">
            <v>0</v>
          </cell>
          <cell r="BR399">
            <v>440</v>
          </cell>
          <cell r="BT399">
            <v>2</v>
          </cell>
          <cell r="BU399">
            <v>1</v>
          </cell>
          <cell r="BV399" t="str">
            <v>Y</v>
          </cell>
          <cell r="BW399">
            <v>0</v>
          </cell>
          <cell r="BX399">
            <v>0</v>
          </cell>
          <cell r="BY399">
            <v>2026</v>
          </cell>
          <cell r="BZ399" t="str">
            <v>-</v>
          </cell>
          <cell r="CA399" t="str">
            <v>-</v>
          </cell>
        </row>
        <row r="400">
          <cell r="A400" t="str">
            <v>Lucknow</v>
          </cell>
          <cell r="B400" t="str">
            <v>Trust</v>
          </cell>
          <cell r="C400" t="str">
            <v>Mid Level</v>
          </cell>
          <cell r="D400" t="str">
            <v>Shashank Yadav</v>
          </cell>
          <cell r="E400" t="str">
            <v>-</v>
          </cell>
          <cell r="F400" t="str">
            <v>Non-MSP</v>
          </cell>
          <cell r="H400" t="str">
            <v>Sachendra Singh Pal</v>
          </cell>
          <cell r="L400" t="str">
            <v>New</v>
          </cell>
          <cell r="M400">
            <v>46057</v>
          </cell>
          <cell r="N400">
            <v>145</v>
          </cell>
          <cell r="O400">
            <v>46136</v>
          </cell>
          <cell r="P400">
            <v>46422</v>
          </cell>
          <cell r="Q400" t="str">
            <v>PLC-4631</v>
          </cell>
          <cell r="R400" t="str">
            <v>Mikael Linden Sampson</v>
          </cell>
          <cell r="S400" t="str">
            <v>Individual</v>
          </cell>
          <cell r="T400" t="str">
            <v>W2</v>
          </cell>
          <cell r="U400" t="str">
            <v>Global Logic</v>
          </cell>
          <cell r="V400">
            <v>21</v>
          </cell>
          <cell r="W400">
            <v>0</v>
          </cell>
          <cell r="X400" t="str">
            <v>USD</v>
          </cell>
          <cell r="Y400">
            <v>29</v>
          </cell>
          <cell r="Z400">
            <v>0</v>
          </cell>
          <cell r="AA400">
            <v>0</v>
          </cell>
          <cell r="AB400">
            <v>0.85</v>
          </cell>
          <cell r="AC400">
            <v>46068</v>
          </cell>
          <cell r="AD400">
            <v>18</v>
          </cell>
          <cell r="AE400">
            <v>46387</v>
          </cell>
          <cell r="AF400">
            <v>24.15</v>
          </cell>
          <cell r="AG400">
            <v>0</v>
          </cell>
          <cell r="AH400">
            <v>25</v>
          </cell>
          <cell r="AI400">
            <v>29</v>
          </cell>
          <cell r="AJ400">
            <v>0</v>
          </cell>
          <cell r="AK400">
            <v>0</v>
          </cell>
          <cell r="AL400">
            <v>4</v>
          </cell>
          <cell r="AM400">
            <v>0</v>
          </cell>
          <cell r="AN400">
            <v>4</v>
          </cell>
          <cell r="AO400">
            <v>0</v>
          </cell>
          <cell r="AP400">
            <v>4</v>
          </cell>
          <cell r="AQ400" t="str">
            <v>US_27165</v>
          </cell>
          <cell r="AR400">
            <v>0</v>
          </cell>
          <cell r="AS400">
            <v>128</v>
          </cell>
          <cell r="AU400">
            <v>128</v>
          </cell>
          <cell r="AV400">
            <v>0</v>
          </cell>
          <cell r="AW400">
            <v>512</v>
          </cell>
          <cell r="AX400">
            <v>512</v>
          </cell>
          <cell r="AY400">
            <v>0</v>
          </cell>
          <cell r="AZ400">
            <v>512</v>
          </cell>
          <cell r="BA400">
            <v>512</v>
          </cell>
          <cell r="BB400">
            <v>512</v>
          </cell>
          <cell r="BC400">
            <v>0</v>
          </cell>
          <cell r="BD400">
            <v>0</v>
          </cell>
          <cell r="BE400">
            <v>0</v>
          </cell>
          <cell r="BG400">
            <v>512</v>
          </cell>
          <cell r="BI400">
            <v>512</v>
          </cell>
          <cell r="BJ400">
            <v>3712</v>
          </cell>
          <cell r="BK400">
            <v>3712</v>
          </cell>
          <cell r="BL400">
            <v>2688</v>
          </cell>
          <cell r="BM400">
            <v>3.15</v>
          </cell>
          <cell r="BN400">
            <v>108.8</v>
          </cell>
          <cell r="BO400">
            <v>403.2</v>
          </cell>
          <cell r="BP400">
            <v>3200</v>
          </cell>
          <cell r="BQ400">
            <v>4</v>
          </cell>
          <cell r="BR400">
            <v>511.99999999999994</v>
          </cell>
          <cell r="BS400" t="str">
            <v>Y</v>
          </cell>
          <cell r="BT400">
            <v>1</v>
          </cell>
          <cell r="BU400">
            <v>1</v>
          </cell>
          <cell r="BV400" t="str">
            <v>N</v>
          </cell>
          <cell r="BW400">
            <v>0</v>
          </cell>
          <cell r="BX400">
            <v>0</v>
          </cell>
          <cell r="BY400">
            <v>2026</v>
          </cell>
          <cell r="BZ400" t="str">
            <v>-</v>
          </cell>
          <cell r="CA400" t="str">
            <v>-</v>
          </cell>
        </row>
        <row r="401">
          <cell r="A401" t="str">
            <v>Lucknow</v>
          </cell>
          <cell r="B401" t="str">
            <v>Trust</v>
          </cell>
          <cell r="C401" t="str">
            <v>Mid Level</v>
          </cell>
          <cell r="D401" t="str">
            <v>Shashank Yadav</v>
          </cell>
          <cell r="E401" t="str">
            <v>-</v>
          </cell>
          <cell r="F401" t="str">
            <v>Non-MSP</v>
          </cell>
          <cell r="H401" t="str">
            <v>Sachendra Singh Pal</v>
          </cell>
          <cell r="L401" t="str">
            <v>New</v>
          </cell>
          <cell r="M401">
            <v>46057</v>
          </cell>
          <cell r="N401">
            <v>145</v>
          </cell>
          <cell r="O401">
            <v>46136</v>
          </cell>
          <cell r="P401">
            <v>46422</v>
          </cell>
          <cell r="Q401" t="str">
            <v>PLC-4631</v>
          </cell>
          <cell r="R401" t="str">
            <v>Mikael Linden Sampson</v>
          </cell>
          <cell r="S401" t="str">
            <v>Individual</v>
          </cell>
          <cell r="T401" t="str">
            <v>W2</v>
          </cell>
          <cell r="U401" t="str">
            <v>Global Logic</v>
          </cell>
          <cell r="V401">
            <v>21</v>
          </cell>
          <cell r="W401">
            <v>0</v>
          </cell>
          <cell r="X401" t="str">
            <v>USD</v>
          </cell>
          <cell r="Y401">
            <v>29</v>
          </cell>
          <cell r="Z401">
            <v>0</v>
          </cell>
          <cell r="AA401">
            <v>0</v>
          </cell>
          <cell r="AB401">
            <v>0.85</v>
          </cell>
          <cell r="AC401">
            <v>46096</v>
          </cell>
          <cell r="AD401">
            <v>22</v>
          </cell>
          <cell r="AE401">
            <v>46387</v>
          </cell>
          <cell r="AF401">
            <v>24.15</v>
          </cell>
          <cell r="AG401">
            <v>0</v>
          </cell>
          <cell r="AH401">
            <v>25</v>
          </cell>
          <cell r="AI401">
            <v>29</v>
          </cell>
          <cell r="AJ401">
            <v>0</v>
          </cell>
          <cell r="AK401">
            <v>0</v>
          </cell>
          <cell r="AL401">
            <v>4</v>
          </cell>
          <cell r="AM401">
            <v>0</v>
          </cell>
          <cell r="AN401">
            <v>4</v>
          </cell>
          <cell r="AO401">
            <v>0</v>
          </cell>
          <cell r="AP401">
            <v>4</v>
          </cell>
          <cell r="AQ401" t="str">
            <v>US_27380</v>
          </cell>
          <cell r="AR401">
            <v>0</v>
          </cell>
          <cell r="AS401">
            <v>174</v>
          </cell>
          <cell r="AU401">
            <v>174</v>
          </cell>
          <cell r="AV401">
            <v>0</v>
          </cell>
          <cell r="AW401">
            <v>696</v>
          </cell>
          <cell r="AX401">
            <v>696</v>
          </cell>
          <cell r="AY401">
            <v>0</v>
          </cell>
          <cell r="AZ401">
            <v>696</v>
          </cell>
          <cell r="BA401">
            <v>696</v>
          </cell>
          <cell r="BB401">
            <v>696</v>
          </cell>
          <cell r="BC401">
            <v>0</v>
          </cell>
          <cell r="BD401">
            <v>0</v>
          </cell>
          <cell r="BE401">
            <v>0</v>
          </cell>
          <cell r="BG401">
            <v>696</v>
          </cell>
          <cell r="BI401">
            <v>696</v>
          </cell>
          <cell r="BJ401">
            <v>5046</v>
          </cell>
          <cell r="BK401">
            <v>5046</v>
          </cell>
          <cell r="BL401">
            <v>3654</v>
          </cell>
          <cell r="BM401">
            <v>3.15</v>
          </cell>
          <cell r="BN401">
            <v>147.9</v>
          </cell>
          <cell r="BO401">
            <v>548.1</v>
          </cell>
          <cell r="BP401">
            <v>4350</v>
          </cell>
          <cell r="BQ401">
            <v>4</v>
          </cell>
          <cell r="BR401">
            <v>696</v>
          </cell>
          <cell r="BS401" t="str">
            <v>Y</v>
          </cell>
          <cell r="BT401">
            <v>1</v>
          </cell>
          <cell r="BU401">
            <v>1</v>
          </cell>
          <cell r="BV401" t="str">
            <v>N</v>
          </cell>
          <cell r="BW401">
            <v>0</v>
          </cell>
          <cell r="BX401">
            <v>0</v>
          </cell>
          <cell r="BY401">
            <v>2026</v>
          </cell>
          <cell r="BZ401" t="str">
            <v>-</v>
          </cell>
          <cell r="CA401" t="str">
            <v>-</v>
          </cell>
        </row>
        <row r="402">
          <cell r="A402" t="str">
            <v>Lucknow</v>
          </cell>
          <cell r="B402" t="str">
            <v>Trust</v>
          </cell>
          <cell r="C402" t="str">
            <v>Mid Level</v>
          </cell>
          <cell r="D402" t="str">
            <v>Shashank Yadav</v>
          </cell>
          <cell r="E402" t="str">
            <v>-</v>
          </cell>
          <cell r="F402" t="str">
            <v>Non-MSP</v>
          </cell>
          <cell r="H402" t="str">
            <v>Sachendra Singh Pal</v>
          </cell>
          <cell r="J402" t="str">
            <v>ACH</v>
          </cell>
          <cell r="L402" t="str">
            <v>New</v>
          </cell>
          <cell r="M402">
            <v>46057</v>
          </cell>
          <cell r="N402">
            <v>145</v>
          </cell>
          <cell r="O402">
            <v>46136</v>
          </cell>
          <cell r="P402">
            <v>46422</v>
          </cell>
          <cell r="Q402" t="str">
            <v>PLC-4631</v>
          </cell>
          <cell r="R402" t="str">
            <v>Mikael Linden Sampson</v>
          </cell>
          <cell r="S402" t="str">
            <v>Individual</v>
          </cell>
          <cell r="T402" t="str">
            <v>W2</v>
          </cell>
          <cell r="U402" t="str">
            <v>Global Logic</v>
          </cell>
          <cell r="V402">
            <v>21</v>
          </cell>
          <cell r="W402">
            <v>0</v>
          </cell>
          <cell r="X402" t="str">
            <v>USD</v>
          </cell>
          <cell r="Y402">
            <v>29</v>
          </cell>
          <cell r="Z402">
            <v>0</v>
          </cell>
          <cell r="AA402">
            <v>0</v>
          </cell>
          <cell r="AB402">
            <v>0.85</v>
          </cell>
          <cell r="AC402">
            <v>46127</v>
          </cell>
          <cell r="AD402">
            <v>22</v>
          </cell>
          <cell r="AE402">
            <v>46387</v>
          </cell>
          <cell r="AF402">
            <v>24.15</v>
          </cell>
          <cell r="AG402">
            <v>0</v>
          </cell>
          <cell r="AH402">
            <v>25</v>
          </cell>
          <cell r="AI402">
            <v>29</v>
          </cell>
          <cell r="AJ402">
            <v>0</v>
          </cell>
          <cell r="AK402">
            <v>0</v>
          </cell>
          <cell r="AL402">
            <v>4</v>
          </cell>
          <cell r="AM402">
            <v>0</v>
          </cell>
          <cell r="AN402">
            <v>4</v>
          </cell>
          <cell r="AO402">
            <v>0</v>
          </cell>
          <cell r="AP402">
            <v>4</v>
          </cell>
          <cell r="AQ402" t="str">
            <v>US_27615</v>
          </cell>
          <cell r="AR402">
            <v>0</v>
          </cell>
          <cell r="AS402">
            <v>128</v>
          </cell>
          <cell r="AU402">
            <v>128</v>
          </cell>
          <cell r="AV402">
            <v>0</v>
          </cell>
          <cell r="AW402">
            <v>512</v>
          </cell>
          <cell r="AX402">
            <v>506.88</v>
          </cell>
          <cell r="AY402">
            <v>0</v>
          </cell>
          <cell r="AZ402">
            <v>512</v>
          </cell>
          <cell r="BA402">
            <v>506.88</v>
          </cell>
          <cell r="BB402">
            <v>512</v>
          </cell>
          <cell r="BC402">
            <v>0</v>
          </cell>
          <cell r="BD402">
            <v>0</v>
          </cell>
          <cell r="BE402">
            <v>0</v>
          </cell>
          <cell r="BG402">
            <v>506.88</v>
          </cell>
          <cell r="BI402">
            <v>506.88</v>
          </cell>
          <cell r="BJ402">
            <v>3712</v>
          </cell>
          <cell r="BK402">
            <v>3712</v>
          </cell>
          <cell r="BL402">
            <v>2688</v>
          </cell>
          <cell r="BM402">
            <v>3.15</v>
          </cell>
          <cell r="BN402">
            <v>108.8</v>
          </cell>
          <cell r="BO402">
            <v>403.2</v>
          </cell>
          <cell r="BP402">
            <v>3200</v>
          </cell>
          <cell r="BQ402">
            <v>4</v>
          </cell>
          <cell r="BR402">
            <v>511.99999999999994</v>
          </cell>
          <cell r="BS402" t="str">
            <v>Y</v>
          </cell>
          <cell r="BT402">
            <v>2</v>
          </cell>
          <cell r="BU402">
            <v>1</v>
          </cell>
          <cell r="BV402" t="str">
            <v>N</v>
          </cell>
          <cell r="BW402">
            <v>0</v>
          </cell>
          <cell r="BX402">
            <v>0</v>
          </cell>
          <cell r="BY402">
            <v>2026</v>
          </cell>
          <cell r="BZ402" t="str">
            <v>-</v>
          </cell>
          <cell r="CA402" t="str">
            <v>-</v>
          </cell>
        </row>
        <row r="403">
          <cell r="A403" t="str">
            <v>Lucknow</v>
          </cell>
          <cell r="B403" t="str">
            <v>Mavericks</v>
          </cell>
          <cell r="C403" t="str">
            <v>Mid Level</v>
          </cell>
          <cell r="D403" t="str">
            <v>Rohit Gupta</v>
          </cell>
          <cell r="E403" t="str">
            <v>-</v>
          </cell>
          <cell r="F403" t="str">
            <v>Non-MSP</v>
          </cell>
          <cell r="H403" t="str">
            <v>Yogesh Bisht</v>
          </cell>
          <cell r="L403" t="str">
            <v>New</v>
          </cell>
          <cell r="M403">
            <v>46064</v>
          </cell>
          <cell r="N403">
            <v>138</v>
          </cell>
          <cell r="P403">
            <v>46429</v>
          </cell>
          <cell r="Q403" t="str">
            <v>PLC-4774</v>
          </cell>
          <cell r="R403" t="str">
            <v>Mohamed Diab</v>
          </cell>
          <cell r="S403" t="str">
            <v>Individual</v>
          </cell>
          <cell r="T403" t="str">
            <v>FTE</v>
          </cell>
          <cell r="U403" t="str">
            <v>TCS</v>
          </cell>
          <cell r="V403">
            <v>0</v>
          </cell>
          <cell r="W403">
            <v>0</v>
          </cell>
          <cell r="X403" t="str">
            <v>USD</v>
          </cell>
          <cell r="Y403">
            <v>14500</v>
          </cell>
          <cell r="Z403">
            <v>0</v>
          </cell>
          <cell r="AA403">
            <v>0</v>
          </cell>
          <cell r="AB403">
            <v>0</v>
          </cell>
          <cell r="AC403">
            <v>46068</v>
          </cell>
          <cell r="AD403">
            <v>1</v>
          </cell>
          <cell r="AE403">
            <v>46387</v>
          </cell>
          <cell r="AF403">
            <v>0</v>
          </cell>
          <cell r="AG403">
            <v>0</v>
          </cell>
          <cell r="AH403">
            <v>0</v>
          </cell>
          <cell r="AI403">
            <v>13920</v>
          </cell>
          <cell r="AJ403">
            <v>0</v>
          </cell>
          <cell r="AK403">
            <v>0</v>
          </cell>
          <cell r="AL403">
            <v>13920</v>
          </cell>
          <cell r="AM403">
            <v>0</v>
          </cell>
          <cell r="AN403">
            <v>13920</v>
          </cell>
          <cell r="AO403">
            <v>0</v>
          </cell>
          <cell r="AP403">
            <v>13920</v>
          </cell>
          <cell r="AQ403" t="str">
            <v>US_27196</v>
          </cell>
          <cell r="AR403">
            <v>0</v>
          </cell>
          <cell r="AS403">
            <v>1</v>
          </cell>
          <cell r="AU403">
            <v>1</v>
          </cell>
          <cell r="AV403">
            <v>0</v>
          </cell>
          <cell r="AW403">
            <v>13920</v>
          </cell>
          <cell r="AX403">
            <v>13920</v>
          </cell>
          <cell r="AY403">
            <v>0</v>
          </cell>
          <cell r="AZ403">
            <v>13920</v>
          </cell>
          <cell r="BA403">
            <v>13920</v>
          </cell>
          <cell r="BB403">
            <v>13920</v>
          </cell>
          <cell r="BC403">
            <v>0</v>
          </cell>
          <cell r="BD403">
            <v>0</v>
          </cell>
          <cell r="BE403">
            <v>0</v>
          </cell>
          <cell r="BG403">
            <v>13920</v>
          </cell>
          <cell r="BI403">
            <v>13920</v>
          </cell>
          <cell r="BJ403">
            <v>14500</v>
          </cell>
          <cell r="BK403">
            <v>13920</v>
          </cell>
          <cell r="BL403">
            <v>0</v>
          </cell>
          <cell r="BM403">
            <v>0</v>
          </cell>
          <cell r="BN403">
            <v>0</v>
          </cell>
          <cell r="BO403">
            <v>0</v>
          </cell>
          <cell r="BP403">
            <v>0</v>
          </cell>
          <cell r="BQ403">
            <v>0</v>
          </cell>
          <cell r="BR403">
            <v>13920</v>
          </cell>
          <cell r="BT403">
            <v>1</v>
          </cell>
          <cell r="BU403">
            <v>1</v>
          </cell>
          <cell r="BV403" t="str">
            <v>Y</v>
          </cell>
          <cell r="BW403">
            <v>0</v>
          </cell>
          <cell r="BX403">
            <v>0</v>
          </cell>
          <cell r="BY403">
            <v>2026</v>
          </cell>
          <cell r="BZ403" t="str">
            <v>-</v>
          </cell>
          <cell r="CA403" t="str">
            <v>-</v>
          </cell>
        </row>
        <row r="404">
          <cell r="A404" t="str">
            <v>Lucknow</v>
          </cell>
          <cell r="B404" t="str">
            <v>Mavericks</v>
          </cell>
          <cell r="C404" t="str">
            <v>Mid Level</v>
          </cell>
          <cell r="D404" t="str">
            <v>Mohammad Fakhrul</v>
          </cell>
          <cell r="E404" t="str">
            <v>-</v>
          </cell>
          <cell r="F404" t="str">
            <v>MSP</v>
          </cell>
          <cell r="H404" t="str">
            <v>Pass Through/MSP</v>
          </cell>
          <cell r="J404" t="str">
            <v>ACH</v>
          </cell>
          <cell r="L404" t="str">
            <v>New</v>
          </cell>
          <cell r="M404">
            <v>46139</v>
          </cell>
          <cell r="N404">
            <v>63</v>
          </cell>
          <cell r="P404">
            <v>46504</v>
          </cell>
          <cell r="Q404" t="str">
            <v>PLC-Passthrough</v>
          </cell>
          <cell r="R404" t="str">
            <v>Mohamed Kamara Deen</v>
          </cell>
          <cell r="S404" t="str">
            <v>Individual</v>
          </cell>
          <cell r="T404" t="str">
            <v>C2C</v>
          </cell>
          <cell r="U404" t="str">
            <v>CoForge</v>
          </cell>
          <cell r="V404">
            <v>65</v>
          </cell>
          <cell r="W404">
            <v>0</v>
          </cell>
          <cell r="X404" t="str">
            <v>USD</v>
          </cell>
          <cell r="Y404">
            <v>66</v>
          </cell>
          <cell r="Z404">
            <v>0</v>
          </cell>
          <cell r="AA404">
            <v>0</v>
          </cell>
          <cell r="AB404">
            <v>0</v>
          </cell>
          <cell r="AC404">
            <v>46127</v>
          </cell>
          <cell r="AD404">
            <v>4</v>
          </cell>
          <cell r="AE404">
            <v>46387</v>
          </cell>
          <cell r="AF404">
            <v>65</v>
          </cell>
          <cell r="AG404">
            <v>0</v>
          </cell>
          <cell r="AH404">
            <v>65</v>
          </cell>
          <cell r="AI404">
            <v>66</v>
          </cell>
          <cell r="AJ404">
            <v>0</v>
          </cell>
          <cell r="AK404">
            <v>0</v>
          </cell>
          <cell r="AL404">
            <v>1</v>
          </cell>
          <cell r="AM404">
            <v>0</v>
          </cell>
          <cell r="AN404">
            <v>1</v>
          </cell>
          <cell r="AO404">
            <v>0</v>
          </cell>
          <cell r="AP404">
            <v>1</v>
          </cell>
          <cell r="AU404">
            <v>32</v>
          </cell>
          <cell r="BB404">
            <v>32</v>
          </cell>
          <cell r="BC404">
            <v>0</v>
          </cell>
          <cell r="BD404">
            <v>0</v>
          </cell>
          <cell r="BE404">
            <v>0</v>
          </cell>
          <cell r="BI404">
            <v>0</v>
          </cell>
          <cell r="BK404">
            <v>2112</v>
          </cell>
          <cell r="BL404">
            <v>2080</v>
          </cell>
          <cell r="BM404">
            <v>0</v>
          </cell>
          <cell r="BN404">
            <v>0</v>
          </cell>
          <cell r="BO404">
            <v>0</v>
          </cell>
          <cell r="BP404">
            <v>2080</v>
          </cell>
          <cell r="BQ404">
            <v>0</v>
          </cell>
          <cell r="BR404">
            <v>32</v>
          </cell>
          <cell r="BT404">
            <v>2</v>
          </cell>
          <cell r="BU404">
            <v>2</v>
          </cell>
          <cell r="BV404" t="str">
            <v>N</v>
          </cell>
          <cell r="BW404">
            <v>0</v>
          </cell>
          <cell r="BX404">
            <v>0</v>
          </cell>
          <cell r="BY404">
            <v>2026</v>
          </cell>
          <cell r="BZ404" t="str">
            <v>-</v>
          </cell>
          <cell r="CA404" t="str">
            <v>-</v>
          </cell>
        </row>
        <row r="405">
          <cell r="A405" t="str">
            <v>Lucknow</v>
          </cell>
          <cell r="B405" t="str">
            <v>Mavericks</v>
          </cell>
          <cell r="C405" t="str">
            <v>Mid Level</v>
          </cell>
          <cell r="D405" t="str">
            <v>Mohammad Fakhrul</v>
          </cell>
          <cell r="E405" t="str">
            <v>-</v>
          </cell>
          <cell r="F405" t="str">
            <v>MSP</v>
          </cell>
          <cell r="H405" t="str">
            <v>Pass Through/MSP</v>
          </cell>
          <cell r="J405" t="str">
            <v>ACH</v>
          </cell>
          <cell r="L405" t="str">
            <v>New</v>
          </cell>
          <cell r="M405">
            <v>46139</v>
          </cell>
          <cell r="N405">
            <v>63</v>
          </cell>
          <cell r="P405">
            <v>46504</v>
          </cell>
          <cell r="Q405" t="str">
            <v>PLC-Passthrough</v>
          </cell>
          <cell r="R405" t="str">
            <v>Mohamed Kamara Deen</v>
          </cell>
          <cell r="S405" t="str">
            <v>Individual</v>
          </cell>
          <cell r="T405" t="str">
            <v>C2C</v>
          </cell>
          <cell r="U405" t="str">
            <v>CoForge</v>
          </cell>
          <cell r="V405">
            <v>65</v>
          </cell>
          <cell r="W405">
            <v>0</v>
          </cell>
          <cell r="X405" t="str">
            <v>USD</v>
          </cell>
          <cell r="Y405">
            <v>66</v>
          </cell>
          <cell r="Z405">
            <v>0</v>
          </cell>
          <cell r="AA405">
            <v>0</v>
          </cell>
          <cell r="AB405">
            <v>0</v>
          </cell>
          <cell r="AC405">
            <v>46157</v>
          </cell>
          <cell r="AD405">
            <v>4</v>
          </cell>
          <cell r="AE405">
            <v>46387</v>
          </cell>
          <cell r="AF405">
            <v>65</v>
          </cell>
          <cell r="AG405">
            <v>0</v>
          </cell>
          <cell r="AH405">
            <v>65</v>
          </cell>
          <cell r="AI405">
            <v>66</v>
          </cell>
          <cell r="AJ405">
            <v>0</v>
          </cell>
          <cell r="AK405">
            <v>0</v>
          </cell>
          <cell r="AL405">
            <v>1</v>
          </cell>
          <cell r="AM405">
            <v>0</v>
          </cell>
          <cell r="AN405">
            <v>1</v>
          </cell>
          <cell r="AO405">
            <v>0</v>
          </cell>
          <cell r="AP405">
            <v>1</v>
          </cell>
          <cell r="AU405">
            <v>32</v>
          </cell>
          <cell r="BB405">
            <v>32</v>
          </cell>
          <cell r="BC405">
            <v>0</v>
          </cell>
          <cell r="BD405">
            <v>0</v>
          </cell>
          <cell r="BE405">
            <v>0</v>
          </cell>
          <cell r="BI405">
            <v>0</v>
          </cell>
          <cell r="BK405">
            <v>2112</v>
          </cell>
          <cell r="BL405">
            <v>2080</v>
          </cell>
          <cell r="BM405">
            <v>0</v>
          </cell>
          <cell r="BN405">
            <v>0</v>
          </cell>
          <cell r="BO405">
            <v>0</v>
          </cell>
          <cell r="BP405">
            <v>2080</v>
          </cell>
          <cell r="BQ405">
            <v>0</v>
          </cell>
          <cell r="BR405">
            <v>32</v>
          </cell>
          <cell r="BT405">
            <v>2</v>
          </cell>
          <cell r="BU405">
            <v>2</v>
          </cell>
          <cell r="BV405" t="str">
            <v>N</v>
          </cell>
          <cell r="BW405">
            <v>0</v>
          </cell>
          <cell r="BX405">
            <v>0</v>
          </cell>
          <cell r="BY405">
            <v>2026</v>
          </cell>
          <cell r="BZ405" t="str">
            <v>-</v>
          </cell>
          <cell r="CA405" t="str">
            <v>-</v>
          </cell>
        </row>
        <row r="406">
          <cell r="A406" t="str">
            <v>Lucknow</v>
          </cell>
          <cell r="B406" t="str">
            <v>Trust</v>
          </cell>
          <cell r="C406" t="str">
            <v>Mid Level</v>
          </cell>
          <cell r="D406" t="str">
            <v>Harsh Agarwal</v>
          </cell>
          <cell r="F406" t="str">
            <v>Non-MSP</v>
          </cell>
          <cell r="H406" t="str">
            <v>Anurag Srivastava</v>
          </cell>
          <cell r="J406" t="str">
            <v>ACH</v>
          </cell>
          <cell r="L406" t="str">
            <v>New</v>
          </cell>
          <cell r="M406">
            <v>46127</v>
          </cell>
          <cell r="N406">
            <v>75</v>
          </cell>
          <cell r="O406">
            <v>46141</v>
          </cell>
          <cell r="P406">
            <v>46492</v>
          </cell>
          <cell r="Q406" t="str">
            <v>PLC-4807</v>
          </cell>
          <cell r="R406" t="str">
            <v>Mohammad Awais Ghouri</v>
          </cell>
          <cell r="S406" t="str">
            <v>Individual</v>
          </cell>
          <cell r="T406" t="str">
            <v>C2C</v>
          </cell>
          <cell r="U406" t="str">
            <v>Movate</v>
          </cell>
          <cell r="V406">
            <v>56</v>
          </cell>
          <cell r="W406">
            <v>0</v>
          </cell>
          <cell r="X406" t="str">
            <v>USD</v>
          </cell>
          <cell r="Y406">
            <v>75</v>
          </cell>
          <cell r="Z406">
            <v>0</v>
          </cell>
          <cell r="AA406">
            <v>0</v>
          </cell>
          <cell r="AB406">
            <v>0</v>
          </cell>
          <cell r="AC406">
            <v>46127</v>
          </cell>
          <cell r="AD406">
            <v>12</v>
          </cell>
          <cell r="AE406">
            <v>46387</v>
          </cell>
          <cell r="AF406">
            <v>56</v>
          </cell>
          <cell r="AG406">
            <v>0</v>
          </cell>
          <cell r="AH406">
            <v>56</v>
          </cell>
          <cell r="AI406">
            <v>75</v>
          </cell>
          <cell r="AJ406">
            <v>0</v>
          </cell>
          <cell r="AK406">
            <v>0</v>
          </cell>
          <cell r="AL406">
            <v>19</v>
          </cell>
          <cell r="AM406">
            <v>0</v>
          </cell>
          <cell r="AN406">
            <v>19</v>
          </cell>
          <cell r="AO406">
            <v>0</v>
          </cell>
          <cell r="AP406">
            <v>19</v>
          </cell>
          <cell r="AU406">
            <v>96</v>
          </cell>
          <cell r="BB406">
            <v>1824</v>
          </cell>
          <cell r="BC406">
            <v>0</v>
          </cell>
          <cell r="BD406">
            <v>0</v>
          </cell>
          <cell r="BE406">
            <v>0</v>
          </cell>
          <cell r="BF406">
            <v>39</v>
          </cell>
          <cell r="BI406">
            <v>0</v>
          </cell>
          <cell r="BK406">
            <v>7200</v>
          </cell>
          <cell r="BL406">
            <v>5376</v>
          </cell>
          <cell r="BM406">
            <v>0</v>
          </cell>
          <cell r="BN406">
            <v>0</v>
          </cell>
          <cell r="BO406">
            <v>0</v>
          </cell>
          <cell r="BP406">
            <v>5376</v>
          </cell>
          <cell r="BQ406">
            <v>0</v>
          </cell>
          <cell r="BR406">
            <v>1824</v>
          </cell>
          <cell r="BT406">
            <v>2</v>
          </cell>
          <cell r="BU406">
            <v>2</v>
          </cell>
          <cell r="BV406" t="str">
            <v>N</v>
          </cell>
          <cell r="BW406">
            <v>0</v>
          </cell>
          <cell r="BX406">
            <v>0</v>
          </cell>
          <cell r="BY406">
            <v>2026</v>
          </cell>
          <cell r="BZ406" t="str">
            <v>-</v>
          </cell>
          <cell r="CA406" t="str">
            <v>-</v>
          </cell>
        </row>
        <row r="407">
          <cell r="A407" t="str">
            <v>Lucknow</v>
          </cell>
          <cell r="B407" t="str">
            <v>Trust</v>
          </cell>
          <cell r="C407" t="str">
            <v>Mid Level</v>
          </cell>
          <cell r="D407" t="str">
            <v>Bhanu Pratap Singh</v>
          </cell>
          <cell r="F407" t="str">
            <v>Non-MSP</v>
          </cell>
          <cell r="H407" t="str">
            <v>Ritu Jaiswal</v>
          </cell>
          <cell r="J407" t="str">
            <v>ACH</v>
          </cell>
          <cell r="L407" t="str">
            <v>New</v>
          </cell>
          <cell r="M407">
            <v>46167</v>
          </cell>
          <cell r="N407">
            <v>35</v>
          </cell>
          <cell r="P407">
            <v>46532</v>
          </cell>
          <cell r="Q407" t="str">
            <v>PLC-4863</v>
          </cell>
          <cell r="R407" t="str">
            <v>Mortoza Shoeb</v>
          </cell>
          <cell r="S407" t="str">
            <v>Individual</v>
          </cell>
          <cell r="T407" t="str">
            <v>C2C Canada</v>
          </cell>
          <cell r="U407" t="str">
            <v>Government of Ontario</v>
          </cell>
          <cell r="V407">
            <v>110</v>
          </cell>
          <cell r="W407">
            <v>0</v>
          </cell>
          <cell r="X407" t="str">
            <v>CAD</v>
          </cell>
          <cell r="Y407">
            <v>126.48</v>
          </cell>
          <cell r="Z407">
            <v>0</v>
          </cell>
          <cell r="AA407">
            <v>0</v>
          </cell>
          <cell r="AB407">
            <v>0</v>
          </cell>
          <cell r="AC407">
            <v>46157</v>
          </cell>
          <cell r="AD407">
            <v>5</v>
          </cell>
          <cell r="AE407">
            <v>46387</v>
          </cell>
          <cell r="AF407">
            <v>78.099999999999994</v>
          </cell>
          <cell r="AG407">
            <v>0</v>
          </cell>
          <cell r="AH407">
            <v>78.099999999999994</v>
          </cell>
          <cell r="AI407">
            <v>89.800799999999995</v>
          </cell>
          <cell r="AJ407">
            <v>0</v>
          </cell>
          <cell r="AK407">
            <v>0</v>
          </cell>
          <cell r="AL407">
            <v>11.700800000000001</v>
          </cell>
          <cell r="AM407">
            <v>0</v>
          </cell>
          <cell r="AN407">
            <v>11.700800000000001</v>
          </cell>
          <cell r="AO407">
            <v>0</v>
          </cell>
          <cell r="AP407">
            <v>11.700800000000001</v>
          </cell>
          <cell r="AQ407" t="str">
            <v>CAD_2203</v>
          </cell>
          <cell r="AR407">
            <v>0</v>
          </cell>
          <cell r="AS407">
            <v>21.75</v>
          </cell>
          <cell r="AU407">
            <v>21.75</v>
          </cell>
          <cell r="AV407">
            <v>0</v>
          </cell>
          <cell r="AW407">
            <v>254.49240000000003</v>
          </cell>
          <cell r="AX407">
            <v>251.94747600000002</v>
          </cell>
          <cell r="AY407">
            <v>0</v>
          </cell>
          <cell r="AZ407">
            <v>254.49240000000003</v>
          </cell>
          <cell r="BA407">
            <v>251.94747600000002</v>
          </cell>
          <cell r="BB407">
            <v>254.49240000000003</v>
          </cell>
          <cell r="BC407">
            <v>0</v>
          </cell>
          <cell r="BD407">
            <v>0</v>
          </cell>
          <cell r="BE407">
            <v>0</v>
          </cell>
          <cell r="BG407">
            <v>251.94747600000002</v>
          </cell>
          <cell r="BI407">
            <v>0</v>
          </cell>
          <cell r="BJ407">
            <v>2750.94</v>
          </cell>
          <cell r="BK407">
            <v>1953.1673999999998</v>
          </cell>
          <cell r="BL407">
            <v>1772.6032500000001</v>
          </cell>
          <cell r="BM407">
            <v>0</v>
          </cell>
          <cell r="BN407">
            <v>0</v>
          </cell>
          <cell r="BO407">
            <v>0</v>
          </cell>
          <cell r="BP407">
            <v>1772.6032500000001</v>
          </cell>
          <cell r="BQ407">
            <v>0</v>
          </cell>
          <cell r="BR407">
            <v>180.5641499999997</v>
          </cell>
          <cell r="BT407">
            <v>2</v>
          </cell>
          <cell r="BU407">
            <v>2</v>
          </cell>
          <cell r="BV407" t="str">
            <v>N</v>
          </cell>
          <cell r="BW407">
            <v>0</v>
          </cell>
          <cell r="BX407">
            <v>0</v>
          </cell>
          <cell r="BY407">
            <v>2026</v>
          </cell>
          <cell r="BZ407" t="str">
            <v>-</v>
          </cell>
          <cell r="CA407" t="str">
            <v>-</v>
          </cell>
        </row>
        <row r="408">
          <cell r="A408" t="str">
            <v>Lucknow</v>
          </cell>
          <cell r="B408" t="str">
            <v>Mavericks</v>
          </cell>
          <cell r="C408" t="str">
            <v>Mid Level</v>
          </cell>
          <cell r="D408" t="str">
            <v>Mohammad Fakhrul</v>
          </cell>
          <cell r="E408" t="str">
            <v>-</v>
          </cell>
          <cell r="F408" t="str">
            <v>MSP</v>
          </cell>
          <cell r="H408" t="str">
            <v>Pass Through/MSP</v>
          </cell>
          <cell r="J408" t="str">
            <v>ACH</v>
          </cell>
          <cell r="L408" t="str">
            <v>New</v>
          </cell>
          <cell r="M408">
            <v>46118</v>
          </cell>
          <cell r="N408">
            <v>84</v>
          </cell>
          <cell r="P408">
            <v>46483</v>
          </cell>
          <cell r="Q408" t="str">
            <v>PLC-Passthrough</v>
          </cell>
          <cell r="R408" t="str">
            <v>Mounish Medarametla</v>
          </cell>
          <cell r="S408" t="str">
            <v>Individual</v>
          </cell>
          <cell r="T408" t="str">
            <v>C2C</v>
          </cell>
          <cell r="U408" t="str">
            <v>Cigniti</v>
          </cell>
          <cell r="V408">
            <v>60</v>
          </cell>
          <cell r="W408">
            <v>0</v>
          </cell>
          <cell r="X408" t="str">
            <v>USD</v>
          </cell>
          <cell r="Y408">
            <v>62</v>
          </cell>
          <cell r="Z408">
            <v>0</v>
          </cell>
          <cell r="AA408">
            <v>0</v>
          </cell>
          <cell r="AB408">
            <v>0</v>
          </cell>
          <cell r="AC408">
            <v>46127</v>
          </cell>
          <cell r="AD408">
            <v>19</v>
          </cell>
          <cell r="AE408">
            <v>46387</v>
          </cell>
          <cell r="AF408">
            <v>60</v>
          </cell>
          <cell r="AG408">
            <v>0</v>
          </cell>
          <cell r="AH408">
            <v>60</v>
          </cell>
          <cell r="AI408">
            <v>62</v>
          </cell>
          <cell r="AJ408">
            <v>0</v>
          </cell>
          <cell r="AK408">
            <v>0</v>
          </cell>
          <cell r="AL408">
            <v>2</v>
          </cell>
          <cell r="AM408">
            <v>0</v>
          </cell>
          <cell r="AN408">
            <v>2</v>
          </cell>
          <cell r="AO408">
            <v>0</v>
          </cell>
          <cell r="AP408">
            <v>2</v>
          </cell>
          <cell r="AQ408" t="str">
            <v>US_CMSP_00737</v>
          </cell>
          <cell r="AR408">
            <v>0</v>
          </cell>
          <cell r="AS408">
            <v>152</v>
          </cell>
          <cell r="AU408">
            <v>152</v>
          </cell>
          <cell r="AV408">
            <v>0</v>
          </cell>
          <cell r="AW408">
            <v>304</v>
          </cell>
          <cell r="AX408">
            <v>300.95999999999998</v>
          </cell>
          <cell r="AY408">
            <v>0</v>
          </cell>
          <cell r="AZ408">
            <v>304</v>
          </cell>
          <cell r="BA408">
            <v>300.95999999999998</v>
          </cell>
          <cell r="BB408">
            <v>304</v>
          </cell>
          <cell r="BC408">
            <v>0</v>
          </cell>
          <cell r="BD408">
            <v>0</v>
          </cell>
          <cell r="BE408">
            <v>0</v>
          </cell>
          <cell r="BG408">
            <v>300.95999999999998</v>
          </cell>
          <cell r="BI408">
            <v>0</v>
          </cell>
          <cell r="BJ408">
            <v>9424</v>
          </cell>
          <cell r="BK408">
            <v>9424</v>
          </cell>
          <cell r="BL408">
            <v>9120</v>
          </cell>
          <cell r="BM408">
            <v>0</v>
          </cell>
          <cell r="BN408">
            <v>0</v>
          </cell>
          <cell r="BO408">
            <v>0</v>
          </cell>
          <cell r="BP408">
            <v>9120</v>
          </cell>
          <cell r="BQ408">
            <v>0</v>
          </cell>
          <cell r="BR408">
            <v>304</v>
          </cell>
          <cell r="BT408">
            <v>2</v>
          </cell>
          <cell r="BU408">
            <v>2</v>
          </cell>
          <cell r="BV408" t="str">
            <v>N</v>
          </cell>
          <cell r="BW408">
            <v>0</v>
          </cell>
          <cell r="BX408">
            <v>0</v>
          </cell>
          <cell r="BY408">
            <v>2026</v>
          </cell>
          <cell r="BZ408" t="str">
            <v>-</v>
          </cell>
          <cell r="CA408" t="str">
            <v>-</v>
          </cell>
        </row>
        <row r="409">
          <cell r="A409" t="str">
            <v>Lucknow</v>
          </cell>
          <cell r="B409" t="str">
            <v>Mavericks</v>
          </cell>
          <cell r="C409" t="str">
            <v>Mid Level</v>
          </cell>
          <cell r="D409" t="str">
            <v>Mohammad Fakhrul</v>
          </cell>
          <cell r="E409" t="str">
            <v>-</v>
          </cell>
          <cell r="F409" t="str">
            <v>MSP</v>
          </cell>
          <cell r="H409" t="str">
            <v>Pass Through/MSP</v>
          </cell>
          <cell r="J409" t="str">
            <v>ACH</v>
          </cell>
          <cell r="L409" t="str">
            <v>New</v>
          </cell>
          <cell r="M409">
            <v>46118</v>
          </cell>
          <cell r="N409">
            <v>84</v>
          </cell>
          <cell r="P409">
            <v>46483</v>
          </cell>
          <cell r="Q409" t="str">
            <v>PLC-Passthrough</v>
          </cell>
          <cell r="R409" t="str">
            <v>Mounish Medarametla</v>
          </cell>
          <cell r="S409" t="str">
            <v>Individual</v>
          </cell>
          <cell r="T409" t="str">
            <v>C2C</v>
          </cell>
          <cell r="U409" t="str">
            <v>Cigniti</v>
          </cell>
          <cell r="V409">
            <v>60</v>
          </cell>
          <cell r="W409">
            <v>0</v>
          </cell>
          <cell r="X409" t="str">
            <v>USD</v>
          </cell>
          <cell r="Y409">
            <v>62</v>
          </cell>
          <cell r="Z409">
            <v>0</v>
          </cell>
          <cell r="AA409">
            <v>0</v>
          </cell>
          <cell r="AB409">
            <v>0</v>
          </cell>
          <cell r="AC409">
            <v>46157</v>
          </cell>
          <cell r="AD409">
            <v>19</v>
          </cell>
          <cell r="AE409">
            <v>46387</v>
          </cell>
          <cell r="AF409">
            <v>60</v>
          </cell>
          <cell r="AG409">
            <v>0</v>
          </cell>
          <cell r="AH409">
            <v>60</v>
          </cell>
          <cell r="AI409">
            <v>62</v>
          </cell>
          <cell r="AJ409">
            <v>0</v>
          </cell>
          <cell r="AK409">
            <v>0</v>
          </cell>
          <cell r="AL409">
            <v>2</v>
          </cell>
          <cell r="AM409">
            <v>0</v>
          </cell>
          <cell r="AN409">
            <v>2</v>
          </cell>
          <cell r="AO409">
            <v>0</v>
          </cell>
          <cell r="AP409">
            <v>2</v>
          </cell>
          <cell r="AQ409" t="str">
            <v>US_CMSP_00878</v>
          </cell>
          <cell r="AR409">
            <v>0</v>
          </cell>
          <cell r="AS409">
            <v>160</v>
          </cell>
          <cell r="AU409">
            <v>160</v>
          </cell>
          <cell r="AV409">
            <v>0</v>
          </cell>
          <cell r="AW409">
            <v>320</v>
          </cell>
          <cell r="AX409">
            <v>316.8</v>
          </cell>
          <cell r="AY409">
            <v>0</v>
          </cell>
          <cell r="AZ409">
            <v>320</v>
          </cell>
          <cell r="BA409">
            <v>316.8</v>
          </cell>
          <cell r="BB409">
            <v>320</v>
          </cell>
          <cell r="BC409">
            <v>0</v>
          </cell>
          <cell r="BD409">
            <v>0</v>
          </cell>
          <cell r="BE409">
            <v>0</v>
          </cell>
          <cell r="BG409">
            <v>316.8</v>
          </cell>
          <cell r="BI409">
            <v>0</v>
          </cell>
          <cell r="BJ409">
            <v>9920</v>
          </cell>
          <cell r="BK409">
            <v>9920</v>
          </cell>
          <cell r="BL409">
            <v>9600</v>
          </cell>
          <cell r="BM409">
            <v>0</v>
          </cell>
          <cell r="BN409">
            <v>0</v>
          </cell>
          <cell r="BO409">
            <v>0</v>
          </cell>
          <cell r="BP409">
            <v>9600</v>
          </cell>
          <cell r="BQ409">
            <v>0</v>
          </cell>
          <cell r="BR409">
            <v>320</v>
          </cell>
          <cell r="BT409">
            <v>2</v>
          </cell>
          <cell r="BU409">
            <v>2</v>
          </cell>
          <cell r="BV409" t="str">
            <v>N</v>
          </cell>
          <cell r="BW409">
            <v>0</v>
          </cell>
          <cell r="BX409">
            <v>0</v>
          </cell>
          <cell r="BY409">
            <v>2026</v>
          </cell>
          <cell r="BZ409" t="str">
            <v>-</v>
          </cell>
          <cell r="CA409" t="str">
            <v>-</v>
          </cell>
        </row>
        <row r="410">
          <cell r="A410" t="str">
            <v>Noida</v>
          </cell>
          <cell r="B410" t="str">
            <v>Noida IT</v>
          </cell>
          <cell r="C410" t="str">
            <v>Mid Level</v>
          </cell>
          <cell r="D410" t="str">
            <v>Akash Saxena</v>
          </cell>
          <cell r="E410" t="str">
            <v>-</v>
          </cell>
          <cell r="F410" t="str">
            <v>Non-MSP</v>
          </cell>
          <cell r="H410" t="str">
            <v>Sneha Singh</v>
          </cell>
          <cell r="L410" t="str">
            <v>New</v>
          </cell>
          <cell r="M410">
            <v>46062</v>
          </cell>
          <cell r="N410">
            <v>140</v>
          </cell>
          <cell r="P410">
            <v>46427</v>
          </cell>
          <cell r="Q410" t="str">
            <v>PLC-4715</v>
          </cell>
          <cell r="R410" t="str">
            <v>Mukesh Shrivastava</v>
          </cell>
          <cell r="S410" t="str">
            <v>Individual</v>
          </cell>
          <cell r="T410" t="str">
            <v>C2C</v>
          </cell>
          <cell r="U410" t="str">
            <v>Citius Tech</v>
          </cell>
          <cell r="V410">
            <v>58</v>
          </cell>
          <cell r="W410">
            <v>0</v>
          </cell>
          <cell r="X410" t="str">
            <v>USD</v>
          </cell>
          <cell r="Y410">
            <v>70</v>
          </cell>
          <cell r="Z410">
            <v>0</v>
          </cell>
          <cell r="AA410">
            <v>0</v>
          </cell>
          <cell r="AB410">
            <v>3</v>
          </cell>
          <cell r="AC410">
            <v>46068</v>
          </cell>
          <cell r="AD410">
            <v>15</v>
          </cell>
          <cell r="AE410">
            <v>46387</v>
          </cell>
          <cell r="AF410">
            <v>58</v>
          </cell>
          <cell r="AG410">
            <v>0</v>
          </cell>
          <cell r="AH410">
            <v>61</v>
          </cell>
          <cell r="AI410">
            <v>70</v>
          </cell>
          <cell r="AJ410">
            <v>0</v>
          </cell>
          <cell r="AK410">
            <v>0</v>
          </cell>
          <cell r="AL410">
            <v>9</v>
          </cell>
          <cell r="AM410">
            <v>0</v>
          </cell>
          <cell r="AN410">
            <v>9</v>
          </cell>
          <cell r="AO410">
            <v>0</v>
          </cell>
          <cell r="AP410">
            <v>9</v>
          </cell>
          <cell r="AQ410" t="str">
            <v>US_27184</v>
          </cell>
          <cell r="AR410">
            <v>0</v>
          </cell>
          <cell r="AS410">
            <v>112</v>
          </cell>
          <cell r="AU410">
            <v>112</v>
          </cell>
          <cell r="AV410">
            <v>0</v>
          </cell>
          <cell r="AW410">
            <v>1008</v>
          </cell>
          <cell r="AX410">
            <v>1008</v>
          </cell>
          <cell r="AY410">
            <v>0</v>
          </cell>
          <cell r="AZ410">
            <v>1008</v>
          </cell>
          <cell r="BA410">
            <v>1008</v>
          </cell>
          <cell r="BB410">
            <v>1008</v>
          </cell>
          <cell r="BC410">
            <v>0</v>
          </cell>
          <cell r="BD410">
            <v>0</v>
          </cell>
          <cell r="BE410">
            <v>0</v>
          </cell>
          <cell r="BG410">
            <v>1008</v>
          </cell>
          <cell r="BI410">
            <v>1008</v>
          </cell>
          <cell r="BJ410">
            <v>7840</v>
          </cell>
          <cell r="BK410">
            <v>7840</v>
          </cell>
          <cell r="BL410">
            <v>6496</v>
          </cell>
          <cell r="BM410">
            <v>0</v>
          </cell>
          <cell r="BN410">
            <v>336</v>
          </cell>
          <cell r="BO410">
            <v>0</v>
          </cell>
          <cell r="BP410">
            <v>6832</v>
          </cell>
          <cell r="BQ410">
            <v>3</v>
          </cell>
          <cell r="BR410">
            <v>1008</v>
          </cell>
          <cell r="BS410" t="str">
            <v>Y</v>
          </cell>
          <cell r="BT410">
            <v>1</v>
          </cell>
          <cell r="BU410">
            <v>1</v>
          </cell>
          <cell r="BV410" t="str">
            <v>N</v>
          </cell>
          <cell r="BW410">
            <v>0</v>
          </cell>
          <cell r="BX410">
            <v>0</v>
          </cell>
          <cell r="BY410">
            <v>2026</v>
          </cell>
          <cell r="BZ410" t="str">
            <v>-</v>
          </cell>
          <cell r="CA410" t="str">
            <v>-</v>
          </cell>
        </row>
        <row r="411">
          <cell r="A411" t="str">
            <v>Noida</v>
          </cell>
          <cell r="B411" t="str">
            <v>Noida IT</v>
          </cell>
          <cell r="C411" t="str">
            <v>Mid Level</v>
          </cell>
          <cell r="D411" t="str">
            <v>Akash Saxena</v>
          </cell>
          <cell r="E411" t="str">
            <v>-</v>
          </cell>
          <cell r="F411" t="str">
            <v>Non-MSP</v>
          </cell>
          <cell r="H411" t="str">
            <v>Sneha Singh</v>
          </cell>
          <cell r="L411" t="str">
            <v>New</v>
          </cell>
          <cell r="M411">
            <v>46062</v>
          </cell>
          <cell r="N411">
            <v>140</v>
          </cell>
          <cell r="P411">
            <v>46427</v>
          </cell>
          <cell r="Q411" t="str">
            <v>PLC-4715</v>
          </cell>
          <cell r="R411" t="str">
            <v>Mukesh Shrivastava</v>
          </cell>
          <cell r="S411" t="str">
            <v>Individual</v>
          </cell>
          <cell r="T411" t="str">
            <v>C2C</v>
          </cell>
          <cell r="U411" t="str">
            <v>Citius Tech</v>
          </cell>
          <cell r="V411">
            <v>58</v>
          </cell>
          <cell r="W411">
            <v>0</v>
          </cell>
          <cell r="X411" t="str">
            <v>USD</v>
          </cell>
          <cell r="Y411">
            <v>70</v>
          </cell>
          <cell r="Z411">
            <v>0</v>
          </cell>
          <cell r="AA411">
            <v>0</v>
          </cell>
          <cell r="AB411">
            <v>3</v>
          </cell>
          <cell r="AC411">
            <v>46096</v>
          </cell>
          <cell r="AD411">
            <v>22</v>
          </cell>
          <cell r="AE411">
            <v>46387</v>
          </cell>
          <cell r="AF411">
            <v>58</v>
          </cell>
          <cell r="AG411">
            <v>0</v>
          </cell>
          <cell r="AH411">
            <v>61</v>
          </cell>
          <cell r="AI411">
            <v>70</v>
          </cell>
          <cell r="AJ411">
            <v>0</v>
          </cell>
          <cell r="AK411">
            <v>0</v>
          </cell>
          <cell r="AL411">
            <v>9</v>
          </cell>
          <cell r="AM411">
            <v>0</v>
          </cell>
          <cell r="AN411">
            <v>9</v>
          </cell>
          <cell r="AO411">
            <v>0</v>
          </cell>
          <cell r="AP411">
            <v>9</v>
          </cell>
          <cell r="AQ411" t="str">
            <v>US_27397</v>
          </cell>
          <cell r="AR411">
            <v>0</v>
          </cell>
          <cell r="AS411">
            <v>176</v>
          </cell>
          <cell r="AU411">
            <v>176</v>
          </cell>
          <cell r="AV411">
            <v>0</v>
          </cell>
          <cell r="AW411">
            <v>1584</v>
          </cell>
          <cell r="AX411">
            <v>1584</v>
          </cell>
          <cell r="AY411">
            <v>0</v>
          </cell>
          <cell r="AZ411">
            <v>1584</v>
          </cell>
          <cell r="BA411">
            <v>1584</v>
          </cell>
          <cell r="BB411">
            <v>1584</v>
          </cell>
          <cell r="BC411">
            <v>0</v>
          </cell>
          <cell r="BD411">
            <v>0</v>
          </cell>
          <cell r="BE411">
            <v>0</v>
          </cell>
          <cell r="BG411">
            <v>1584</v>
          </cell>
          <cell r="BI411">
            <v>1584</v>
          </cell>
          <cell r="BJ411">
            <v>12320</v>
          </cell>
          <cell r="BK411">
            <v>12320</v>
          </cell>
          <cell r="BL411">
            <v>10208</v>
          </cell>
          <cell r="BM411">
            <v>0</v>
          </cell>
          <cell r="BN411">
            <v>528</v>
          </cell>
          <cell r="BO411">
            <v>0</v>
          </cell>
          <cell r="BP411">
            <v>10736</v>
          </cell>
          <cell r="BQ411">
            <v>3</v>
          </cell>
          <cell r="BR411">
            <v>1584</v>
          </cell>
          <cell r="BT411">
            <v>1</v>
          </cell>
          <cell r="BU411">
            <v>1</v>
          </cell>
          <cell r="BV411" t="str">
            <v>N</v>
          </cell>
          <cell r="BW411">
            <v>0</v>
          </cell>
          <cell r="BX411">
            <v>0</v>
          </cell>
          <cell r="BY411">
            <v>2026</v>
          </cell>
          <cell r="BZ411" t="str">
            <v>-</v>
          </cell>
          <cell r="CA411" t="str">
            <v>-</v>
          </cell>
        </row>
        <row r="412">
          <cell r="A412" t="str">
            <v>Noida</v>
          </cell>
          <cell r="B412" t="str">
            <v>Noida IT</v>
          </cell>
          <cell r="C412" t="str">
            <v>Mid Level</v>
          </cell>
          <cell r="D412" t="str">
            <v>Akash Saxena</v>
          </cell>
          <cell r="E412" t="str">
            <v>-</v>
          </cell>
          <cell r="F412" t="str">
            <v>Non-MSP</v>
          </cell>
          <cell r="H412" t="str">
            <v>Sneha Singh</v>
          </cell>
          <cell r="J412" t="str">
            <v>ACH</v>
          </cell>
          <cell r="L412" t="str">
            <v>New</v>
          </cell>
          <cell r="M412">
            <v>46062</v>
          </cell>
          <cell r="N412">
            <v>140</v>
          </cell>
          <cell r="P412">
            <v>46427</v>
          </cell>
          <cell r="Q412" t="str">
            <v>PLC-4715</v>
          </cell>
          <cell r="R412" t="str">
            <v>Mukesh Shrivastava</v>
          </cell>
          <cell r="S412" t="str">
            <v>Individual</v>
          </cell>
          <cell r="T412" t="str">
            <v>C2C</v>
          </cell>
          <cell r="U412" t="str">
            <v>Citius Tech</v>
          </cell>
          <cell r="V412">
            <v>58</v>
          </cell>
          <cell r="W412">
            <v>0</v>
          </cell>
          <cell r="X412" t="str">
            <v>USD</v>
          </cell>
          <cell r="Y412">
            <v>70</v>
          </cell>
          <cell r="Z412">
            <v>0</v>
          </cell>
          <cell r="AA412">
            <v>0</v>
          </cell>
          <cell r="AB412">
            <v>3</v>
          </cell>
          <cell r="AC412">
            <v>46127</v>
          </cell>
          <cell r="AD412">
            <v>22</v>
          </cell>
          <cell r="AE412">
            <v>46387</v>
          </cell>
          <cell r="AF412">
            <v>58</v>
          </cell>
          <cell r="AG412">
            <v>0</v>
          </cell>
          <cell r="AH412">
            <v>61</v>
          </cell>
          <cell r="AI412">
            <v>70</v>
          </cell>
          <cell r="AJ412">
            <v>0</v>
          </cell>
          <cell r="AK412">
            <v>0</v>
          </cell>
          <cell r="AL412">
            <v>9</v>
          </cell>
          <cell r="AM412">
            <v>0</v>
          </cell>
          <cell r="AN412">
            <v>9</v>
          </cell>
          <cell r="AO412">
            <v>0</v>
          </cell>
          <cell r="AP412">
            <v>9</v>
          </cell>
          <cell r="AQ412" t="str">
            <v>US_27630</v>
          </cell>
          <cell r="AR412">
            <v>0</v>
          </cell>
          <cell r="AS412">
            <v>152</v>
          </cell>
          <cell r="AU412">
            <v>152</v>
          </cell>
          <cell r="AV412">
            <v>0</v>
          </cell>
          <cell r="AW412">
            <v>1368</v>
          </cell>
          <cell r="AX412">
            <v>1354.32</v>
          </cell>
          <cell r="AY412">
            <v>0</v>
          </cell>
          <cell r="AZ412">
            <v>1368</v>
          </cell>
          <cell r="BA412">
            <v>1354.32</v>
          </cell>
          <cell r="BB412">
            <v>1368</v>
          </cell>
          <cell r="BC412">
            <v>0</v>
          </cell>
          <cell r="BD412">
            <v>0</v>
          </cell>
          <cell r="BE412">
            <v>0</v>
          </cell>
          <cell r="BG412">
            <v>1354.32</v>
          </cell>
          <cell r="BI412">
            <v>1354.32</v>
          </cell>
          <cell r="BJ412">
            <v>10640</v>
          </cell>
          <cell r="BK412">
            <v>10640</v>
          </cell>
          <cell r="BL412">
            <v>8816</v>
          </cell>
          <cell r="BM412">
            <v>0</v>
          </cell>
          <cell r="BN412">
            <v>456</v>
          </cell>
          <cell r="BO412">
            <v>0</v>
          </cell>
          <cell r="BP412">
            <v>9272</v>
          </cell>
          <cell r="BQ412">
            <v>3</v>
          </cell>
          <cell r="BR412">
            <v>1368</v>
          </cell>
          <cell r="BS412" t="str">
            <v>Y</v>
          </cell>
          <cell r="BT412">
            <v>2</v>
          </cell>
          <cell r="BU412">
            <v>1</v>
          </cell>
          <cell r="BV412" t="str">
            <v>N</v>
          </cell>
          <cell r="BW412">
            <v>0</v>
          </cell>
          <cell r="BX412">
            <v>0</v>
          </cell>
          <cell r="BY412">
            <v>2026</v>
          </cell>
          <cell r="BZ412" t="str">
            <v>-</v>
          </cell>
          <cell r="CA412" t="str">
            <v>-</v>
          </cell>
        </row>
        <row r="413">
          <cell r="A413" t="str">
            <v>Noida</v>
          </cell>
          <cell r="B413" t="str">
            <v>Noida IT</v>
          </cell>
          <cell r="C413" t="str">
            <v>Mid Level</v>
          </cell>
          <cell r="D413" t="str">
            <v>Akash Saxena</v>
          </cell>
          <cell r="E413" t="str">
            <v>-</v>
          </cell>
          <cell r="F413" t="str">
            <v>Non-MSP</v>
          </cell>
          <cell r="H413" t="str">
            <v>Sneha Singh</v>
          </cell>
          <cell r="J413" t="str">
            <v>ACH</v>
          </cell>
          <cell r="L413" t="str">
            <v>New</v>
          </cell>
          <cell r="M413">
            <v>46062</v>
          </cell>
          <cell r="N413">
            <v>140</v>
          </cell>
          <cell r="P413">
            <v>46427</v>
          </cell>
          <cell r="Q413" t="str">
            <v>PLC-4715</v>
          </cell>
          <cell r="R413" t="str">
            <v>Mukesh Shrivastava</v>
          </cell>
          <cell r="S413" t="str">
            <v>Individual</v>
          </cell>
          <cell r="T413" t="str">
            <v>C2C</v>
          </cell>
          <cell r="U413" t="str">
            <v>Citius Tech</v>
          </cell>
          <cell r="V413">
            <v>58</v>
          </cell>
          <cell r="W413">
            <v>0</v>
          </cell>
          <cell r="X413" t="str">
            <v>USD</v>
          </cell>
          <cell r="Y413">
            <v>70</v>
          </cell>
          <cell r="Z413">
            <v>0</v>
          </cell>
          <cell r="AA413">
            <v>0</v>
          </cell>
          <cell r="AB413">
            <v>3</v>
          </cell>
          <cell r="AC413">
            <v>46157</v>
          </cell>
          <cell r="AD413">
            <v>22</v>
          </cell>
          <cell r="AE413">
            <v>46387</v>
          </cell>
          <cell r="AF413">
            <v>58</v>
          </cell>
          <cell r="AG413">
            <v>0</v>
          </cell>
          <cell r="AH413">
            <v>61</v>
          </cell>
          <cell r="AI413">
            <v>70</v>
          </cell>
          <cell r="AJ413">
            <v>0</v>
          </cell>
          <cell r="AK413">
            <v>0</v>
          </cell>
          <cell r="AL413">
            <v>9</v>
          </cell>
          <cell r="AM413">
            <v>0</v>
          </cell>
          <cell r="AN413">
            <v>9</v>
          </cell>
          <cell r="AO413">
            <v>0</v>
          </cell>
          <cell r="AP413">
            <v>9</v>
          </cell>
          <cell r="AQ413" t="str">
            <v>US_27768</v>
          </cell>
          <cell r="AR413">
            <v>0</v>
          </cell>
          <cell r="AS413">
            <v>160</v>
          </cell>
          <cell r="AU413">
            <v>160</v>
          </cell>
          <cell r="AV413">
            <v>0</v>
          </cell>
          <cell r="AW413">
            <v>1440</v>
          </cell>
          <cell r="AX413">
            <v>1425.6</v>
          </cell>
          <cell r="AY413">
            <v>0</v>
          </cell>
          <cell r="AZ413">
            <v>1440</v>
          </cell>
          <cell r="BA413">
            <v>1425.6</v>
          </cell>
          <cell r="BB413">
            <v>1440</v>
          </cell>
          <cell r="BC413">
            <v>0</v>
          </cell>
          <cell r="BD413">
            <v>0</v>
          </cell>
          <cell r="BE413">
            <v>0</v>
          </cell>
          <cell r="BG413">
            <v>1425.6</v>
          </cell>
          <cell r="BI413">
            <v>1425.6</v>
          </cell>
          <cell r="BJ413">
            <v>11200</v>
          </cell>
          <cell r="BK413">
            <v>11200</v>
          </cell>
          <cell r="BL413">
            <v>9280</v>
          </cell>
          <cell r="BM413">
            <v>0</v>
          </cell>
          <cell r="BN413">
            <v>480</v>
          </cell>
          <cell r="BO413">
            <v>0</v>
          </cell>
          <cell r="BP413">
            <v>9760</v>
          </cell>
          <cell r="BQ413">
            <v>3</v>
          </cell>
          <cell r="BR413">
            <v>1440</v>
          </cell>
          <cell r="BT413">
            <v>2</v>
          </cell>
          <cell r="BU413">
            <v>1</v>
          </cell>
          <cell r="BV413" t="str">
            <v>N</v>
          </cell>
          <cell r="BW413">
            <v>0</v>
          </cell>
          <cell r="BX413">
            <v>0</v>
          </cell>
          <cell r="BY413">
            <v>2026</v>
          </cell>
          <cell r="BZ413" t="str">
            <v>-</v>
          </cell>
          <cell r="CA413" t="str">
            <v>-</v>
          </cell>
        </row>
        <row r="414">
          <cell r="A414" t="str">
            <v>Lucknow</v>
          </cell>
          <cell r="B414" t="str">
            <v>Vantedge</v>
          </cell>
          <cell r="C414" t="str">
            <v>Senior</v>
          </cell>
          <cell r="D414" t="str">
            <v>Umar Mujahid Husain</v>
          </cell>
          <cell r="E414" t="str">
            <v>-</v>
          </cell>
          <cell r="F414" t="str">
            <v>Non-MSP</v>
          </cell>
          <cell r="H414" t="str">
            <v>Syed Ahrar Abbas Zaidi</v>
          </cell>
          <cell r="K414" t="str">
            <v>Devashish Sinha</v>
          </cell>
          <cell r="L414" t="str">
            <v>New</v>
          </cell>
          <cell r="M414">
            <v>46118</v>
          </cell>
          <cell r="N414">
            <v>84</v>
          </cell>
          <cell r="P414">
            <v>46483</v>
          </cell>
          <cell r="Q414" t="str">
            <v>PLC-4819</v>
          </cell>
          <cell r="R414" t="str">
            <v>Nagesh Vempali</v>
          </cell>
          <cell r="S414" t="str">
            <v>Individual</v>
          </cell>
          <cell r="T414" t="str">
            <v>FTE</v>
          </cell>
          <cell r="U414" t="str">
            <v>GAF</v>
          </cell>
          <cell r="V414">
            <v>0</v>
          </cell>
          <cell r="W414">
            <v>0</v>
          </cell>
          <cell r="X414" t="str">
            <v>USD</v>
          </cell>
          <cell r="Y414">
            <v>33000</v>
          </cell>
          <cell r="Z414">
            <v>0</v>
          </cell>
          <cell r="AA414">
            <v>0</v>
          </cell>
          <cell r="AB414">
            <v>0</v>
          </cell>
          <cell r="AC414">
            <v>46127</v>
          </cell>
          <cell r="AD414">
            <v>1</v>
          </cell>
          <cell r="AE414">
            <v>46387</v>
          </cell>
          <cell r="AF414">
            <v>0</v>
          </cell>
          <cell r="AG414">
            <v>0</v>
          </cell>
          <cell r="AH414">
            <v>0</v>
          </cell>
          <cell r="AI414">
            <v>32010</v>
          </cell>
          <cell r="AJ414">
            <v>0</v>
          </cell>
          <cell r="AK414">
            <v>0</v>
          </cell>
          <cell r="AL414">
            <v>32010</v>
          </cell>
          <cell r="AM414">
            <v>0</v>
          </cell>
          <cell r="AN414">
            <v>32010</v>
          </cell>
          <cell r="AO414">
            <v>0</v>
          </cell>
          <cell r="AP414">
            <v>32010</v>
          </cell>
          <cell r="AQ414" t="str">
            <v>US_27688</v>
          </cell>
          <cell r="AR414">
            <v>0</v>
          </cell>
          <cell r="AS414">
            <v>1</v>
          </cell>
          <cell r="AU414">
            <v>1</v>
          </cell>
          <cell r="AV414">
            <v>0</v>
          </cell>
          <cell r="AW414">
            <v>32010</v>
          </cell>
          <cell r="AX414">
            <v>32010</v>
          </cell>
          <cell r="AY414">
            <v>0</v>
          </cell>
          <cell r="AZ414">
            <v>32010</v>
          </cell>
          <cell r="BA414">
            <v>32010</v>
          </cell>
          <cell r="BB414">
            <v>32010</v>
          </cell>
          <cell r="BC414">
            <v>116.25000000000001</v>
          </cell>
          <cell r="BD414">
            <v>52816.5</v>
          </cell>
          <cell r="BE414">
            <v>52816.5</v>
          </cell>
          <cell r="BF414">
            <v>43</v>
          </cell>
          <cell r="BG414">
            <v>32010</v>
          </cell>
          <cell r="BH414">
            <v>17605.5</v>
          </cell>
          <cell r="BI414">
            <v>0</v>
          </cell>
          <cell r="BJ414">
            <v>33000</v>
          </cell>
          <cell r="BK414">
            <v>32010</v>
          </cell>
          <cell r="BL414">
            <v>0</v>
          </cell>
          <cell r="BM414">
            <v>0</v>
          </cell>
          <cell r="BN414">
            <v>0</v>
          </cell>
          <cell r="BO414">
            <v>0</v>
          </cell>
          <cell r="BP414">
            <v>0</v>
          </cell>
          <cell r="BQ414">
            <v>0</v>
          </cell>
          <cell r="BR414">
            <v>32010</v>
          </cell>
          <cell r="BT414">
            <v>2</v>
          </cell>
          <cell r="BU414">
            <v>2</v>
          </cell>
          <cell r="BV414" t="str">
            <v>N</v>
          </cell>
          <cell r="BW414">
            <v>105633</v>
          </cell>
          <cell r="BX414">
            <v>105633</v>
          </cell>
          <cell r="BY414">
            <v>2026</v>
          </cell>
          <cell r="BZ414" t="str">
            <v>-</v>
          </cell>
          <cell r="CA414" t="str">
            <v>-</v>
          </cell>
        </row>
        <row r="415">
          <cell r="A415" t="str">
            <v>Lucknow</v>
          </cell>
          <cell r="B415" t="str">
            <v>Trust</v>
          </cell>
          <cell r="C415" t="str">
            <v>Mid Level</v>
          </cell>
          <cell r="D415" t="str">
            <v>Harsh Agarwal</v>
          </cell>
          <cell r="F415" t="str">
            <v>Non-MSP</v>
          </cell>
          <cell r="H415" t="str">
            <v>Pushpendra Kumar</v>
          </cell>
          <cell r="L415" t="str">
            <v>New</v>
          </cell>
          <cell r="M415">
            <v>46168</v>
          </cell>
          <cell r="N415">
            <v>34</v>
          </cell>
          <cell r="P415">
            <v>46533</v>
          </cell>
          <cell r="Q415" t="str">
            <v>PLC-4876</v>
          </cell>
          <cell r="R415" t="str">
            <v>Nakkeeran Govindasamy</v>
          </cell>
          <cell r="S415" t="str">
            <v>Individual</v>
          </cell>
          <cell r="T415" t="str">
            <v>FTE</v>
          </cell>
          <cell r="U415" t="str">
            <v>GAF</v>
          </cell>
          <cell r="V415">
            <v>0</v>
          </cell>
          <cell r="W415">
            <v>0</v>
          </cell>
          <cell r="X415" t="str">
            <v>USD</v>
          </cell>
          <cell r="Y415">
            <v>27000</v>
          </cell>
          <cell r="Z415">
            <v>0</v>
          </cell>
          <cell r="AA415">
            <v>0</v>
          </cell>
          <cell r="AB415">
            <v>0</v>
          </cell>
          <cell r="AC415">
            <v>46157</v>
          </cell>
          <cell r="AD415">
            <v>1</v>
          </cell>
          <cell r="AE415">
            <v>46387</v>
          </cell>
          <cell r="AF415">
            <v>0</v>
          </cell>
          <cell r="AG415">
            <v>0</v>
          </cell>
          <cell r="AH415">
            <v>0</v>
          </cell>
          <cell r="AI415">
            <v>26190</v>
          </cell>
          <cell r="AJ415">
            <v>0</v>
          </cell>
          <cell r="AK415">
            <v>0</v>
          </cell>
          <cell r="AL415">
            <v>26190</v>
          </cell>
          <cell r="AM415">
            <v>0</v>
          </cell>
          <cell r="AN415">
            <v>26190</v>
          </cell>
          <cell r="AO415">
            <v>0</v>
          </cell>
          <cell r="AP415">
            <v>15000</v>
          </cell>
          <cell r="AQ415" t="str">
            <v>US_27966</v>
          </cell>
          <cell r="AR415">
            <v>0</v>
          </cell>
          <cell r="AS415">
            <v>1</v>
          </cell>
          <cell r="AU415">
            <v>1</v>
          </cell>
          <cell r="AV415">
            <v>0</v>
          </cell>
          <cell r="AW415">
            <v>26190</v>
          </cell>
          <cell r="AX415">
            <v>26190</v>
          </cell>
          <cell r="AY415">
            <v>0</v>
          </cell>
          <cell r="AZ415">
            <v>15000</v>
          </cell>
          <cell r="BA415">
            <v>15000</v>
          </cell>
          <cell r="BB415">
            <v>26190</v>
          </cell>
          <cell r="BC415">
            <v>0</v>
          </cell>
          <cell r="BD415">
            <v>0</v>
          </cell>
          <cell r="BE415">
            <v>0</v>
          </cell>
          <cell r="BF415">
            <v>39</v>
          </cell>
          <cell r="BG415">
            <v>15000</v>
          </cell>
          <cell r="BH415">
            <v>8250</v>
          </cell>
          <cell r="BI415">
            <v>0</v>
          </cell>
          <cell r="BJ415">
            <v>27000</v>
          </cell>
          <cell r="BK415">
            <v>26190</v>
          </cell>
          <cell r="BL415">
            <v>0</v>
          </cell>
          <cell r="BM415">
            <v>0</v>
          </cell>
          <cell r="BN415">
            <v>0</v>
          </cell>
          <cell r="BO415">
            <v>0</v>
          </cell>
          <cell r="BP415">
            <v>0</v>
          </cell>
          <cell r="BQ415">
            <v>0</v>
          </cell>
          <cell r="BR415">
            <v>26190</v>
          </cell>
          <cell r="BT415">
            <v>2</v>
          </cell>
          <cell r="BU415">
            <v>2</v>
          </cell>
          <cell r="BV415" t="str">
            <v>Y</v>
          </cell>
          <cell r="BW415">
            <v>0</v>
          </cell>
          <cell r="BX415">
            <v>0</v>
          </cell>
          <cell r="BY415">
            <v>2026</v>
          </cell>
          <cell r="BZ415" t="str">
            <v>-</v>
          </cell>
          <cell r="CA415" t="str">
            <v>-</v>
          </cell>
        </row>
        <row r="416">
          <cell r="A416" t="str">
            <v>Lucknow</v>
          </cell>
          <cell r="B416" t="str">
            <v>Mavericks</v>
          </cell>
          <cell r="C416" t="str">
            <v>Mid Level</v>
          </cell>
          <cell r="D416" t="str">
            <v>Vikas Malik</v>
          </cell>
          <cell r="E416" t="str">
            <v>-</v>
          </cell>
          <cell r="F416" t="str">
            <v>Non-MSP</v>
          </cell>
          <cell r="H416" t="str">
            <v>Rahmat Ali</v>
          </cell>
          <cell r="L416" t="str">
            <v>New</v>
          </cell>
          <cell r="M416">
            <v>46065</v>
          </cell>
          <cell r="N416">
            <v>137</v>
          </cell>
          <cell r="P416">
            <v>46430</v>
          </cell>
          <cell r="Q416" t="str">
            <v>PLC-4682</v>
          </cell>
          <cell r="R416" t="str">
            <v>Nandagopal Prabhakaran</v>
          </cell>
          <cell r="S416" t="str">
            <v>Individual</v>
          </cell>
          <cell r="T416" t="str">
            <v>FTE</v>
          </cell>
          <cell r="U416" t="str">
            <v>Wipro</v>
          </cell>
          <cell r="V416">
            <v>0</v>
          </cell>
          <cell r="W416">
            <v>0</v>
          </cell>
          <cell r="X416" t="str">
            <v>USD</v>
          </cell>
          <cell r="Y416">
            <v>6000</v>
          </cell>
          <cell r="Z416">
            <v>0</v>
          </cell>
          <cell r="AA416">
            <v>625</v>
          </cell>
          <cell r="AB416">
            <v>0</v>
          </cell>
          <cell r="AC416">
            <v>46068</v>
          </cell>
          <cell r="AD416">
            <v>1</v>
          </cell>
          <cell r="AE416">
            <v>46387</v>
          </cell>
          <cell r="AF416">
            <v>0</v>
          </cell>
          <cell r="AG416">
            <v>0</v>
          </cell>
          <cell r="AH416">
            <v>0</v>
          </cell>
          <cell r="AI416">
            <v>6000</v>
          </cell>
          <cell r="AJ416">
            <v>0</v>
          </cell>
          <cell r="AK416">
            <v>0</v>
          </cell>
          <cell r="AL416">
            <v>6000</v>
          </cell>
          <cell r="AM416">
            <v>0</v>
          </cell>
          <cell r="AN416">
            <v>6000</v>
          </cell>
          <cell r="AO416">
            <v>0</v>
          </cell>
          <cell r="AP416">
            <v>6000</v>
          </cell>
          <cell r="AQ416" t="str">
            <v>US_27197</v>
          </cell>
          <cell r="AR416">
            <v>0</v>
          </cell>
          <cell r="AS416">
            <v>1</v>
          </cell>
          <cell r="AU416">
            <v>1</v>
          </cell>
          <cell r="AV416">
            <v>0</v>
          </cell>
          <cell r="AW416">
            <v>5375</v>
          </cell>
          <cell r="AX416">
            <v>5375</v>
          </cell>
          <cell r="AY416">
            <v>0</v>
          </cell>
          <cell r="AZ416">
            <v>5375</v>
          </cell>
          <cell r="BA416">
            <v>5375</v>
          </cell>
          <cell r="BB416">
            <v>5375</v>
          </cell>
          <cell r="BC416">
            <v>0</v>
          </cell>
          <cell r="BD416">
            <v>0</v>
          </cell>
          <cell r="BE416">
            <v>0</v>
          </cell>
          <cell r="BG416">
            <v>4750</v>
          </cell>
          <cell r="BI416">
            <v>5375</v>
          </cell>
          <cell r="BJ416">
            <v>6000</v>
          </cell>
          <cell r="BK416">
            <v>6000</v>
          </cell>
          <cell r="BL416">
            <v>0</v>
          </cell>
          <cell r="BM416">
            <v>0</v>
          </cell>
          <cell r="BN416">
            <v>625</v>
          </cell>
          <cell r="BO416">
            <v>0</v>
          </cell>
          <cell r="BP416">
            <v>625</v>
          </cell>
          <cell r="BQ416">
            <v>625</v>
          </cell>
          <cell r="BR416">
            <v>5375</v>
          </cell>
          <cell r="BS416" t="str">
            <v>Y</v>
          </cell>
          <cell r="BT416">
            <v>1</v>
          </cell>
          <cell r="BU416">
            <v>1</v>
          </cell>
          <cell r="BV416" t="str">
            <v>N</v>
          </cell>
          <cell r="BW416">
            <v>0</v>
          </cell>
          <cell r="BX416">
            <v>0</v>
          </cell>
          <cell r="BY416">
            <v>2026</v>
          </cell>
          <cell r="BZ416" t="str">
            <v>-</v>
          </cell>
          <cell r="CA416" t="str">
            <v>-</v>
          </cell>
        </row>
        <row r="417">
          <cell r="A417" t="str">
            <v>Lucknow</v>
          </cell>
          <cell r="B417" t="str">
            <v>Mavericks</v>
          </cell>
          <cell r="C417" t="str">
            <v>Mid Level</v>
          </cell>
          <cell r="D417" t="str">
            <v>Kashif Nabi</v>
          </cell>
          <cell r="F417" t="str">
            <v>Non-MSP</v>
          </cell>
          <cell r="H417" t="str">
            <v>Ubaid Rahman</v>
          </cell>
          <cell r="J417" t="str">
            <v>ACH</v>
          </cell>
          <cell r="L417" t="str">
            <v>New</v>
          </cell>
          <cell r="M417">
            <v>46162</v>
          </cell>
          <cell r="N417">
            <v>40</v>
          </cell>
          <cell r="P417">
            <v>46527</v>
          </cell>
          <cell r="R417" t="str">
            <v xml:space="preserve">Nandan Rao Gorrey Sammaiah </v>
          </cell>
          <cell r="S417" t="str">
            <v>Individual</v>
          </cell>
          <cell r="T417" t="str">
            <v>C2C</v>
          </cell>
          <cell r="U417" t="str">
            <v>Genpact</v>
          </cell>
          <cell r="V417">
            <v>87.5</v>
          </cell>
          <cell r="W417">
            <v>0</v>
          </cell>
          <cell r="X417" t="str">
            <v>USD</v>
          </cell>
          <cell r="Y417">
            <v>93</v>
          </cell>
          <cell r="Z417">
            <v>0</v>
          </cell>
          <cell r="AA417">
            <v>0</v>
          </cell>
          <cell r="AB417">
            <v>0</v>
          </cell>
          <cell r="AC417">
            <v>46157</v>
          </cell>
          <cell r="AD417">
            <v>8</v>
          </cell>
          <cell r="AE417">
            <v>46387</v>
          </cell>
          <cell r="AF417">
            <v>87.5</v>
          </cell>
          <cell r="AG417">
            <v>0</v>
          </cell>
          <cell r="AH417">
            <v>87.5</v>
          </cell>
          <cell r="AI417">
            <v>93</v>
          </cell>
          <cell r="AJ417">
            <v>0</v>
          </cell>
          <cell r="AK417">
            <v>0</v>
          </cell>
          <cell r="AL417">
            <v>5.5</v>
          </cell>
          <cell r="AM417">
            <v>0</v>
          </cell>
          <cell r="AN417">
            <v>5.5</v>
          </cell>
          <cell r="AO417">
            <v>0</v>
          </cell>
          <cell r="AP417">
            <v>5.5</v>
          </cell>
          <cell r="AU417">
            <v>64</v>
          </cell>
          <cell r="BB417">
            <v>352</v>
          </cell>
          <cell r="BC417">
            <v>37.5</v>
          </cell>
          <cell r="BI417">
            <v>0</v>
          </cell>
          <cell r="BK417">
            <v>5952</v>
          </cell>
          <cell r="BL417">
            <v>5600</v>
          </cell>
          <cell r="BM417">
            <v>0</v>
          </cell>
          <cell r="BN417">
            <v>0</v>
          </cell>
          <cell r="BO417">
            <v>0</v>
          </cell>
          <cell r="BP417">
            <v>5600</v>
          </cell>
          <cell r="BQ417">
            <v>0</v>
          </cell>
          <cell r="BR417">
            <v>352</v>
          </cell>
          <cell r="BT417">
            <v>2</v>
          </cell>
          <cell r="BU417">
            <v>2</v>
          </cell>
          <cell r="BV417" t="str">
            <v>Y</v>
          </cell>
          <cell r="BY417">
            <v>2026</v>
          </cell>
          <cell r="BZ417" t="str">
            <v>-</v>
          </cell>
          <cell r="CA417" t="str">
            <v>-</v>
          </cell>
        </row>
        <row r="418">
          <cell r="A418" t="str">
            <v>Lucknow</v>
          </cell>
          <cell r="B418" t="str">
            <v>Rpo</v>
          </cell>
          <cell r="C418" t="str">
            <v>Mid Level</v>
          </cell>
          <cell r="D418" t="str">
            <v>Ankit Pandey</v>
          </cell>
          <cell r="E418" t="str">
            <v>-</v>
          </cell>
          <cell r="F418" t="str">
            <v>Non-MSP</v>
          </cell>
          <cell r="H418" t="str">
            <v>Sagar Chandani</v>
          </cell>
          <cell r="L418" t="str">
            <v>New</v>
          </cell>
          <cell r="M418">
            <v>46076</v>
          </cell>
          <cell r="N418">
            <v>126</v>
          </cell>
          <cell r="P418">
            <v>46441</v>
          </cell>
          <cell r="Q418" t="str">
            <v>PLC-4743</v>
          </cell>
          <cell r="R418" t="str">
            <v>Napoleon Vera</v>
          </cell>
          <cell r="S418" t="str">
            <v>Individual</v>
          </cell>
          <cell r="T418" t="str">
            <v>FTE</v>
          </cell>
          <cell r="U418" t="str">
            <v>Myridius</v>
          </cell>
          <cell r="V418">
            <v>0</v>
          </cell>
          <cell r="W418">
            <v>0</v>
          </cell>
          <cell r="X418" t="str">
            <v>USD</v>
          </cell>
          <cell r="Y418">
            <v>6445.24</v>
          </cell>
          <cell r="Z418">
            <v>0</v>
          </cell>
          <cell r="AA418">
            <v>0</v>
          </cell>
          <cell r="AB418">
            <v>0</v>
          </cell>
          <cell r="AC418">
            <v>46068</v>
          </cell>
          <cell r="AD418">
            <v>1</v>
          </cell>
          <cell r="AE418">
            <v>46387</v>
          </cell>
          <cell r="AF418">
            <v>0</v>
          </cell>
          <cell r="AG418">
            <v>0</v>
          </cell>
          <cell r="AH418">
            <v>0</v>
          </cell>
          <cell r="AI418">
            <v>6445.24</v>
          </cell>
          <cell r="AJ418">
            <v>0</v>
          </cell>
          <cell r="AK418">
            <v>0</v>
          </cell>
          <cell r="AL418">
            <v>6445.24</v>
          </cell>
          <cell r="AM418">
            <v>0</v>
          </cell>
          <cell r="AN418">
            <v>6445.24</v>
          </cell>
          <cell r="AO418">
            <v>0</v>
          </cell>
          <cell r="AP418">
            <v>6445.24</v>
          </cell>
          <cell r="AQ418" t="str">
            <v>US_26999</v>
          </cell>
          <cell r="AR418">
            <v>0</v>
          </cell>
          <cell r="AS418">
            <v>1</v>
          </cell>
          <cell r="AU418">
            <v>1</v>
          </cell>
          <cell r="AV418">
            <v>0</v>
          </cell>
          <cell r="AW418">
            <v>6445.24</v>
          </cell>
          <cell r="AX418">
            <v>6445.24</v>
          </cell>
          <cell r="AY418">
            <v>0</v>
          </cell>
          <cell r="AZ418">
            <v>6445.24</v>
          </cell>
          <cell r="BA418">
            <v>6445.24</v>
          </cell>
          <cell r="BB418">
            <v>6445.24</v>
          </cell>
          <cell r="BC418">
            <v>44.333333333333336</v>
          </cell>
          <cell r="BD418">
            <v>8507.7168000000001</v>
          </cell>
          <cell r="BE418">
            <v>8507.7168000000001</v>
          </cell>
          <cell r="BG418">
            <v>6445.24</v>
          </cell>
          <cell r="BI418">
            <v>6445.24</v>
          </cell>
          <cell r="BJ418">
            <v>6445.24</v>
          </cell>
          <cell r="BK418">
            <v>6445.24</v>
          </cell>
          <cell r="BL418">
            <v>0</v>
          </cell>
          <cell r="BM418">
            <v>0</v>
          </cell>
          <cell r="BN418">
            <v>0</v>
          </cell>
          <cell r="BO418">
            <v>0</v>
          </cell>
          <cell r="BP418">
            <v>0</v>
          </cell>
          <cell r="BQ418">
            <v>0</v>
          </cell>
          <cell r="BR418">
            <v>6445.24</v>
          </cell>
          <cell r="BS418" t="str">
            <v>Y</v>
          </cell>
          <cell r="BT418">
            <v>1</v>
          </cell>
          <cell r="BU418">
            <v>1</v>
          </cell>
          <cell r="BV418" t="str">
            <v>Y</v>
          </cell>
          <cell r="BW418">
            <v>17015.4336</v>
          </cell>
          <cell r="BX418">
            <v>17015.4336</v>
          </cell>
          <cell r="BY418">
            <v>2026</v>
          </cell>
          <cell r="BZ418" t="str">
            <v>-</v>
          </cell>
          <cell r="CA418" t="str">
            <v>-</v>
          </cell>
        </row>
        <row r="419">
          <cell r="A419" t="str">
            <v>Lucknow</v>
          </cell>
          <cell r="B419" t="str">
            <v>Mavericks</v>
          </cell>
          <cell r="C419" t="str">
            <v>Mid Level</v>
          </cell>
          <cell r="D419" t="str">
            <v>Mohammad Fakhrul</v>
          </cell>
          <cell r="F419" t="str">
            <v>MSP</v>
          </cell>
          <cell r="H419" t="str">
            <v>Pass Through</v>
          </cell>
          <cell r="J419" t="str">
            <v>ACH</v>
          </cell>
          <cell r="L419" t="str">
            <v>New</v>
          </cell>
          <cell r="M419">
            <v>46153</v>
          </cell>
          <cell r="N419">
            <v>49</v>
          </cell>
          <cell r="P419">
            <v>46518</v>
          </cell>
          <cell r="R419" t="str">
            <v>Narendra Bhide</v>
          </cell>
          <cell r="S419" t="str">
            <v>Individual</v>
          </cell>
          <cell r="T419" t="str">
            <v>C2C</v>
          </cell>
          <cell r="U419" t="str">
            <v>Cigniti</v>
          </cell>
          <cell r="V419">
            <v>55</v>
          </cell>
          <cell r="W419">
            <v>0</v>
          </cell>
          <cell r="X419" t="str">
            <v>USD</v>
          </cell>
          <cell r="Y419">
            <v>57</v>
          </cell>
          <cell r="Z419">
            <v>0</v>
          </cell>
          <cell r="AA419">
            <v>0</v>
          </cell>
          <cell r="AB419">
            <v>0</v>
          </cell>
          <cell r="AC419">
            <v>46157</v>
          </cell>
          <cell r="AD419">
            <v>15</v>
          </cell>
          <cell r="AE419">
            <v>46387</v>
          </cell>
          <cell r="AF419">
            <v>55</v>
          </cell>
          <cell r="AG419">
            <v>0</v>
          </cell>
          <cell r="AH419">
            <v>55</v>
          </cell>
          <cell r="AI419">
            <v>57</v>
          </cell>
          <cell r="AJ419">
            <v>0</v>
          </cell>
          <cell r="AK419">
            <v>0</v>
          </cell>
          <cell r="AL419">
            <v>2</v>
          </cell>
          <cell r="AM419">
            <v>0</v>
          </cell>
          <cell r="AN419">
            <v>2</v>
          </cell>
          <cell r="AO419">
            <v>0</v>
          </cell>
          <cell r="AP419">
            <v>2</v>
          </cell>
          <cell r="AQ419" t="str">
            <v>US_CMSP_00890</v>
          </cell>
          <cell r="AR419">
            <v>0</v>
          </cell>
          <cell r="AS419">
            <v>104</v>
          </cell>
          <cell r="AU419">
            <v>104</v>
          </cell>
          <cell r="AV419">
            <v>0</v>
          </cell>
          <cell r="AW419">
            <v>208</v>
          </cell>
          <cell r="AX419">
            <v>205.92</v>
          </cell>
          <cell r="AY419">
            <v>0</v>
          </cell>
          <cell r="AZ419">
            <v>208</v>
          </cell>
          <cell r="BA419">
            <v>205.92</v>
          </cell>
          <cell r="BB419">
            <v>208</v>
          </cell>
          <cell r="BC419">
            <v>0</v>
          </cell>
          <cell r="BD419">
            <v>0</v>
          </cell>
          <cell r="BE419">
            <v>0</v>
          </cell>
          <cell r="BG419">
            <v>205.92</v>
          </cell>
          <cell r="BI419">
            <v>0</v>
          </cell>
          <cell r="BJ419">
            <v>5928</v>
          </cell>
          <cell r="BK419">
            <v>5928</v>
          </cell>
          <cell r="BL419">
            <v>5720</v>
          </cell>
          <cell r="BM419">
            <v>0</v>
          </cell>
          <cell r="BN419">
            <v>0</v>
          </cell>
          <cell r="BO419">
            <v>0</v>
          </cell>
          <cell r="BP419">
            <v>5720</v>
          </cell>
          <cell r="BQ419">
            <v>0</v>
          </cell>
          <cell r="BR419">
            <v>208</v>
          </cell>
          <cell r="BT419">
            <v>2</v>
          </cell>
          <cell r="BU419">
            <v>2</v>
          </cell>
          <cell r="BV419" t="str">
            <v>Y</v>
          </cell>
          <cell r="BW419">
            <v>0</v>
          </cell>
          <cell r="BX419">
            <v>0</v>
          </cell>
          <cell r="BY419">
            <v>2026</v>
          </cell>
          <cell r="BZ419" t="str">
            <v>-</v>
          </cell>
          <cell r="CA419" t="str">
            <v>-</v>
          </cell>
        </row>
        <row r="420">
          <cell r="A420" t="str">
            <v>Noida</v>
          </cell>
          <cell r="B420" t="str">
            <v>Noida IT</v>
          </cell>
          <cell r="C420" t="str">
            <v>Mid Level</v>
          </cell>
          <cell r="D420" t="str">
            <v>Akash Saxena</v>
          </cell>
          <cell r="E420" t="str">
            <v>-</v>
          </cell>
          <cell r="F420" t="str">
            <v>Non-MSP</v>
          </cell>
          <cell r="H420" t="str">
            <v>Hemant Kumar</v>
          </cell>
          <cell r="L420" t="str">
            <v>New</v>
          </cell>
          <cell r="M420">
            <v>46099</v>
          </cell>
          <cell r="N420">
            <v>103</v>
          </cell>
          <cell r="P420">
            <v>46464</v>
          </cell>
          <cell r="Q420" t="str">
            <v>PLC-4788</v>
          </cell>
          <cell r="R420" t="str">
            <v>Naseem Ahmad Thittacheriar Jahaba</v>
          </cell>
          <cell r="S420" t="str">
            <v>Individual</v>
          </cell>
          <cell r="T420" t="str">
            <v>C2C</v>
          </cell>
          <cell r="U420" t="str">
            <v>Citius Tech</v>
          </cell>
          <cell r="V420">
            <v>90</v>
          </cell>
          <cell r="W420">
            <v>0</v>
          </cell>
          <cell r="X420" t="str">
            <v>USD</v>
          </cell>
          <cell r="Y420">
            <v>94</v>
          </cell>
          <cell r="Z420">
            <v>0</v>
          </cell>
          <cell r="AA420">
            <v>0</v>
          </cell>
          <cell r="AB420">
            <v>0</v>
          </cell>
          <cell r="AC420">
            <v>46096</v>
          </cell>
          <cell r="AD420">
            <v>10</v>
          </cell>
          <cell r="AE420">
            <v>46387</v>
          </cell>
          <cell r="AF420">
            <v>90</v>
          </cell>
          <cell r="AG420">
            <v>0</v>
          </cell>
          <cell r="AH420">
            <v>90</v>
          </cell>
          <cell r="AI420">
            <v>94</v>
          </cell>
          <cell r="AJ420">
            <v>0</v>
          </cell>
          <cell r="AK420">
            <v>0</v>
          </cell>
          <cell r="AL420">
            <v>4</v>
          </cell>
          <cell r="AM420">
            <v>0</v>
          </cell>
          <cell r="AN420">
            <v>4</v>
          </cell>
          <cell r="AO420">
            <v>0</v>
          </cell>
          <cell r="AP420">
            <v>4</v>
          </cell>
          <cell r="AQ420" t="str">
            <v>US_27438</v>
          </cell>
          <cell r="AR420">
            <v>0</v>
          </cell>
          <cell r="AS420">
            <v>76</v>
          </cell>
          <cell r="AU420">
            <v>76</v>
          </cell>
          <cell r="AV420">
            <v>0</v>
          </cell>
          <cell r="AW420">
            <v>304</v>
          </cell>
          <cell r="AX420">
            <v>304</v>
          </cell>
          <cell r="AY420">
            <v>0</v>
          </cell>
          <cell r="AZ420">
            <v>304</v>
          </cell>
          <cell r="BA420">
            <v>304</v>
          </cell>
          <cell r="BB420">
            <v>304</v>
          </cell>
          <cell r="BC420">
            <v>80</v>
          </cell>
          <cell r="BD420">
            <v>535.04</v>
          </cell>
          <cell r="BE420">
            <v>535.04</v>
          </cell>
          <cell r="BG420">
            <v>304</v>
          </cell>
          <cell r="BI420">
            <v>304</v>
          </cell>
          <cell r="BJ420">
            <v>7144</v>
          </cell>
          <cell r="BK420">
            <v>7144</v>
          </cell>
          <cell r="BL420">
            <v>6840</v>
          </cell>
          <cell r="BM420">
            <v>0</v>
          </cell>
          <cell r="BN420">
            <v>0</v>
          </cell>
          <cell r="BO420">
            <v>0</v>
          </cell>
          <cell r="BP420">
            <v>6840</v>
          </cell>
          <cell r="BQ420">
            <v>0</v>
          </cell>
          <cell r="BR420">
            <v>304</v>
          </cell>
          <cell r="BT420">
            <v>1</v>
          </cell>
          <cell r="BU420">
            <v>1</v>
          </cell>
          <cell r="BV420" t="str">
            <v>Y</v>
          </cell>
          <cell r="BW420">
            <v>1070.08</v>
          </cell>
          <cell r="BX420">
            <v>1070.08</v>
          </cell>
          <cell r="BY420">
            <v>2026</v>
          </cell>
          <cell r="BZ420" t="str">
            <v>-</v>
          </cell>
          <cell r="CA420" t="str">
            <v>-</v>
          </cell>
        </row>
        <row r="421">
          <cell r="A421" t="str">
            <v>Noida</v>
          </cell>
          <cell r="B421" t="str">
            <v>Noida IT</v>
          </cell>
          <cell r="C421" t="str">
            <v>Mid Level</v>
          </cell>
          <cell r="D421" t="str">
            <v>Akash Saxena</v>
          </cell>
          <cell r="E421" t="str">
            <v>-</v>
          </cell>
          <cell r="F421" t="str">
            <v>Non-MSP</v>
          </cell>
          <cell r="H421" t="str">
            <v>Hemant Kumar</v>
          </cell>
          <cell r="J421" t="str">
            <v>ACH</v>
          </cell>
          <cell r="L421" t="str">
            <v>New</v>
          </cell>
          <cell r="M421">
            <v>46099</v>
          </cell>
          <cell r="N421">
            <v>103</v>
          </cell>
          <cell r="P421">
            <v>46464</v>
          </cell>
          <cell r="Q421" t="str">
            <v>PLC-4788</v>
          </cell>
          <cell r="R421" t="str">
            <v>Naseem Ahmad Thittacheriar Jahaba</v>
          </cell>
          <cell r="S421" t="str">
            <v>Individual</v>
          </cell>
          <cell r="T421" t="str">
            <v>C2C</v>
          </cell>
          <cell r="U421" t="str">
            <v>Citius Tech</v>
          </cell>
          <cell r="V421">
            <v>90</v>
          </cell>
          <cell r="W421">
            <v>0</v>
          </cell>
          <cell r="X421" t="str">
            <v>USD</v>
          </cell>
          <cell r="Y421">
            <v>94</v>
          </cell>
          <cell r="Z421">
            <v>0</v>
          </cell>
          <cell r="AA421">
            <v>0</v>
          </cell>
          <cell r="AB421">
            <v>0</v>
          </cell>
          <cell r="AC421">
            <v>46127</v>
          </cell>
          <cell r="AD421">
            <v>22</v>
          </cell>
          <cell r="AE421">
            <v>46387</v>
          </cell>
          <cell r="AF421">
            <v>90</v>
          </cell>
          <cell r="AG421">
            <v>0</v>
          </cell>
          <cell r="AH421">
            <v>90</v>
          </cell>
          <cell r="AI421">
            <v>94</v>
          </cell>
          <cell r="AJ421">
            <v>0</v>
          </cell>
          <cell r="AK421">
            <v>0</v>
          </cell>
          <cell r="AL421">
            <v>4</v>
          </cell>
          <cell r="AM421">
            <v>0</v>
          </cell>
          <cell r="AN421">
            <v>4</v>
          </cell>
          <cell r="AO421">
            <v>0</v>
          </cell>
          <cell r="AP421">
            <v>4</v>
          </cell>
          <cell r="AQ421" t="str">
            <v>US_27667</v>
          </cell>
          <cell r="AR421">
            <v>0</v>
          </cell>
          <cell r="AS421">
            <v>176</v>
          </cell>
          <cell r="AU421">
            <v>176</v>
          </cell>
          <cell r="AV421">
            <v>0</v>
          </cell>
          <cell r="AW421">
            <v>704</v>
          </cell>
          <cell r="AX421">
            <v>696.96</v>
          </cell>
          <cell r="AY421">
            <v>0</v>
          </cell>
          <cell r="AZ421">
            <v>704</v>
          </cell>
          <cell r="BA421">
            <v>696.96</v>
          </cell>
          <cell r="BB421">
            <v>704</v>
          </cell>
          <cell r="BC421">
            <v>80</v>
          </cell>
          <cell r="BD421">
            <v>1226.6496</v>
          </cell>
          <cell r="BE421">
            <v>1226.6496</v>
          </cell>
          <cell r="BG421">
            <v>696.96</v>
          </cell>
          <cell r="BI421">
            <v>696.96</v>
          </cell>
          <cell r="BJ421">
            <v>16544</v>
          </cell>
          <cell r="BK421">
            <v>16544</v>
          </cell>
          <cell r="BL421">
            <v>15840</v>
          </cell>
          <cell r="BM421">
            <v>0</v>
          </cell>
          <cell r="BN421">
            <v>0</v>
          </cell>
          <cell r="BO421">
            <v>0</v>
          </cell>
          <cell r="BP421">
            <v>15840</v>
          </cell>
          <cell r="BQ421">
            <v>0</v>
          </cell>
          <cell r="BR421">
            <v>704</v>
          </cell>
          <cell r="BT421">
            <v>2</v>
          </cell>
          <cell r="BU421">
            <v>1</v>
          </cell>
          <cell r="BV421" t="str">
            <v>Y</v>
          </cell>
          <cell r="BW421">
            <v>2453.2991999999999</v>
          </cell>
          <cell r="BX421">
            <v>2453.2991999999999</v>
          </cell>
          <cell r="BY421">
            <v>2026</v>
          </cell>
          <cell r="BZ421" t="str">
            <v>-</v>
          </cell>
          <cell r="CA421" t="str">
            <v>-</v>
          </cell>
        </row>
        <row r="422">
          <cell r="A422" t="str">
            <v>Noida</v>
          </cell>
          <cell r="B422" t="str">
            <v>Noida IT</v>
          </cell>
          <cell r="C422" t="str">
            <v>Mid Level</v>
          </cell>
          <cell r="D422" t="str">
            <v>Akash Saxena</v>
          </cell>
          <cell r="E422" t="str">
            <v>-</v>
          </cell>
          <cell r="F422" t="str">
            <v>Non-MSP</v>
          </cell>
          <cell r="H422" t="str">
            <v>Hemant Kumar</v>
          </cell>
          <cell r="J422" t="str">
            <v>ACH</v>
          </cell>
          <cell r="L422" t="str">
            <v>New</v>
          </cell>
          <cell r="M422">
            <v>46099</v>
          </cell>
          <cell r="N422">
            <v>103</v>
          </cell>
          <cell r="P422">
            <v>46464</v>
          </cell>
          <cell r="Q422" t="str">
            <v>PLC-4788</v>
          </cell>
          <cell r="R422" t="str">
            <v>Naseem Ahmad Thittacheriar Jahaba</v>
          </cell>
          <cell r="S422" t="str">
            <v>Individual</v>
          </cell>
          <cell r="T422" t="str">
            <v>C2C</v>
          </cell>
          <cell r="U422" t="str">
            <v>Citius Tech</v>
          </cell>
          <cell r="V422">
            <v>90</v>
          </cell>
          <cell r="W422">
            <v>0</v>
          </cell>
          <cell r="X422" t="str">
            <v>USD</v>
          </cell>
          <cell r="Y422">
            <v>94</v>
          </cell>
          <cell r="Z422">
            <v>0</v>
          </cell>
          <cell r="AA422">
            <v>0</v>
          </cell>
          <cell r="AB422">
            <v>0</v>
          </cell>
          <cell r="AC422">
            <v>46157</v>
          </cell>
          <cell r="AD422">
            <v>22</v>
          </cell>
          <cell r="AE422">
            <v>46387</v>
          </cell>
          <cell r="AF422">
            <v>90</v>
          </cell>
          <cell r="AG422">
            <v>0</v>
          </cell>
          <cell r="AH422">
            <v>90</v>
          </cell>
          <cell r="AI422">
            <v>94</v>
          </cell>
          <cell r="AJ422">
            <v>0</v>
          </cell>
          <cell r="AK422">
            <v>0</v>
          </cell>
          <cell r="AL422">
            <v>4</v>
          </cell>
          <cell r="AM422">
            <v>0</v>
          </cell>
          <cell r="AN422">
            <v>4</v>
          </cell>
          <cell r="AO422">
            <v>0</v>
          </cell>
          <cell r="AP422">
            <v>4</v>
          </cell>
          <cell r="AQ422" t="str">
            <v>US_27756</v>
          </cell>
          <cell r="AR422">
            <v>0</v>
          </cell>
          <cell r="AS422">
            <v>120</v>
          </cell>
          <cell r="AU422">
            <v>120</v>
          </cell>
          <cell r="AV422">
            <v>0</v>
          </cell>
          <cell r="AW422">
            <v>480</v>
          </cell>
          <cell r="AX422">
            <v>475.2</v>
          </cell>
          <cell r="AY422">
            <v>0</v>
          </cell>
          <cell r="AZ422">
            <v>480</v>
          </cell>
          <cell r="BA422">
            <v>475.2</v>
          </cell>
          <cell r="BB422">
            <v>480</v>
          </cell>
          <cell r="BC422">
            <v>80</v>
          </cell>
          <cell r="BD422">
            <v>836.35199999999998</v>
          </cell>
          <cell r="BE422">
            <v>836.35199999999998</v>
          </cell>
          <cell r="BG422">
            <v>475.2</v>
          </cell>
          <cell r="BI422">
            <v>475.2</v>
          </cell>
          <cell r="BJ422">
            <v>11280</v>
          </cell>
          <cell r="BK422">
            <v>11280</v>
          </cell>
          <cell r="BL422">
            <v>10800</v>
          </cell>
          <cell r="BM422">
            <v>0</v>
          </cell>
          <cell r="BN422">
            <v>0</v>
          </cell>
          <cell r="BO422">
            <v>0</v>
          </cell>
          <cell r="BP422">
            <v>10800</v>
          </cell>
          <cell r="BQ422">
            <v>0</v>
          </cell>
          <cell r="BR422">
            <v>480</v>
          </cell>
          <cell r="BT422">
            <v>2</v>
          </cell>
          <cell r="BU422">
            <v>1</v>
          </cell>
          <cell r="BV422" t="str">
            <v>Y</v>
          </cell>
          <cell r="BW422">
            <v>1672.704</v>
          </cell>
          <cell r="BX422">
            <v>1672.704</v>
          </cell>
          <cell r="BY422">
            <v>2026</v>
          </cell>
          <cell r="BZ422" t="str">
            <v>-</v>
          </cell>
          <cell r="CA422" t="str">
            <v>-</v>
          </cell>
        </row>
        <row r="423">
          <cell r="A423" t="str">
            <v>Lucknow</v>
          </cell>
          <cell r="B423" t="str">
            <v>Mavericks</v>
          </cell>
          <cell r="C423" t="str">
            <v>Mid Level</v>
          </cell>
          <cell r="D423" t="str">
            <v>Mohammad Fakhrul</v>
          </cell>
          <cell r="F423" t="str">
            <v>MSP</v>
          </cell>
          <cell r="H423" t="str">
            <v>Pass Through</v>
          </cell>
          <cell r="J423" t="str">
            <v>ACH</v>
          </cell>
          <cell r="L423" t="str">
            <v>New</v>
          </cell>
          <cell r="M423">
            <v>46146</v>
          </cell>
          <cell r="N423">
            <v>56</v>
          </cell>
          <cell r="P423">
            <v>46511</v>
          </cell>
          <cell r="R423" t="str">
            <v>Naveen Kumar Singh</v>
          </cell>
          <cell r="S423" t="str">
            <v>Individual</v>
          </cell>
          <cell r="T423" t="str">
            <v>C2C</v>
          </cell>
          <cell r="U423" t="str">
            <v>CoForge</v>
          </cell>
          <cell r="V423">
            <v>76</v>
          </cell>
          <cell r="W423">
            <v>0</v>
          </cell>
          <cell r="X423" t="str">
            <v>USD</v>
          </cell>
          <cell r="Y423">
            <v>77</v>
          </cell>
          <cell r="Z423">
            <v>0</v>
          </cell>
          <cell r="AA423">
            <v>0</v>
          </cell>
          <cell r="AB423">
            <v>0</v>
          </cell>
          <cell r="AC423">
            <v>46157</v>
          </cell>
          <cell r="AD423">
            <v>20</v>
          </cell>
          <cell r="AE423">
            <v>46387</v>
          </cell>
          <cell r="AF423">
            <v>76</v>
          </cell>
          <cell r="AG423">
            <v>0</v>
          </cell>
          <cell r="AH423">
            <v>76</v>
          </cell>
          <cell r="AI423">
            <v>77</v>
          </cell>
          <cell r="AJ423">
            <v>0</v>
          </cell>
          <cell r="AK423">
            <v>0</v>
          </cell>
          <cell r="AL423">
            <v>1</v>
          </cell>
          <cell r="AM423">
            <v>0</v>
          </cell>
          <cell r="AN423">
            <v>1</v>
          </cell>
          <cell r="AO423">
            <v>0</v>
          </cell>
          <cell r="AP423">
            <v>1</v>
          </cell>
          <cell r="AQ423" t="str">
            <v>US_CMSP_00887</v>
          </cell>
          <cell r="AR423">
            <v>0</v>
          </cell>
          <cell r="AS423">
            <v>152</v>
          </cell>
          <cell r="AU423">
            <v>152</v>
          </cell>
          <cell r="AV423">
            <v>0</v>
          </cell>
          <cell r="AW423">
            <v>152</v>
          </cell>
          <cell r="AX423">
            <v>150.47999999999999</v>
          </cell>
          <cell r="AY423">
            <v>0</v>
          </cell>
          <cell r="AZ423">
            <v>152</v>
          </cell>
          <cell r="BA423">
            <v>150.47999999999999</v>
          </cell>
          <cell r="BB423">
            <v>152</v>
          </cell>
          <cell r="BC423">
            <v>0</v>
          </cell>
          <cell r="BD423">
            <v>0</v>
          </cell>
          <cell r="BE423">
            <v>0</v>
          </cell>
          <cell r="BG423">
            <v>150.47999999999999</v>
          </cell>
          <cell r="BI423">
            <v>0</v>
          </cell>
          <cell r="BJ423">
            <v>11704</v>
          </cell>
          <cell r="BK423">
            <v>11704</v>
          </cell>
          <cell r="BL423">
            <v>11552</v>
          </cell>
          <cell r="BM423">
            <v>0</v>
          </cell>
          <cell r="BN423">
            <v>0</v>
          </cell>
          <cell r="BO423">
            <v>0</v>
          </cell>
          <cell r="BP423">
            <v>11552</v>
          </cell>
          <cell r="BQ423">
            <v>0</v>
          </cell>
          <cell r="BR423">
            <v>152</v>
          </cell>
          <cell r="BT423">
            <v>2</v>
          </cell>
          <cell r="BU423">
            <v>2</v>
          </cell>
          <cell r="BV423" t="str">
            <v>Y</v>
          </cell>
          <cell r="BW423">
            <v>0</v>
          </cell>
          <cell r="BX423">
            <v>0</v>
          </cell>
          <cell r="BY423">
            <v>2026</v>
          </cell>
          <cell r="BZ423" t="str">
            <v>-</v>
          </cell>
          <cell r="CA423" t="str">
            <v>-</v>
          </cell>
        </row>
        <row r="424">
          <cell r="A424" t="str">
            <v>Lucknow</v>
          </cell>
          <cell r="B424" t="str">
            <v>Trust</v>
          </cell>
          <cell r="C424" t="str">
            <v>Mid Level</v>
          </cell>
          <cell r="D424" t="str">
            <v>Harsh Agarwal</v>
          </cell>
          <cell r="F424" t="str">
            <v>Non-MSP</v>
          </cell>
          <cell r="H424" t="str">
            <v>Deepika Dua</v>
          </cell>
          <cell r="J424" t="str">
            <v>ACH</v>
          </cell>
          <cell r="L424" t="str">
            <v>New</v>
          </cell>
          <cell r="M424">
            <v>46143</v>
          </cell>
          <cell r="N424">
            <v>59</v>
          </cell>
          <cell r="P424">
            <v>46508</v>
          </cell>
          <cell r="Q424" t="str">
            <v>PLC-4837</v>
          </cell>
          <cell r="R424" t="str">
            <v>Naveen Kumar Vuppala</v>
          </cell>
          <cell r="S424" t="str">
            <v>Individual</v>
          </cell>
          <cell r="T424" t="str">
            <v>W2</v>
          </cell>
          <cell r="U424" t="str">
            <v>Global Logic</v>
          </cell>
          <cell r="V424">
            <v>75</v>
          </cell>
          <cell r="W424">
            <v>0</v>
          </cell>
          <cell r="X424" t="str">
            <v>USD</v>
          </cell>
          <cell r="Y424">
            <v>100</v>
          </cell>
          <cell r="Z424">
            <v>0</v>
          </cell>
          <cell r="AA424">
            <v>0</v>
          </cell>
          <cell r="AB424">
            <v>0</v>
          </cell>
          <cell r="AC424">
            <v>46157</v>
          </cell>
          <cell r="AD424">
            <v>21</v>
          </cell>
          <cell r="AE424">
            <v>46387</v>
          </cell>
          <cell r="AF424">
            <v>86.25</v>
          </cell>
          <cell r="AG424">
            <v>0</v>
          </cell>
          <cell r="AH424">
            <v>86.25</v>
          </cell>
          <cell r="AI424">
            <v>100</v>
          </cell>
          <cell r="AJ424">
            <v>0</v>
          </cell>
          <cell r="AK424">
            <v>0</v>
          </cell>
          <cell r="AL424">
            <v>13.75</v>
          </cell>
          <cell r="AM424">
            <v>0</v>
          </cell>
          <cell r="AN424">
            <v>13.75</v>
          </cell>
          <cell r="AO424">
            <v>0</v>
          </cell>
          <cell r="AP424">
            <v>13.75</v>
          </cell>
          <cell r="AQ424" t="str">
            <v>US_27970</v>
          </cell>
          <cell r="AR424">
            <v>0</v>
          </cell>
          <cell r="AS424">
            <v>160</v>
          </cell>
          <cell r="AU424">
            <v>160</v>
          </cell>
          <cell r="AV424">
            <v>0</v>
          </cell>
          <cell r="AW424">
            <v>2200</v>
          </cell>
          <cell r="AX424">
            <v>2178</v>
          </cell>
          <cell r="AY424">
            <v>0</v>
          </cell>
          <cell r="AZ424">
            <v>2200</v>
          </cell>
          <cell r="BA424">
            <v>2178</v>
          </cell>
          <cell r="BB424">
            <v>2200</v>
          </cell>
          <cell r="BC424">
            <v>0</v>
          </cell>
          <cell r="BD424">
            <v>0</v>
          </cell>
          <cell r="BE424">
            <v>0</v>
          </cell>
          <cell r="BF424">
            <v>39</v>
          </cell>
          <cell r="BG424">
            <v>2178</v>
          </cell>
          <cell r="BH424">
            <v>1197.9000000000001</v>
          </cell>
          <cell r="BI424">
            <v>0</v>
          </cell>
          <cell r="BJ424">
            <v>16000</v>
          </cell>
          <cell r="BK424">
            <v>16000</v>
          </cell>
          <cell r="BL424">
            <v>12000</v>
          </cell>
          <cell r="BM424">
            <v>11.25</v>
          </cell>
          <cell r="BN424">
            <v>0</v>
          </cell>
          <cell r="BO424">
            <v>1800</v>
          </cell>
          <cell r="BP424">
            <v>13800</v>
          </cell>
          <cell r="BQ424">
            <v>11.25</v>
          </cell>
          <cell r="BR424">
            <v>2200</v>
          </cell>
          <cell r="BT424">
            <v>2</v>
          </cell>
          <cell r="BU424">
            <v>2</v>
          </cell>
          <cell r="BV424" t="str">
            <v>N</v>
          </cell>
          <cell r="BW424">
            <v>0</v>
          </cell>
          <cell r="BX424">
            <v>0</v>
          </cell>
          <cell r="BY424">
            <v>2026</v>
          </cell>
          <cell r="BZ424" t="str">
            <v>-</v>
          </cell>
          <cell r="CA424" t="str">
            <v>-</v>
          </cell>
        </row>
        <row r="425">
          <cell r="A425" t="str">
            <v>Lucknow</v>
          </cell>
          <cell r="B425" t="str">
            <v>Mavericks</v>
          </cell>
          <cell r="C425" t="str">
            <v>Mid Level</v>
          </cell>
          <cell r="D425" t="str">
            <v>Rohit Gupta</v>
          </cell>
          <cell r="E425" t="str">
            <v>Vivek Yadav</v>
          </cell>
          <cell r="F425" t="str">
            <v>Non-MSP</v>
          </cell>
          <cell r="H425" t="str">
            <v xml:space="preserve">Anuj Tewari </v>
          </cell>
          <cell r="L425" t="str">
            <v>New</v>
          </cell>
          <cell r="M425">
            <v>46042</v>
          </cell>
          <cell r="N425">
            <v>160</v>
          </cell>
          <cell r="P425">
            <v>46407</v>
          </cell>
          <cell r="Q425" t="str">
            <v>PLC-4656</v>
          </cell>
          <cell r="R425" t="str">
            <v>Navneeth Rao Potheganti</v>
          </cell>
          <cell r="S425" t="str">
            <v>Individual</v>
          </cell>
          <cell r="T425" t="str">
            <v>C2C</v>
          </cell>
          <cell r="U425" t="str">
            <v>CoForge</v>
          </cell>
          <cell r="V425">
            <v>62</v>
          </cell>
          <cell r="W425">
            <v>0</v>
          </cell>
          <cell r="X425" t="str">
            <v>USD</v>
          </cell>
          <cell r="Y425">
            <v>75</v>
          </cell>
          <cell r="Z425">
            <v>0</v>
          </cell>
          <cell r="AA425">
            <v>0</v>
          </cell>
          <cell r="AB425">
            <v>0</v>
          </cell>
          <cell r="AC425">
            <v>46037</v>
          </cell>
          <cell r="AD425">
            <v>9</v>
          </cell>
          <cell r="AE425">
            <v>46387</v>
          </cell>
          <cell r="AF425">
            <v>62</v>
          </cell>
          <cell r="AG425">
            <v>0</v>
          </cell>
          <cell r="AH425">
            <v>62</v>
          </cell>
          <cell r="AI425">
            <v>75</v>
          </cell>
          <cell r="AJ425">
            <v>0</v>
          </cell>
          <cell r="AK425">
            <v>0</v>
          </cell>
          <cell r="AL425">
            <v>13</v>
          </cell>
          <cell r="AM425">
            <v>0</v>
          </cell>
          <cell r="AN425">
            <v>13</v>
          </cell>
          <cell r="AO425">
            <v>0</v>
          </cell>
          <cell r="AP425">
            <v>13</v>
          </cell>
          <cell r="AQ425" t="str">
            <v>US_26961</v>
          </cell>
          <cell r="AR425">
            <v>0</v>
          </cell>
          <cell r="AS425">
            <v>72</v>
          </cell>
          <cell r="AU425">
            <v>72</v>
          </cell>
          <cell r="AV425">
            <v>0</v>
          </cell>
          <cell r="AW425">
            <v>936</v>
          </cell>
          <cell r="AX425">
            <v>936</v>
          </cell>
          <cell r="AY425">
            <v>0</v>
          </cell>
          <cell r="AZ425">
            <v>936</v>
          </cell>
          <cell r="BA425">
            <v>936</v>
          </cell>
          <cell r="BB425">
            <v>936</v>
          </cell>
          <cell r="BC425">
            <v>0</v>
          </cell>
          <cell r="BD425">
            <v>0</v>
          </cell>
          <cell r="BE425">
            <v>0</v>
          </cell>
          <cell r="BG425">
            <v>936</v>
          </cell>
          <cell r="BI425">
            <v>936</v>
          </cell>
          <cell r="BJ425">
            <v>5400</v>
          </cell>
          <cell r="BK425">
            <v>5400</v>
          </cell>
          <cell r="BL425">
            <v>4464</v>
          </cell>
          <cell r="BM425">
            <v>0</v>
          </cell>
          <cell r="BN425">
            <v>0</v>
          </cell>
          <cell r="BO425">
            <v>0</v>
          </cell>
          <cell r="BP425">
            <v>4464</v>
          </cell>
          <cell r="BQ425">
            <v>0</v>
          </cell>
          <cell r="BR425">
            <v>936</v>
          </cell>
          <cell r="BS425" t="str">
            <v>Y</v>
          </cell>
          <cell r="BT425">
            <v>1</v>
          </cell>
          <cell r="BU425">
            <v>1</v>
          </cell>
          <cell r="BV425" t="str">
            <v>N</v>
          </cell>
          <cell r="BW425">
            <v>0</v>
          </cell>
          <cell r="BX425">
            <v>0</v>
          </cell>
          <cell r="BY425">
            <v>2026</v>
          </cell>
          <cell r="BZ425" t="str">
            <v>-</v>
          </cell>
          <cell r="CA425" t="str">
            <v>-</v>
          </cell>
        </row>
        <row r="426">
          <cell r="A426" t="str">
            <v>Lucknow</v>
          </cell>
          <cell r="B426" t="str">
            <v>Mavericks</v>
          </cell>
          <cell r="C426" t="str">
            <v>Mid Level</v>
          </cell>
          <cell r="D426" t="str">
            <v>Rohit Gupta</v>
          </cell>
          <cell r="E426" t="str">
            <v>Vivek Yadav</v>
          </cell>
          <cell r="F426" t="str">
            <v>Non-MSP</v>
          </cell>
          <cell r="H426" t="str">
            <v xml:space="preserve">Anuj Tewari </v>
          </cell>
          <cell r="L426" t="str">
            <v>New</v>
          </cell>
          <cell r="M426">
            <v>46042</v>
          </cell>
          <cell r="N426">
            <v>160</v>
          </cell>
          <cell r="P426">
            <v>46407</v>
          </cell>
          <cell r="Q426" t="str">
            <v>PLC-4656</v>
          </cell>
          <cell r="R426" t="str">
            <v>Navneeth Rao Potheganti</v>
          </cell>
          <cell r="S426" t="str">
            <v>Individual</v>
          </cell>
          <cell r="T426" t="str">
            <v>C2C</v>
          </cell>
          <cell r="U426" t="str">
            <v>CoForge</v>
          </cell>
          <cell r="V426">
            <v>62</v>
          </cell>
          <cell r="W426">
            <v>0</v>
          </cell>
          <cell r="X426" t="str">
            <v>USD</v>
          </cell>
          <cell r="Y426">
            <v>75</v>
          </cell>
          <cell r="Z426">
            <v>0</v>
          </cell>
          <cell r="AA426">
            <v>0</v>
          </cell>
          <cell r="AB426">
            <v>0</v>
          </cell>
          <cell r="AC426">
            <v>46068</v>
          </cell>
          <cell r="AD426">
            <v>20</v>
          </cell>
          <cell r="AE426">
            <v>46387</v>
          </cell>
          <cell r="AF426">
            <v>62</v>
          </cell>
          <cell r="AG426">
            <v>0</v>
          </cell>
          <cell r="AH426">
            <v>62</v>
          </cell>
          <cell r="AI426">
            <v>75</v>
          </cell>
          <cell r="AJ426">
            <v>0</v>
          </cell>
          <cell r="AK426">
            <v>0</v>
          </cell>
          <cell r="AL426">
            <v>13</v>
          </cell>
          <cell r="AM426">
            <v>0</v>
          </cell>
          <cell r="AN426">
            <v>13</v>
          </cell>
          <cell r="AO426">
            <v>0</v>
          </cell>
          <cell r="AP426">
            <v>13</v>
          </cell>
          <cell r="AQ426" t="str">
            <v>US_27156</v>
          </cell>
          <cell r="AR426">
            <v>0</v>
          </cell>
          <cell r="AS426">
            <v>152</v>
          </cell>
          <cell r="AU426">
            <v>152</v>
          </cell>
          <cell r="AV426">
            <v>0</v>
          </cell>
          <cell r="AW426">
            <v>1976</v>
          </cell>
          <cell r="AX426">
            <v>1976</v>
          </cell>
          <cell r="AY426">
            <v>0</v>
          </cell>
          <cell r="AZ426">
            <v>1976</v>
          </cell>
          <cell r="BA426">
            <v>1976</v>
          </cell>
          <cell r="BB426">
            <v>1976</v>
          </cell>
          <cell r="BC426">
            <v>0</v>
          </cell>
          <cell r="BD426">
            <v>0</v>
          </cell>
          <cell r="BE426">
            <v>0</v>
          </cell>
          <cell r="BG426">
            <v>1976</v>
          </cell>
          <cell r="BI426">
            <v>1976</v>
          </cell>
          <cell r="BJ426">
            <v>11400</v>
          </cell>
          <cell r="BK426">
            <v>11400</v>
          </cell>
          <cell r="BL426">
            <v>9424</v>
          </cell>
          <cell r="BM426">
            <v>0</v>
          </cell>
          <cell r="BN426">
            <v>0</v>
          </cell>
          <cell r="BO426">
            <v>0</v>
          </cell>
          <cell r="BP426">
            <v>9424</v>
          </cell>
          <cell r="BQ426">
            <v>0</v>
          </cell>
          <cell r="BR426">
            <v>1976</v>
          </cell>
          <cell r="BS426" t="str">
            <v>Y</v>
          </cell>
          <cell r="BT426">
            <v>1</v>
          </cell>
          <cell r="BU426">
            <v>1</v>
          </cell>
          <cell r="BV426" t="str">
            <v>N</v>
          </cell>
          <cell r="BW426">
            <v>0</v>
          </cell>
          <cell r="BX426">
            <v>0</v>
          </cell>
          <cell r="BY426">
            <v>2026</v>
          </cell>
          <cell r="BZ426" t="str">
            <v>-</v>
          </cell>
          <cell r="CA426" t="str">
            <v>-</v>
          </cell>
        </row>
        <row r="427">
          <cell r="A427" t="str">
            <v>Lucknow</v>
          </cell>
          <cell r="B427" t="str">
            <v>Mavericks</v>
          </cell>
          <cell r="C427" t="str">
            <v>Mid Level</v>
          </cell>
          <cell r="D427" t="str">
            <v>Rohit Gupta</v>
          </cell>
          <cell r="E427" t="str">
            <v>Vivek Yadav</v>
          </cell>
          <cell r="F427" t="str">
            <v>Non-MSP</v>
          </cell>
          <cell r="H427" t="str">
            <v xml:space="preserve">Anuj Tewari </v>
          </cell>
          <cell r="L427" t="str">
            <v>New</v>
          </cell>
          <cell r="M427">
            <v>46042</v>
          </cell>
          <cell r="N427">
            <v>160</v>
          </cell>
          <cell r="P427">
            <v>46407</v>
          </cell>
          <cell r="Q427" t="str">
            <v>PLC-4656</v>
          </cell>
          <cell r="R427" t="str">
            <v>Navneeth Rao Potheganti</v>
          </cell>
          <cell r="S427" t="str">
            <v>Individual</v>
          </cell>
          <cell r="T427" t="str">
            <v>C2C</v>
          </cell>
          <cell r="U427" t="str">
            <v>CoForge</v>
          </cell>
          <cell r="V427">
            <v>62</v>
          </cell>
          <cell r="W427">
            <v>0</v>
          </cell>
          <cell r="X427" t="str">
            <v>USD</v>
          </cell>
          <cell r="Y427">
            <v>75</v>
          </cell>
          <cell r="Z427">
            <v>0</v>
          </cell>
          <cell r="AA427">
            <v>0</v>
          </cell>
          <cell r="AB427">
            <v>0</v>
          </cell>
          <cell r="AC427">
            <v>46096</v>
          </cell>
          <cell r="AD427">
            <v>22</v>
          </cell>
          <cell r="AE427">
            <v>46387</v>
          </cell>
          <cell r="AF427">
            <v>62</v>
          </cell>
          <cell r="AG427">
            <v>0</v>
          </cell>
          <cell r="AH427">
            <v>62</v>
          </cell>
          <cell r="AI427">
            <v>75</v>
          </cell>
          <cell r="AJ427">
            <v>0</v>
          </cell>
          <cell r="AK427">
            <v>0</v>
          </cell>
          <cell r="AL427">
            <v>13</v>
          </cell>
          <cell r="AM427">
            <v>0</v>
          </cell>
          <cell r="AN427">
            <v>13</v>
          </cell>
          <cell r="AO427">
            <v>0</v>
          </cell>
          <cell r="AP427">
            <v>13</v>
          </cell>
          <cell r="AQ427" t="str">
            <v>US_27371</v>
          </cell>
          <cell r="AR427">
            <v>0</v>
          </cell>
          <cell r="AS427">
            <v>176</v>
          </cell>
          <cell r="AU427">
            <v>176</v>
          </cell>
          <cell r="AV427">
            <v>0</v>
          </cell>
          <cell r="AW427">
            <v>2288</v>
          </cell>
          <cell r="AX427">
            <v>2288</v>
          </cell>
          <cell r="AY427">
            <v>0</v>
          </cell>
          <cell r="AZ427">
            <v>2288</v>
          </cell>
          <cell r="BA427">
            <v>2288</v>
          </cell>
          <cell r="BB427">
            <v>2288</v>
          </cell>
          <cell r="BC427">
            <v>0</v>
          </cell>
          <cell r="BD427">
            <v>0</v>
          </cell>
          <cell r="BE427">
            <v>0</v>
          </cell>
          <cell r="BG427">
            <v>2288</v>
          </cell>
          <cell r="BI427">
            <v>2288</v>
          </cell>
          <cell r="BJ427">
            <v>13200</v>
          </cell>
          <cell r="BK427">
            <v>13200</v>
          </cell>
          <cell r="BL427">
            <v>10912</v>
          </cell>
          <cell r="BM427">
            <v>0</v>
          </cell>
          <cell r="BN427">
            <v>0</v>
          </cell>
          <cell r="BO427">
            <v>0</v>
          </cell>
          <cell r="BP427">
            <v>10912</v>
          </cell>
          <cell r="BQ427">
            <v>0</v>
          </cell>
          <cell r="BR427">
            <v>2288</v>
          </cell>
          <cell r="BS427" t="str">
            <v>Y</v>
          </cell>
          <cell r="BT427">
            <v>1</v>
          </cell>
          <cell r="BU427">
            <v>1</v>
          </cell>
          <cell r="BV427" t="str">
            <v>N</v>
          </cell>
          <cell r="BW427">
            <v>0</v>
          </cell>
          <cell r="BX427">
            <v>0</v>
          </cell>
          <cell r="BY427">
            <v>2026</v>
          </cell>
          <cell r="BZ427" t="str">
            <v>-</v>
          </cell>
          <cell r="CA427" t="str">
            <v>-</v>
          </cell>
        </row>
        <row r="428">
          <cell r="A428" t="str">
            <v>Lucknow</v>
          </cell>
          <cell r="B428" t="str">
            <v>Mavericks</v>
          </cell>
          <cell r="C428" t="str">
            <v>Mid Level</v>
          </cell>
          <cell r="D428" t="str">
            <v>Rohit Gupta</v>
          </cell>
          <cell r="E428" t="str">
            <v>Vivek Yadav</v>
          </cell>
          <cell r="F428" t="str">
            <v>Non-MSP</v>
          </cell>
          <cell r="H428" t="str">
            <v xml:space="preserve">Anuj Tewari </v>
          </cell>
          <cell r="J428" t="str">
            <v>ACH</v>
          </cell>
          <cell r="L428" t="str">
            <v>New</v>
          </cell>
          <cell r="M428">
            <v>46042</v>
          </cell>
          <cell r="N428">
            <v>160</v>
          </cell>
          <cell r="P428">
            <v>46407</v>
          </cell>
          <cell r="Q428" t="str">
            <v>PLC-4656</v>
          </cell>
          <cell r="R428" t="str">
            <v>Navneeth Rao Potheganti</v>
          </cell>
          <cell r="S428" t="str">
            <v>Individual</v>
          </cell>
          <cell r="T428" t="str">
            <v>C2C</v>
          </cell>
          <cell r="U428" t="str">
            <v>CoForge</v>
          </cell>
          <cell r="V428">
            <v>62</v>
          </cell>
          <cell r="W428">
            <v>0</v>
          </cell>
          <cell r="X428" t="str">
            <v>USD</v>
          </cell>
          <cell r="Y428">
            <v>75</v>
          </cell>
          <cell r="Z428">
            <v>0</v>
          </cell>
          <cell r="AA428">
            <v>0</v>
          </cell>
          <cell r="AB428">
            <v>0</v>
          </cell>
          <cell r="AC428">
            <v>46127</v>
          </cell>
          <cell r="AD428">
            <v>22</v>
          </cell>
          <cell r="AE428">
            <v>46387</v>
          </cell>
          <cell r="AF428">
            <v>62</v>
          </cell>
          <cell r="AG428">
            <v>0</v>
          </cell>
          <cell r="AH428">
            <v>62</v>
          </cell>
          <cell r="AI428">
            <v>75</v>
          </cell>
          <cell r="AJ428">
            <v>0</v>
          </cell>
          <cell r="AK428">
            <v>0</v>
          </cell>
          <cell r="AL428">
            <v>13</v>
          </cell>
          <cell r="AM428">
            <v>0</v>
          </cell>
          <cell r="AN428">
            <v>13</v>
          </cell>
          <cell r="AO428">
            <v>0</v>
          </cell>
          <cell r="AP428">
            <v>13</v>
          </cell>
          <cell r="AQ428" t="str">
            <v>US_27608</v>
          </cell>
          <cell r="AR428">
            <v>0</v>
          </cell>
          <cell r="AS428">
            <v>168</v>
          </cell>
          <cell r="AU428">
            <v>168</v>
          </cell>
          <cell r="AV428">
            <v>0</v>
          </cell>
          <cell r="AW428">
            <v>2184</v>
          </cell>
          <cell r="AX428">
            <v>2162.16</v>
          </cell>
          <cell r="AY428">
            <v>0</v>
          </cell>
          <cell r="AZ428">
            <v>2184</v>
          </cell>
          <cell r="BA428">
            <v>2162.16</v>
          </cell>
          <cell r="BB428">
            <v>2184</v>
          </cell>
          <cell r="BC428">
            <v>0</v>
          </cell>
          <cell r="BD428">
            <v>0</v>
          </cell>
          <cell r="BE428">
            <v>0</v>
          </cell>
          <cell r="BG428">
            <v>2162.16</v>
          </cell>
          <cell r="BI428">
            <v>2162.16</v>
          </cell>
          <cell r="BJ428">
            <v>12600</v>
          </cell>
          <cell r="BK428">
            <v>12600</v>
          </cell>
          <cell r="BL428">
            <v>10416</v>
          </cell>
          <cell r="BM428">
            <v>0</v>
          </cell>
          <cell r="BN428">
            <v>0</v>
          </cell>
          <cell r="BO428">
            <v>0</v>
          </cell>
          <cell r="BP428">
            <v>10416</v>
          </cell>
          <cell r="BQ428">
            <v>0</v>
          </cell>
          <cell r="BR428">
            <v>2184</v>
          </cell>
          <cell r="BS428" t="str">
            <v>Y</v>
          </cell>
          <cell r="BT428">
            <v>2</v>
          </cell>
          <cell r="BU428">
            <v>1</v>
          </cell>
          <cell r="BV428" t="str">
            <v>N</v>
          </cell>
          <cell r="BW428">
            <v>0</v>
          </cell>
          <cell r="BX428">
            <v>0</v>
          </cell>
          <cell r="BY428">
            <v>2026</v>
          </cell>
          <cell r="BZ428" t="str">
            <v>-</v>
          </cell>
          <cell r="CA428" t="str">
            <v>-</v>
          </cell>
        </row>
        <row r="429">
          <cell r="A429" t="str">
            <v>Lucknow</v>
          </cell>
          <cell r="B429" t="str">
            <v>Mavericks</v>
          </cell>
          <cell r="C429" t="str">
            <v>Mid Level</v>
          </cell>
          <cell r="D429" t="str">
            <v>Rohit Gupta</v>
          </cell>
          <cell r="E429" t="str">
            <v>Vivek Yadav</v>
          </cell>
          <cell r="F429" t="str">
            <v>Non-MSP</v>
          </cell>
          <cell r="H429" t="str">
            <v xml:space="preserve">Anuj Tewari </v>
          </cell>
          <cell r="J429" t="str">
            <v>ACH</v>
          </cell>
          <cell r="L429" t="str">
            <v>New</v>
          </cell>
          <cell r="M429">
            <v>46042</v>
          </cell>
          <cell r="N429">
            <v>160</v>
          </cell>
          <cell r="P429">
            <v>46407</v>
          </cell>
          <cell r="Q429" t="str">
            <v>PLC-4656</v>
          </cell>
          <cell r="R429" t="str">
            <v>Navneeth Rao Potheganti</v>
          </cell>
          <cell r="S429" t="str">
            <v>Individual</v>
          </cell>
          <cell r="T429" t="str">
            <v>C2C</v>
          </cell>
          <cell r="U429" t="str">
            <v>CoForge</v>
          </cell>
          <cell r="V429">
            <v>62</v>
          </cell>
          <cell r="W429">
            <v>0</v>
          </cell>
          <cell r="X429" t="str">
            <v>USD</v>
          </cell>
          <cell r="Y429">
            <v>75</v>
          </cell>
          <cell r="Z429">
            <v>0</v>
          </cell>
          <cell r="AA429">
            <v>0</v>
          </cell>
          <cell r="AB429">
            <v>0</v>
          </cell>
          <cell r="AC429">
            <v>46157</v>
          </cell>
          <cell r="AD429">
            <v>22</v>
          </cell>
          <cell r="AE429">
            <v>46387</v>
          </cell>
          <cell r="AF429">
            <v>62</v>
          </cell>
          <cell r="AG429">
            <v>0</v>
          </cell>
          <cell r="AH429">
            <v>62</v>
          </cell>
          <cell r="AI429">
            <v>75</v>
          </cell>
          <cell r="AJ429">
            <v>0</v>
          </cell>
          <cell r="AK429">
            <v>0</v>
          </cell>
          <cell r="AL429">
            <v>13</v>
          </cell>
          <cell r="AM429">
            <v>0</v>
          </cell>
          <cell r="AN429">
            <v>13</v>
          </cell>
          <cell r="AO429">
            <v>0</v>
          </cell>
          <cell r="AP429">
            <v>13</v>
          </cell>
          <cell r="AQ429" t="str">
            <v>US_27901</v>
          </cell>
          <cell r="AR429">
            <v>0</v>
          </cell>
          <cell r="AS429">
            <v>160</v>
          </cell>
          <cell r="AU429">
            <v>160</v>
          </cell>
          <cell r="AV429">
            <v>0</v>
          </cell>
          <cell r="AW429">
            <v>2080</v>
          </cell>
          <cell r="AX429">
            <v>2059.1999999999998</v>
          </cell>
          <cell r="AY429">
            <v>0</v>
          </cell>
          <cell r="AZ429">
            <v>2080</v>
          </cell>
          <cell r="BA429">
            <v>2059.1999999999998</v>
          </cell>
          <cell r="BB429">
            <v>2080</v>
          </cell>
          <cell r="BC429">
            <v>0</v>
          </cell>
          <cell r="BD429">
            <v>0</v>
          </cell>
          <cell r="BE429">
            <v>0</v>
          </cell>
          <cell r="BG429">
            <v>2059.1999999999998</v>
          </cell>
          <cell r="BI429">
            <v>2059.1999999999998</v>
          </cell>
          <cell r="BJ429">
            <v>12000</v>
          </cell>
          <cell r="BK429">
            <v>12000</v>
          </cell>
          <cell r="BL429">
            <v>9920</v>
          </cell>
          <cell r="BM429">
            <v>0</v>
          </cell>
          <cell r="BN429">
            <v>0</v>
          </cell>
          <cell r="BO429">
            <v>0</v>
          </cell>
          <cell r="BP429">
            <v>9920</v>
          </cell>
          <cell r="BQ429">
            <v>0</v>
          </cell>
          <cell r="BR429">
            <v>2080</v>
          </cell>
          <cell r="BT429">
            <v>2</v>
          </cell>
          <cell r="BU429">
            <v>1</v>
          </cell>
          <cell r="BV429" t="str">
            <v>N</v>
          </cell>
          <cell r="BW429">
            <v>0</v>
          </cell>
          <cell r="BX429">
            <v>0</v>
          </cell>
          <cell r="BY429">
            <v>2026</v>
          </cell>
          <cell r="BZ429" t="str">
            <v>-</v>
          </cell>
          <cell r="CA429" t="str">
            <v>-</v>
          </cell>
        </row>
        <row r="430">
          <cell r="A430" t="str">
            <v>Lucknow</v>
          </cell>
          <cell r="B430" t="str">
            <v>Titans</v>
          </cell>
          <cell r="C430" t="str">
            <v>Mid Level</v>
          </cell>
          <cell r="D430" t="str">
            <v>Abhishek Yadav</v>
          </cell>
          <cell r="F430" t="str">
            <v>Non-MSP</v>
          </cell>
          <cell r="H430" t="str">
            <v>Shubham Tripathi</v>
          </cell>
          <cell r="J430" t="str">
            <v>ACH</v>
          </cell>
          <cell r="L430" t="str">
            <v>New</v>
          </cell>
          <cell r="M430">
            <v>46132</v>
          </cell>
          <cell r="N430">
            <v>70</v>
          </cell>
          <cell r="P430">
            <v>46497</v>
          </cell>
          <cell r="R430" t="str">
            <v>Neelam Sharma</v>
          </cell>
          <cell r="S430" t="str">
            <v>Individual</v>
          </cell>
          <cell r="T430" t="str">
            <v>C2C Canada</v>
          </cell>
          <cell r="U430" t="str">
            <v>Genpact</v>
          </cell>
          <cell r="V430">
            <v>45</v>
          </cell>
          <cell r="W430">
            <v>0</v>
          </cell>
          <cell r="X430" t="str">
            <v>CAD</v>
          </cell>
          <cell r="Y430">
            <v>60</v>
          </cell>
          <cell r="Z430">
            <v>0</v>
          </cell>
          <cell r="AA430">
            <v>0</v>
          </cell>
          <cell r="AB430">
            <v>0</v>
          </cell>
          <cell r="AC430">
            <v>46127</v>
          </cell>
          <cell r="AD430">
            <v>9</v>
          </cell>
          <cell r="AE430">
            <v>46387</v>
          </cell>
          <cell r="AF430">
            <v>31.95</v>
          </cell>
          <cell r="AG430">
            <v>0</v>
          </cell>
          <cell r="AH430">
            <v>31.95</v>
          </cell>
          <cell r="AI430">
            <v>42.599999999999994</v>
          </cell>
          <cell r="AJ430">
            <v>0</v>
          </cell>
          <cell r="AK430">
            <v>0</v>
          </cell>
          <cell r="AL430">
            <v>10.649999999999995</v>
          </cell>
          <cell r="AM430">
            <v>0</v>
          </cell>
          <cell r="AN430">
            <v>10.649999999999995</v>
          </cell>
          <cell r="AO430">
            <v>0</v>
          </cell>
          <cell r="AP430">
            <v>10.649999999999995</v>
          </cell>
          <cell r="AQ430" t="str">
            <v>CAD_2142</v>
          </cell>
          <cell r="AR430">
            <v>0</v>
          </cell>
          <cell r="AS430">
            <v>72</v>
          </cell>
          <cell r="AU430">
            <v>72</v>
          </cell>
          <cell r="AV430">
            <v>0</v>
          </cell>
          <cell r="AW430">
            <v>766.79999999999961</v>
          </cell>
          <cell r="AX430">
            <v>759.13199999999961</v>
          </cell>
          <cell r="AY430">
            <v>0</v>
          </cell>
          <cell r="AZ430">
            <v>766.79999999999961</v>
          </cell>
          <cell r="BA430">
            <v>759.13199999999961</v>
          </cell>
          <cell r="BB430">
            <v>766.79999999999961</v>
          </cell>
          <cell r="BC430">
            <v>42.857142857142854</v>
          </cell>
          <cell r="BD430">
            <v>1002.0542399999994</v>
          </cell>
          <cell r="BE430">
            <v>1002.0542399999994</v>
          </cell>
          <cell r="BG430">
            <v>759.13199999999961</v>
          </cell>
          <cell r="BI430">
            <v>0</v>
          </cell>
          <cell r="BJ430">
            <v>4320</v>
          </cell>
          <cell r="BK430">
            <v>3067.2</v>
          </cell>
          <cell r="BL430">
            <v>2400.5160000000001</v>
          </cell>
          <cell r="BM430">
            <v>0</v>
          </cell>
          <cell r="BN430">
            <v>0</v>
          </cell>
          <cell r="BO430">
            <v>0</v>
          </cell>
          <cell r="BP430">
            <v>2400.5160000000001</v>
          </cell>
          <cell r="BQ430">
            <v>0</v>
          </cell>
          <cell r="BR430">
            <v>666.68399999999974</v>
          </cell>
          <cell r="BT430">
            <v>2</v>
          </cell>
          <cell r="BU430">
            <v>2</v>
          </cell>
          <cell r="BV430" t="str">
            <v>N</v>
          </cell>
          <cell r="BW430">
            <v>2004.1084799999987</v>
          </cell>
          <cell r="BX430">
            <v>2004.1084799999987</v>
          </cell>
          <cell r="BY430">
            <v>2026</v>
          </cell>
          <cell r="BZ430" t="str">
            <v>-</v>
          </cell>
          <cell r="CA430" t="str">
            <v>-</v>
          </cell>
        </row>
        <row r="431">
          <cell r="A431" t="str">
            <v>Lucknow</v>
          </cell>
          <cell r="B431" t="str">
            <v>Titans</v>
          </cell>
          <cell r="C431" t="str">
            <v>Mid Level</v>
          </cell>
          <cell r="D431" t="str">
            <v>Abhishek Yadav</v>
          </cell>
          <cell r="F431" t="str">
            <v>Non-MSP</v>
          </cell>
          <cell r="H431" t="str">
            <v>Shubham Tripathi</v>
          </cell>
          <cell r="J431" t="str">
            <v>ACH</v>
          </cell>
          <cell r="L431" t="str">
            <v>New</v>
          </cell>
          <cell r="M431">
            <v>46132</v>
          </cell>
          <cell r="N431">
            <v>70</v>
          </cell>
          <cell r="P431">
            <v>46497</v>
          </cell>
          <cell r="R431" t="str">
            <v>Neelam Sharma</v>
          </cell>
          <cell r="S431" t="str">
            <v>Individual</v>
          </cell>
          <cell r="T431" t="str">
            <v>C2C Canada</v>
          </cell>
          <cell r="U431" t="str">
            <v>Genpact</v>
          </cell>
          <cell r="V431">
            <v>45</v>
          </cell>
          <cell r="W431">
            <v>0</v>
          </cell>
          <cell r="X431" t="str">
            <v>CAD</v>
          </cell>
          <cell r="Y431">
            <v>60</v>
          </cell>
          <cell r="Z431">
            <v>0</v>
          </cell>
          <cell r="AA431">
            <v>0</v>
          </cell>
          <cell r="AB431">
            <v>0</v>
          </cell>
          <cell r="AC431">
            <v>46157</v>
          </cell>
          <cell r="AD431">
            <v>9</v>
          </cell>
          <cell r="AE431">
            <v>46387</v>
          </cell>
          <cell r="AF431">
            <v>31.95</v>
          </cell>
          <cell r="AG431">
            <v>0</v>
          </cell>
          <cell r="AH431">
            <v>31.95</v>
          </cell>
          <cell r="AI431">
            <v>42.599999999999994</v>
          </cell>
          <cell r="AJ431">
            <v>0</v>
          </cell>
          <cell r="AK431">
            <v>0</v>
          </cell>
          <cell r="AL431">
            <v>10.649999999999995</v>
          </cell>
          <cell r="AM431">
            <v>0</v>
          </cell>
          <cell r="AN431">
            <v>10.649999999999995</v>
          </cell>
          <cell r="AO431">
            <v>0</v>
          </cell>
          <cell r="AP431">
            <v>10.649999999999995</v>
          </cell>
          <cell r="AQ431" t="str">
            <v>CAD_2208</v>
          </cell>
          <cell r="AR431">
            <v>0</v>
          </cell>
          <cell r="AS431">
            <v>168</v>
          </cell>
          <cell r="AU431">
            <v>168</v>
          </cell>
          <cell r="AV431">
            <v>0</v>
          </cell>
          <cell r="AW431">
            <v>1789.1999999999991</v>
          </cell>
          <cell r="AX431">
            <v>1771.3079999999991</v>
          </cell>
          <cell r="AY431">
            <v>0</v>
          </cell>
          <cell r="AZ431">
            <v>1789.1999999999991</v>
          </cell>
          <cell r="BA431">
            <v>1771.3079999999991</v>
          </cell>
          <cell r="BB431">
            <v>1789.1999999999991</v>
          </cell>
          <cell r="BC431">
            <v>42.857142857142854</v>
          </cell>
          <cell r="BD431">
            <v>2338.1265599999988</v>
          </cell>
          <cell r="BE431">
            <v>2338.1265599999988</v>
          </cell>
          <cell r="BG431">
            <v>1771.3079999999991</v>
          </cell>
          <cell r="BI431">
            <v>0</v>
          </cell>
          <cell r="BJ431">
            <v>10080</v>
          </cell>
          <cell r="BK431">
            <v>7156.7999999999993</v>
          </cell>
          <cell r="BL431">
            <v>5601.2039999999997</v>
          </cell>
          <cell r="BM431">
            <v>0</v>
          </cell>
          <cell r="BN431">
            <v>0</v>
          </cell>
          <cell r="BO431">
            <v>0</v>
          </cell>
          <cell r="BP431">
            <v>5601.2039999999997</v>
          </cell>
          <cell r="BQ431">
            <v>0</v>
          </cell>
          <cell r="BR431">
            <v>1555.5959999999995</v>
          </cell>
          <cell r="BT431">
            <v>2</v>
          </cell>
          <cell r="BU431">
            <v>2</v>
          </cell>
          <cell r="BV431" t="str">
            <v>N</v>
          </cell>
          <cell r="BW431">
            <v>4676.2531199999976</v>
          </cell>
          <cell r="BX431">
            <v>4676.2531199999976</v>
          </cell>
          <cell r="BY431">
            <v>2026</v>
          </cell>
          <cell r="BZ431" t="str">
            <v>-</v>
          </cell>
          <cell r="CA431" t="str">
            <v>-</v>
          </cell>
        </row>
        <row r="432">
          <cell r="A432" t="str">
            <v>Lucknow</v>
          </cell>
          <cell r="B432" t="str">
            <v>Chennai</v>
          </cell>
          <cell r="C432" t="str">
            <v>Mid Level</v>
          </cell>
          <cell r="D432" t="str">
            <v>Vinoth L</v>
          </cell>
          <cell r="E432" t="str">
            <v>-</v>
          </cell>
          <cell r="F432" t="str">
            <v>Non-MSP</v>
          </cell>
          <cell r="H432" t="str">
            <v>Dinesh Kumar Veluchamy</v>
          </cell>
          <cell r="L432" t="str">
            <v>New</v>
          </cell>
          <cell r="M432">
            <v>46083</v>
          </cell>
          <cell r="N432">
            <v>119</v>
          </cell>
          <cell r="P432">
            <v>46448</v>
          </cell>
          <cell r="Q432" t="str">
            <v>PLC-4731</v>
          </cell>
          <cell r="R432" t="str">
            <v>Neha Sehgal</v>
          </cell>
          <cell r="S432" t="str">
            <v>Individual</v>
          </cell>
          <cell r="T432" t="str">
            <v>W2</v>
          </cell>
          <cell r="U432" t="str">
            <v>Citius Tech</v>
          </cell>
          <cell r="V432">
            <v>53</v>
          </cell>
          <cell r="W432">
            <v>0</v>
          </cell>
          <cell r="X432" t="str">
            <v>USD</v>
          </cell>
          <cell r="Y432">
            <v>68</v>
          </cell>
          <cell r="Z432">
            <v>0</v>
          </cell>
          <cell r="AA432">
            <v>0</v>
          </cell>
          <cell r="AB432">
            <v>0</v>
          </cell>
          <cell r="AC432">
            <v>46096</v>
          </cell>
          <cell r="AD432">
            <v>22</v>
          </cell>
          <cell r="AE432">
            <v>46387</v>
          </cell>
          <cell r="AF432">
            <v>60.949999999999996</v>
          </cell>
          <cell r="AG432">
            <v>0</v>
          </cell>
          <cell r="AH432">
            <v>60.949999999999996</v>
          </cell>
          <cell r="AI432">
            <v>68</v>
          </cell>
          <cell r="AJ432">
            <v>0</v>
          </cell>
          <cell r="AK432">
            <v>0</v>
          </cell>
          <cell r="AL432">
            <v>7.0500000000000043</v>
          </cell>
          <cell r="AM432">
            <v>0</v>
          </cell>
          <cell r="AN432">
            <v>7.0500000000000043</v>
          </cell>
          <cell r="AO432">
            <v>0</v>
          </cell>
          <cell r="AP432">
            <v>7.0500000000000043</v>
          </cell>
          <cell r="AQ432" t="str">
            <v>US_27417</v>
          </cell>
          <cell r="AR432">
            <v>0</v>
          </cell>
          <cell r="AS432">
            <v>144</v>
          </cell>
          <cell r="AU432">
            <v>144</v>
          </cell>
          <cell r="AV432">
            <v>0</v>
          </cell>
          <cell r="AW432">
            <v>1015.2000000000006</v>
          </cell>
          <cell r="AX432">
            <v>1015.2000000000006</v>
          </cell>
          <cell r="AY432">
            <v>0</v>
          </cell>
          <cell r="AZ432">
            <v>1015.2000000000006</v>
          </cell>
          <cell r="BA432">
            <v>1015.2000000000006</v>
          </cell>
          <cell r="BB432">
            <v>1015.2000000000006</v>
          </cell>
          <cell r="BC432">
            <v>116.66666666666667</v>
          </cell>
          <cell r="BD432">
            <v>1786.7520000000011</v>
          </cell>
          <cell r="BE432">
            <v>1786.7520000000011</v>
          </cell>
          <cell r="BG432">
            <v>1015.2000000000006</v>
          </cell>
          <cell r="BI432">
            <v>1015.2000000000006</v>
          </cell>
          <cell r="BJ432">
            <v>9792</v>
          </cell>
          <cell r="BK432">
            <v>9792</v>
          </cell>
          <cell r="BL432">
            <v>7632</v>
          </cell>
          <cell r="BM432">
            <v>7.9499999999999993</v>
          </cell>
          <cell r="BN432">
            <v>0</v>
          </cell>
          <cell r="BO432">
            <v>1144.8</v>
          </cell>
          <cell r="BP432">
            <v>8776.7999999999993</v>
          </cell>
          <cell r="BQ432">
            <v>7.9499999999999993</v>
          </cell>
          <cell r="BR432">
            <v>1015.2</v>
          </cell>
          <cell r="BT432">
            <v>1</v>
          </cell>
          <cell r="BU432">
            <v>1</v>
          </cell>
          <cell r="BV432" t="str">
            <v>Y</v>
          </cell>
          <cell r="BW432">
            <v>3573.5040000000022</v>
          </cell>
          <cell r="BX432">
            <v>3573.5040000000022</v>
          </cell>
          <cell r="BY432">
            <v>2026</v>
          </cell>
          <cell r="BZ432" t="str">
            <v>-</v>
          </cell>
          <cell r="CA432" t="str">
            <v>-</v>
          </cell>
        </row>
        <row r="433">
          <cell r="A433" t="str">
            <v>Lucknow</v>
          </cell>
          <cell r="B433" t="str">
            <v>Chennai</v>
          </cell>
          <cell r="C433" t="str">
            <v>Mid Level</v>
          </cell>
          <cell r="D433" t="str">
            <v>Vinoth L</v>
          </cell>
          <cell r="E433" t="str">
            <v>-</v>
          </cell>
          <cell r="F433" t="str">
            <v>Non-MSP</v>
          </cell>
          <cell r="H433" t="str">
            <v>Dinesh Kumar Veluchamy</v>
          </cell>
          <cell r="J433" t="str">
            <v>ACH</v>
          </cell>
          <cell r="L433" t="str">
            <v>New</v>
          </cell>
          <cell r="M433">
            <v>46083</v>
          </cell>
          <cell r="N433">
            <v>119</v>
          </cell>
          <cell r="P433">
            <v>46448</v>
          </cell>
          <cell r="Q433" t="str">
            <v>PLC-4731</v>
          </cell>
          <cell r="R433" t="str">
            <v>Neha Sehgal</v>
          </cell>
          <cell r="S433" t="str">
            <v>Individual</v>
          </cell>
          <cell r="T433" t="str">
            <v>W2</v>
          </cell>
          <cell r="U433" t="str">
            <v>Citius Tech</v>
          </cell>
          <cell r="V433">
            <v>53</v>
          </cell>
          <cell r="W433">
            <v>0</v>
          </cell>
          <cell r="X433" t="str">
            <v>USD</v>
          </cell>
          <cell r="Y433">
            <v>68</v>
          </cell>
          <cell r="Z433">
            <v>0</v>
          </cell>
          <cell r="AA433">
            <v>0</v>
          </cell>
          <cell r="AB433">
            <v>0</v>
          </cell>
          <cell r="AC433">
            <v>46127</v>
          </cell>
          <cell r="AD433">
            <v>22</v>
          </cell>
          <cell r="AE433">
            <v>46387</v>
          </cell>
          <cell r="AF433">
            <v>60.949999999999996</v>
          </cell>
          <cell r="AG433">
            <v>0</v>
          </cell>
          <cell r="AH433">
            <v>60.949999999999996</v>
          </cell>
          <cell r="AI433">
            <v>68</v>
          </cell>
          <cell r="AJ433">
            <v>0</v>
          </cell>
          <cell r="AK433">
            <v>0</v>
          </cell>
          <cell r="AL433">
            <v>7.0500000000000043</v>
          </cell>
          <cell r="AM433">
            <v>0</v>
          </cell>
          <cell r="AN433">
            <v>7.0500000000000043</v>
          </cell>
          <cell r="AO433">
            <v>0</v>
          </cell>
          <cell r="AP433">
            <v>7.0500000000000043</v>
          </cell>
          <cell r="AQ433" t="str">
            <v>US_27648</v>
          </cell>
          <cell r="AR433">
            <v>0</v>
          </cell>
          <cell r="AS433">
            <v>176</v>
          </cell>
          <cell r="AU433">
            <v>176</v>
          </cell>
          <cell r="AV433">
            <v>0</v>
          </cell>
          <cell r="AW433">
            <v>1240.8000000000006</v>
          </cell>
          <cell r="AX433">
            <v>1228.3920000000005</v>
          </cell>
          <cell r="AY433">
            <v>0</v>
          </cell>
          <cell r="AZ433">
            <v>1240.8000000000006</v>
          </cell>
          <cell r="BA433">
            <v>1228.3920000000005</v>
          </cell>
          <cell r="BB433">
            <v>1240.8000000000006</v>
          </cell>
          <cell r="BC433">
            <v>116.66666666666667</v>
          </cell>
          <cell r="BD433">
            <v>2161.9699200000009</v>
          </cell>
          <cell r="BE433">
            <v>2161.9699200000009</v>
          </cell>
          <cell r="BG433">
            <v>1228.3920000000005</v>
          </cell>
          <cell r="BI433">
            <v>1228.3920000000005</v>
          </cell>
          <cell r="BJ433">
            <v>11968</v>
          </cell>
          <cell r="BK433">
            <v>11968</v>
          </cell>
          <cell r="BL433">
            <v>9328</v>
          </cell>
          <cell r="BM433">
            <v>7.9499999999999993</v>
          </cell>
          <cell r="BN433">
            <v>0</v>
          </cell>
          <cell r="BO433">
            <v>1399.1999999999998</v>
          </cell>
          <cell r="BP433">
            <v>10727.2</v>
          </cell>
          <cell r="BQ433">
            <v>7.9499999999999993</v>
          </cell>
          <cell r="BR433">
            <v>1240.8000000000002</v>
          </cell>
          <cell r="BS433" t="str">
            <v>Y</v>
          </cell>
          <cell r="BT433">
            <v>2</v>
          </cell>
          <cell r="BU433">
            <v>1</v>
          </cell>
          <cell r="BV433" t="str">
            <v>Y</v>
          </cell>
          <cell r="BW433">
            <v>4323.9398400000018</v>
          </cell>
          <cell r="BX433">
            <v>4323.9398400000018</v>
          </cell>
          <cell r="BY433">
            <v>2026</v>
          </cell>
          <cell r="BZ433" t="str">
            <v>-</v>
          </cell>
          <cell r="CA433" t="str">
            <v>-</v>
          </cell>
        </row>
        <row r="434">
          <cell r="A434" t="str">
            <v>Lucknow</v>
          </cell>
          <cell r="B434" t="str">
            <v>Chennai</v>
          </cell>
          <cell r="C434" t="str">
            <v>Mid Level</v>
          </cell>
          <cell r="D434" t="str">
            <v>Vinoth L</v>
          </cell>
          <cell r="E434" t="str">
            <v>-</v>
          </cell>
          <cell r="F434" t="str">
            <v>Non-MSP</v>
          </cell>
          <cell r="H434" t="str">
            <v>Dinesh Kumar Veluchamy</v>
          </cell>
          <cell r="J434" t="str">
            <v>ACH</v>
          </cell>
          <cell r="L434" t="str">
            <v>New</v>
          </cell>
          <cell r="M434">
            <v>46083</v>
          </cell>
          <cell r="N434">
            <v>119</v>
          </cell>
          <cell r="P434">
            <v>46448</v>
          </cell>
          <cell r="Q434" t="str">
            <v>PLC-4731</v>
          </cell>
          <cell r="R434" t="str">
            <v>Neha Sehgal</v>
          </cell>
          <cell r="S434" t="str">
            <v>Individual</v>
          </cell>
          <cell r="T434" t="str">
            <v>W2</v>
          </cell>
          <cell r="U434" t="str">
            <v>Citius Tech</v>
          </cell>
          <cell r="V434">
            <v>53</v>
          </cell>
          <cell r="W434">
            <v>0</v>
          </cell>
          <cell r="X434" t="str">
            <v>USD</v>
          </cell>
          <cell r="Y434">
            <v>68</v>
          </cell>
          <cell r="Z434">
            <v>0</v>
          </cell>
          <cell r="AA434">
            <v>0</v>
          </cell>
          <cell r="AB434">
            <v>0</v>
          </cell>
          <cell r="AC434">
            <v>46157</v>
          </cell>
          <cell r="AD434">
            <v>22</v>
          </cell>
          <cell r="AE434">
            <v>46387</v>
          </cell>
          <cell r="AF434">
            <v>60.949999999999996</v>
          </cell>
          <cell r="AG434">
            <v>0</v>
          </cell>
          <cell r="AH434">
            <v>60.949999999999996</v>
          </cell>
          <cell r="AI434">
            <v>68</v>
          </cell>
          <cell r="AJ434">
            <v>0</v>
          </cell>
          <cell r="AK434">
            <v>0</v>
          </cell>
          <cell r="AL434">
            <v>7.0500000000000043</v>
          </cell>
          <cell r="AM434">
            <v>0</v>
          </cell>
          <cell r="AN434">
            <v>7.0500000000000043</v>
          </cell>
          <cell r="AO434">
            <v>0</v>
          </cell>
          <cell r="AP434">
            <v>7.0500000000000043</v>
          </cell>
          <cell r="AQ434" t="str">
            <v>US_27929</v>
          </cell>
          <cell r="AR434">
            <v>0</v>
          </cell>
          <cell r="AS434">
            <v>160</v>
          </cell>
          <cell r="AU434">
            <v>160</v>
          </cell>
          <cell r="AV434">
            <v>0</v>
          </cell>
          <cell r="AW434">
            <v>1128.0000000000007</v>
          </cell>
          <cell r="AX434">
            <v>1116.7200000000007</v>
          </cell>
          <cell r="AY434">
            <v>0</v>
          </cell>
          <cell r="AZ434">
            <v>1128.0000000000007</v>
          </cell>
          <cell r="BA434">
            <v>1116.7200000000007</v>
          </cell>
          <cell r="BB434">
            <v>1128.0000000000007</v>
          </cell>
          <cell r="BC434">
            <v>116.66666666666667</v>
          </cell>
          <cell r="BD434">
            <v>1965.4272000000012</v>
          </cell>
          <cell r="BE434">
            <v>1965.4272000000012</v>
          </cell>
          <cell r="BG434">
            <v>1116.7200000000007</v>
          </cell>
          <cell r="BI434">
            <v>1116.7200000000007</v>
          </cell>
          <cell r="BJ434">
            <v>10880</v>
          </cell>
          <cell r="BK434">
            <v>10880</v>
          </cell>
          <cell r="BL434">
            <v>8480</v>
          </cell>
          <cell r="BM434">
            <v>7.9499999999999993</v>
          </cell>
          <cell r="BN434">
            <v>0</v>
          </cell>
          <cell r="BO434">
            <v>1272</v>
          </cell>
          <cell r="BP434">
            <v>9752</v>
          </cell>
          <cell r="BQ434">
            <v>7.9499999999999993</v>
          </cell>
          <cell r="BR434">
            <v>1128</v>
          </cell>
          <cell r="BS434" t="str">
            <v>Y</v>
          </cell>
          <cell r="BT434">
            <v>2</v>
          </cell>
          <cell r="BU434">
            <v>1</v>
          </cell>
          <cell r="BV434" t="str">
            <v>Y</v>
          </cell>
          <cell r="BW434">
            <v>3930.8544000000024</v>
          </cell>
          <cell r="BX434">
            <v>3930.8544000000024</v>
          </cell>
          <cell r="BY434">
            <v>2026</v>
          </cell>
          <cell r="BZ434" t="str">
            <v>-</v>
          </cell>
          <cell r="CA434" t="str">
            <v>-</v>
          </cell>
        </row>
        <row r="435">
          <cell r="A435" t="str">
            <v>Lucknow</v>
          </cell>
          <cell r="B435" t="str">
            <v>Mavericks</v>
          </cell>
          <cell r="C435" t="str">
            <v>Mid Level</v>
          </cell>
          <cell r="D435" t="str">
            <v>Mohammad Fakhrul</v>
          </cell>
          <cell r="E435" t="str">
            <v>-</v>
          </cell>
          <cell r="F435" t="str">
            <v>MSP</v>
          </cell>
          <cell r="H435" t="str">
            <v>Pass Through/MSP</v>
          </cell>
          <cell r="L435" t="str">
            <v>New</v>
          </cell>
          <cell r="M435">
            <v>46082</v>
          </cell>
          <cell r="N435">
            <v>120</v>
          </cell>
          <cell r="P435">
            <v>46447</v>
          </cell>
          <cell r="Q435" t="str">
            <v>PLC-Passthrough</v>
          </cell>
          <cell r="R435" t="str">
            <v>Neha Sikarwar</v>
          </cell>
          <cell r="S435" t="str">
            <v>Individual</v>
          </cell>
          <cell r="T435" t="str">
            <v>C2C</v>
          </cell>
          <cell r="U435" t="str">
            <v>Cigniti</v>
          </cell>
          <cell r="V435">
            <v>60</v>
          </cell>
          <cell r="W435">
            <v>0</v>
          </cell>
          <cell r="X435" t="str">
            <v>USD</v>
          </cell>
          <cell r="Y435">
            <v>60</v>
          </cell>
          <cell r="Z435">
            <v>0</v>
          </cell>
          <cell r="AA435">
            <v>0</v>
          </cell>
          <cell r="AB435">
            <v>0</v>
          </cell>
          <cell r="AC435">
            <v>46096</v>
          </cell>
          <cell r="AD435">
            <v>22</v>
          </cell>
          <cell r="AE435">
            <v>46387</v>
          </cell>
          <cell r="AF435">
            <v>60</v>
          </cell>
          <cell r="AG435">
            <v>0</v>
          </cell>
          <cell r="AH435">
            <v>60</v>
          </cell>
          <cell r="AI435">
            <v>60</v>
          </cell>
          <cell r="AJ435">
            <v>0</v>
          </cell>
          <cell r="AK435">
            <v>0</v>
          </cell>
          <cell r="AL435">
            <v>0</v>
          </cell>
          <cell r="AM435">
            <v>0</v>
          </cell>
          <cell r="AN435">
            <v>0</v>
          </cell>
          <cell r="AO435">
            <v>0</v>
          </cell>
          <cell r="AP435">
            <v>0</v>
          </cell>
          <cell r="AQ435" t="str">
            <v>US_CMSP_00551</v>
          </cell>
          <cell r="AR435">
            <v>0</v>
          </cell>
          <cell r="AS435">
            <v>168</v>
          </cell>
          <cell r="AU435">
            <v>168</v>
          </cell>
          <cell r="AV435">
            <v>0</v>
          </cell>
          <cell r="AW435">
            <v>0</v>
          </cell>
          <cell r="AX435">
            <v>0</v>
          </cell>
          <cell r="AY435">
            <v>0</v>
          </cell>
          <cell r="AZ435">
            <v>0</v>
          </cell>
          <cell r="BA435">
            <v>0</v>
          </cell>
          <cell r="BB435">
            <v>0</v>
          </cell>
          <cell r="BC435">
            <v>0</v>
          </cell>
          <cell r="BD435">
            <v>0</v>
          </cell>
          <cell r="BE435">
            <v>0</v>
          </cell>
          <cell r="BG435">
            <v>0</v>
          </cell>
          <cell r="BI435">
            <v>0</v>
          </cell>
          <cell r="BJ435">
            <v>10080</v>
          </cell>
          <cell r="BK435">
            <v>10080</v>
          </cell>
          <cell r="BL435">
            <v>10080</v>
          </cell>
          <cell r="BM435">
            <v>0</v>
          </cell>
          <cell r="BN435">
            <v>0</v>
          </cell>
          <cell r="BO435">
            <v>0</v>
          </cell>
          <cell r="BP435">
            <v>10080</v>
          </cell>
          <cell r="BQ435">
            <v>0</v>
          </cell>
          <cell r="BR435">
            <v>0</v>
          </cell>
          <cell r="BS435" t="str">
            <v>Y</v>
          </cell>
          <cell r="BT435">
            <v>1</v>
          </cell>
          <cell r="BU435">
            <v>1</v>
          </cell>
          <cell r="BV435" t="str">
            <v>N</v>
          </cell>
          <cell r="BW435">
            <v>0</v>
          </cell>
          <cell r="BX435">
            <v>0</v>
          </cell>
          <cell r="BY435">
            <v>2026</v>
          </cell>
          <cell r="BZ435" t="str">
            <v>-</v>
          </cell>
          <cell r="CA435" t="str">
            <v>-</v>
          </cell>
        </row>
        <row r="436">
          <cell r="A436" t="str">
            <v>Lucknow</v>
          </cell>
          <cell r="B436" t="str">
            <v>Mavericks</v>
          </cell>
          <cell r="C436" t="str">
            <v>Mid Level</v>
          </cell>
          <cell r="D436" t="str">
            <v>Mohammad Fakhrul</v>
          </cell>
          <cell r="E436" t="str">
            <v>-</v>
          </cell>
          <cell r="F436" t="str">
            <v>MSP</v>
          </cell>
          <cell r="H436" t="str">
            <v>Pass Through/MSP</v>
          </cell>
          <cell r="J436" t="str">
            <v>ACH</v>
          </cell>
          <cell r="L436" t="str">
            <v>New</v>
          </cell>
          <cell r="M436">
            <v>46082</v>
          </cell>
          <cell r="N436">
            <v>120</v>
          </cell>
          <cell r="P436">
            <v>46447</v>
          </cell>
          <cell r="Q436" t="str">
            <v>PLC-Passthrough</v>
          </cell>
          <cell r="R436" t="str">
            <v>Neha Sikarwar</v>
          </cell>
          <cell r="S436" t="str">
            <v>Individual</v>
          </cell>
          <cell r="T436" t="str">
            <v>C2C</v>
          </cell>
          <cell r="U436" t="str">
            <v>Cigniti</v>
          </cell>
          <cell r="V436">
            <v>60</v>
          </cell>
          <cell r="W436">
            <v>0</v>
          </cell>
          <cell r="X436" t="str">
            <v>USD</v>
          </cell>
          <cell r="Y436">
            <v>60</v>
          </cell>
          <cell r="Z436">
            <v>0</v>
          </cell>
          <cell r="AA436">
            <v>0</v>
          </cell>
          <cell r="AB436">
            <v>0</v>
          </cell>
          <cell r="AC436">
            <v>46127</v>
          </cell>
          <cell r="AD436">
            <v>22</v>
          </cell>
          <cell r="AE436">
            <v>46387</v>
          </cell>
          <cell r="AF436">
            <v>60</v>
          </cell>
          <cell r="AG436">
            <v>0</v>
          </cell>
          <cell r="AH436">
            <v>60</v>
          </cell>
          <cell r="AI436">
            <v>60</v>
          </cell>
          <cell r="AJ436">
            <v>0</v>
          </cell>
          <cell r="AK436">
            <v>0</v>
          </cell>
          <cell r="AL436">
            <v>0</v>
          </cell>
          <cell r="AM436">
            <v>0</v>
          </cell>
          <cell r="AN436">
            <v>0</v>
          </cell>
          <cell r="AO436">
            <v>0</v>
          </cell>
          <cell r="AP436">
            <v>0</v>
          </cell>
          <cell r="AQ436" t="str">
            <v>US_CMSP_00698</v>
          </cell>
          <cell r="AR436">
            <v>0</v>
          </cell>
          <cell r="AS436">
            <v>176</v>
          </cell>
          <cell r="AU436">
            <v>176</v>
          </cell>
          <cell r="AV436">
            <v>0</v>
          </cell>
          <cell r="AW436">
            <v>0</v>
          </cell>
          <cell r="AX436">
            <v>0</v>
          </cell>
          <cell r="AY436">
            <v>0</v>
          </cell>
          <cell r="AZ436">
            <v>0</v>
          </cell>
          <cell r="BA436">
            <v>0</v>
          </cell>
          <cell r="BB436">
            <v>0</v>
          </cell>
          <cell r="BC436">
            <v>0</v>
          </cell>
          <cell r="BD436">
            <v>0</v>
          </cell>
          <cell r="BE436">
            <v>0</v>
          </cell>
          <cell r="BG436">
            <v>0</v>
          </cell>
          <cell r="BI436">
            <v>0</v>
          </cell>
          <cell r="BJ436">
            <v>10560</v>
          </cell>
          <cell r="BK436">
            <v>10560</v>
          </cell>
          <cell r="BL436">
            <v>10560</v>
          </cell>
          <cell r="BM436">
            <v>0</v>
          </cell>
          <cell r="BN436">
            <v>0</v>
          </cell>
          <cell r="BO436">
            <v>0</v>
          </cell>
          <cell r="BP436">
            <v>10560</v>
          </cell>
          <cell r="BQ436">
            <v>0</v>
          </cell>
          <cell r="BR436">
            <v>0</v>
          </cell>
          <cell r="BT436">
            <v>2</v>
          </cell>
          <cell r="BU436">
            <v>1</v>
          </cell>
          <cell r="BV436" t="str">
            <v>N</v>
          </cell>
          <cell r="BW436">
            <v>0</v>
          </cell>
          <cell r="BX436">
            <v>0</v>
          </cell>
          <cell r="BY436">
            <v>2026</v>
          </cell>
          <cell r="BZ436" t="str">
            <v>-</v>
          </cell>
          <cell r="CA436" t="str">
            <v>-</v>
          </cell>
        </row>
        <row r="437">
          <cell r="A437" t="str">
            <v>Lucknow</v>
          </cell>
          <cell r="B437" t="str">
            <v>Mavericks</v>
          </cell>
          <cell r="C437" t="str">
            <v>Mid Level</v>
          </cell>
          <cell r="D437" t="str">
            <v>Mohammad Fakhrul</v>
          </cell>
          <cell r="E437" t="str">
            <v>-</v>
          </cell>
          <cell r="F437" t="str">
            <v>MSP</v>
          </cell>
          <cell r="H437" t="str">
            <v>Pass Through/MSP</v>
          </cell>
          <cell r="J437" t="str">
            <v>ACH</v>
          </cell>
          <cell r="L437" t="str">
            <v>New</v>
          </cell>
          <cell r="M437">
            <v>46082</v>
          </cell>
          <cell r="N437">
            <v>120</v>
          </cell>
          <cell r="P437">
            <v>46447</v>
          </cell>
          <cell r="Q437" t="str">
            <v>PLC-Passthrough</v>
          </cell>
          <cell r="R437" t="str">
            <v>Neha Sikarwar</v>
          </cell>
          <cell r="S437" t="str">
            <v>Individual</v>
          </cell>
          <cell r="T437" t="str">
            <v>C2C</v>
          </cell>
          <cell r="U437" t="str">
            <v>Cigniti</v>
          </cell>
          <cell r="V437">
            <v>60</v>
          </cell>
          <cell r="W437">
            <v>0</v>
          </cell>
          <cell r="X437" t="str">
            <v>USD</v>
          </cell>
          <cell r="Y437">
            <v>60</v>
          </cell>
          <cell r="Z437">
            <v>0</v>
          </cell>
          <cell r="AA437">
            <v>0</v>
          </cell>
          <cell r="AB437">
            <v>0</v>
          </cell>
          <cell r="AC437">
            <v>46157</v>
          </cell>
          <cell r="AD437">
            <v>22</v>
          </cell>
          <cell r="AE437">
            <v>46387</v>
          </cell>
          <cell r="AF437">
            <v>60</v>
          </cell>
          <cell r="AG437">
            <v>0</v>
          </cell>
          <cell r="AH437">
            <v>60</v>
          </cell>
          <cell r="AI437">
            <v>60</v>
          </cell>
          <cell r="AJ437">
            <v>0</v>
          </cell>
          <cell r="AK437">
            <v>0</v>
          </cell>
          <cell r="AL437">
            <v>0</v>
          </cell>
          <cell r="AM437">
            <v>0</v>
          </cell>
          <cell r="AN437">
            <v>0</v>
          </cell>
          <cell r="AO437">
            <v>0</v>
          </cell>
          <cell r="AP437">
            <v>0</v>
          </cell>
          <cell r="AQ437" t="str">
            <v>US_CMSP_00858</v>
          </cell>
          <cell r="AR437">
            <v>0</v>
          </cell>
          <cell r="AS437">
            <v>136</v>
          </cell>
          <cell r="AU437">
            <v>136</v>
          </cell>
          <cell r="AV437">
            <v>0</v>
          </cell>
          <cell r="AW437">
            <v>0</v>
          </cell>
          <cell r="AX437">
            <v>0</v>
          </cell>
          <cell r="AY437">
            <v>0</v>
          </cell>
          <cell r="AZ437">
            <v>0</v>
          </cell>
          <cell r="BA437">
            <v>0</v>
          </cell>
          <cell r="BB437">
            <v>0</v>
          </cell>
          <cell r="BC437">
            <v>0</v>
          </cell>
          <cell r="BD437">
            <v>0</v>
          </cell>
          <cell r="BE437">
            <v>0</v>
          </cell>
          <cell r="BG437">
            <v>0</v>
          </cell>
          <cell r="BI437">
            <v>0</v>
          </cell>
          <cell r="BJ437">
            <v>8160</v>
          </cell>
          <cell r="BK437">
            <v>8160</v>
          </cell>
          <cell r="BL437">
            <v>8160</v>
          </cell>
          <cell r="BM437">
            <v>0</v>
          </cell>
          <cell r="BN437">
            <v>0</v>
          </cell>
          <cell r="BO437">
            <v>0</v>
          </cell>
          <cell r="BP437">
            <v>8160</v>
          </cell>
          <cell r="BQ437">
            <v>0</v>
          </cell>
          <cell r="BR437">
            <v>0</v>
          </cell>
          <cell r="BT437">
            <v>2</v>
          </cell>
          <cell r="BU437">
            <v>1</v>
          </cell>
          <cell r="BV437" t="str">
            <v>N</v>
          </cell>
          <cell r="BW437">
            <v>0</v>
          </cell>
          <cell r="BX437">
            <v>0</v>
          </cell>
          <cell r="BY437">
            <v>2026</v>
          </cell>
          <cell r="BZ437" t="str">
            <v>-</v>
          </cell>
          <cell r="CA437" t="str">
            <v>-</v>
          </cell>
        </row>
        <row r="438">
          <cell r="A438" t="str">
            <v>Lucknow</v>
          </cell>
          <cell r="B438" t="str">
            <v>Mavericks</v>
          </cell>
          <cell r="C438" t="str">
            <v>Mid Level</v>
          </cell>
          <cell r="D438" t="str">
            <v>Mohammad Fakhrul</v>
          </cell>
          <cell r="F438" t="str">
            <v>MSP</v>
          </cell>
          <cell r="H438" t="str">
            <v>Pass Through</v>
          </cell>
          <cell r="J438" t="str">
            <v>ACH</v>
          </cell>
          <cell r="L438" t="str">
            <v>New</v>
          </cell>
          <cell r="M438">
            <v>46163</v>
          </cell>
          <cell r="N438">
            <v>39</v>
          </cell>
          <cell r="P438">
            <v>46528</v>
          </cell>
          <cell r="R438" t="str">
            <v>Netaji Venkatram Reddy Bandi</v>
          </cell>
          <cell r="S438" t="str">
            <v>Individual</v>
          </cell>
          <cell r="T438" t="str">
            <v>C2C</v>
          </cell>
          <cell r="U438" t="str">
            <v>CoForge</v>
          </cell>
          <cell r="V438">
            <v>75</v>
          </cell>
          <cell r="W438">
            <v>0</v>
          </cell>
          <cell r="X438" t="str">
            <v>USD</v>
          </cell>
          <cell r="Y438">
            <v>76</v>
          </cell>
          <cell r="Z438">
            <v>0</v>
          </cell>
          <cell r="AA438">
            <v>0</v>
          </cell>
          <cell r="AB438">
            <v>0</v>
          </cell>
          <cell r="AC438">
            <v>46157</v>
          </cell>
          <cell r="AD438">
            <v>7</v>
          </cell>
          <cell r="AE438">
            <v>46387</v>
          </cell>
          <cell r="AF438">
            <v>75</v>
          </cell>
          <cell r="AG438">
            <v>0</v>
          </cell>
          <cell r="AH438">
            <v>75</v>
          </cell>
          <cell r="AI438">
            <v>76</v>
          </cell>
          <cell r="AJ438">
            <v>0</v>
          </cell>
          <cell r="AK438">
            <v>0</v>
          </cell>
          <cell r="AL438">
            <v>1</v>
          </cell>
          <cell r="AM438">
            <v>0</v>
          </cell>
          <cell r="AN438">
            <v>1</v>
          </cell>
          <cell r="AO438">
            <v>0</v>
          </cell>
          <cell r="AP438">
            <v>1</v>
          </cell>
          <cell r="AU438">
            <v>56</v>
          </cell>
          <cell r="BB438">
            <v>56</v>
          </cell>
          <cell r="BC438">
            <v>0</v>
          </cell>
          <cell r="BD438">
            <v>0</v>
          </cell>
          <cell r="BE438">
            <v>0</v>
          </cell>
          <cell r="BI438">
            <v>0</v>
          </cell>
          <cell r="BK438">
            <v>4256</v>
          </cell>
          <cell r="BL438">
            <v>4200</v>
          </cell>
          <cell r="BM438">
            <v>0</v>
          </cell>
          <cell r="BN438">
            <v>0</v>
          </cell>
          <cell r="BO438">
            <v>0</v>
          </cell>
          <cell r="BP438">
            <v>4200</v>
          </cell>
          <cell r="BQ438">
            <v>0</v>
          </cell>
          <cell r="BR438">
            <v>56</v>
          </cell>
          <cell r="BT438">
            <v>2</v>
          </cell>
          <cell r="BU438">
            <v>2</v>
          </cell>
          <cell r="BV438" t="str">
            <v>Y</v>
          </cell>
          <cell r="BW438">
            <v>0</v>
          </cell>
          <cell r="BX438">
            <v>0</v>
          </cell>
          <cell r="BY438">
            <v>2026</v>
          </cell>
          <cell r="BZ438" t="str">
            <v>-</v>
          </cell>
          <cell r="CA438" t="str">
            <v>-</v>
          </cell>
        </row>
        <row r="439">
          <cell r="A439" t="str">
            <v>Lucknow</v>
          </cell>
          <cell r="B439" t="str">
            <v>Mavericks</v>
          </cell>
          <cell r="C439" t="str">
            <v>Mid Level</v>
          </cell>
          <cell r="D439" t="str">
            <v>Kashif Nabi</v>
          </cell>
          <cell r="E439" t="str">
            <v>Mohammad Tariq</v>
          </cell>
          <cell r="F439" t="str">
            <v>Non-MSP</v>
          </cell>
          <cell r="H439" t="str">
            <v>Syed Ausaf Ali</v>
          </cell>
          <cell r="L439" t="str">
            <v>New</v>
          </cell>
          <cell r="M439">
            <v>46077</v>
          </cell>
          <cell r="N439">
            <v>125</v>
          </cell>
          <cell r="P439">
            <v>46442</v>
          </cell>
          <cell r="Q439" t="str">
            <v>PLC-4714</v>
          </cell>
          <cell r="R439" t="str">
            <v>Nikhil Gopishetti</v>
          </cell>
          <cell r="S439" t="str">
            <v>Individual</v>
          </cell>
          <cell r="T439" t="str">
            <v>C2C</v>
          </cell>
          <cell r="U439" t="str">
            <v>CoForge</v>
          </cell>
          <cell r="V439">
            <v>60</v>
          </cell>
          <cell r="W439">
            <v>0</v>
          </cell>
          <cell r="X439" t="str">
            <v>USD</v>
          </cell>
          <cell r="Y439">
            <v>69</v>
          </cell>
          <cell r="Z439">
            <v>0</v>
          </cell>
          <cell r="AA439">
            <v>0</v>
          </cell>
          <cell r="AB439">
            <v>0</v>
          </cell>
          <cell r="AC439">
            <v>46068</v>
          </cell>
          <cell r="AD439">
            <v>4</v>
          </cell>
          <cell r="AE439">
            <v>46387</v>
          </cell>
          <cell r="AF439">
            <v>60</v>
          </cell>
          <cell r="AG439">
            <v>0</v>
          </cell>
          <cell r="AH439">
            <v>60</v>
          </cell>
          <cell r="AI439">
            <v>69</v>
          </cell>
          <cell r="AJ439">
            <v>0</v>
          </cell>
          <cell r="AK439">
            <v>0</v>
          </cell>
          <cell r="AL439">
            <v>9</v>
          </cell>
          <cell r="AM439">
            <v>0</v>
          </cell>
          <cell r="AN439">
            <v>9</v>
          </cell>
          <cell r="AO439">
            <v>0</v>
          </cell>
          <cell r="AP439">
            <v>9</v>
          </cell>
          <cell r="AQ439" t="str">
            <v>US_27189</v>
          </cell>
          <cell r="AR439">
            <v>0</v>
          </cell>
          <cell r="AS439">
            <v>32</v>
          </cell>
          <cell r="AU439">
            <v>32</v>
          </cell>
          <cell r="AV439">
            <v>0</v>
          </cell>
          <cell r="AW439">
            <v>288</v>
          </cell>
          <cell r="AX439">
            <v>288</v>
          </cell>
          <cell r="AY439">
            <v>0</v>
          </cell>
          <cell r="AZ439">
            <v>288</v>
          </cell>
          <cell r="BA439">
            <v>288</v>
          </cell>
          <cell r="BB439">
            <v>288</v>
          </cell>
          <cell r="BC439">
            <v>0</v>
          </cell>
          <cell r="BD439">
            <v>0</v>
          </cell>
          <cell r="BE439">
            <v>0</v>
          </cell>
          <cell r="BG439">
            <v>288</v>
          </cell>
          <cell r="BI439">
            <v>288</v>
          </cell>
          <cell r="BJ439">
            <v>2208</v>
          </cell>
          <cell r="BK439">
            <v>2208</v>
          </cell>
          <cell r="BL439">
            <v>1920</v>
          </cell>
          <cell r="BM439">
            <v>0</v>
          </cell>
          <cell r="BN439">
            <v>0</v>
          </cell>
          <cell r="BO439">
            <v>0</v>
          </cell>
          <cell r="BP439">
            <v>1920</v>
          </cell>
          <cell r="BQ439">
            <v>0</v>
          </cell>
          <cell r="BR439">
            <v>288</v>
          </cell>
          <cell r="BT439">
            <v>1</v>
          </cell>
          <cell r="BU439">
            <v>1</v>
          </cell>
          <cell r="BV439" t="str">
            <v>N</v>
          </cell>
          <cell r="BW439">
            <v>0</v>
          </cell>
          <cell r="BX439">
            <v>0</v>
          </cell>
          <cell r="BY439">
            <v>2026</v>
          </cell>
          <cell r="BZ439" t="str">
            <v>-</v>
          </cell>
          <cell r="CA439" t="str">
            <v>-</v>
          </cell>
        </row>
        <row r="440">
          <cell r="A440" t="str">
            <v>Lucknow</v>
          </cell>
          <cell r="B440" t="str">
            <v>Mavericks</v>
          </cell>
          <cell r="C440" t="str">
            <v>Mid Level</v>
          </cell>
          <cell r="D440" t="str">
            <v>Kashif Nabi</v>
          </cell>
          <cell r="E440" t="str">
            <v>Mohammad Tariq</v>
          </cell>
          <cell r="F440" t="str">
            <v>Non-MSP</v>
          </cell>
          <cell r="H440" t="str">
            <v>Syed Ausaf Ali</v>
          </cell>
          <cell r="L440" t="str">
            <v>New</v>
          </cell>
          <cell r="M440">
            <v>46077</v>
          </cell>
          <cell r="N440">
            <v>125</v>
          </cell>
          <cell r="P440">
            <v>46442</v>
          </cell>
          <cell r="Q440" t="str">
            <v>PLC-4714</v>
          </cell>
          <cell r="R440" t="str">
            <v>Nikhil Gopishetti</v>
          </cell>
          <cell r="S440" t="str">
            <v>Individual</v>
          </cell>
          <cell r="T440" t="str">
            <v>C2C</v>
          </cell>
          <cell r="U440" t="str">
            <v>CoForge</v>
          </cell>
          <cell r="V440">
            <v>60</v>
          </cell>
          <cell r="W440">
            <v>0</v>
          </cell>
          <cell r="X440" t="str">
            <v>USD</v>
          </cell>
          <cell r="Y440">
            <v>69</v>
          </cell>
          <cell r="Z440">
            <v>0</v>
          </cell>
          <cell r="AA440">
            <v>0</v>
          </cell>
          <cell r="AB440">
            <v>0</v>
          </cell>
          <cell r="AC440">
            <v>46096</v>
          </cell>
          <cell r="AD440">
            <v>22</v>
          </cell>
          <cell r="AE440">
            <v>46387</v>
          </cell>
          <cell r="AF440">
            <v>60</v>
          </cell>
          <cell r="AG440">
            <v>0</v>
          </cell>
          <cell r="AH440">
            <v>60</v>
          </cell>
          <cell r="AI440">
            <v>69</v>
          </cell>
          <cell r="AJ440">
            <v>0</v>
          </cell>
          <cell r="AK440">
            <v>0</v>
          </cell>
          <cell r="AL440">
            <v>9</v>
          </cell>
          <cell r="AM440">
            <v>0</v>
          </cell>
          <cell r="AN440">
            <v>9</v>
          </cell>
          <cell r="AO440">
            <v>0</v>
          </cell>
          <cell r="AP440">
            <v>9</v>
          </cell>
          <cell r="AQ440" t="str">
            <v>US_27402</v>
          </cell>
          <cell r="AR440">
            <v>0</v>
          </cell>
          <cell r="AS440">
            <v>176</v>
          </cell>
          <cell r="AU440">
            <v>176</v>
          </cell>
          <cell r="AV440">
            <v>0</v>
          </cell>
          <cell r="AW440">
            <v>1584</v>
          </cell>
          <cell r="AX440">
            <v>1584</v>
          </cell>
          <cell r="AY440">
            <v>0</v>
          </cell>
          <cell r="AZ440">
            <v>1584</v>
          </cell>
          <cell r="BA440">
            <v>1584</v>
          </cell>
          <cell r="BB440">
            <v>1584</v>
          </cell>
          <cell r="BC440">
            <v>0</v>
          </cell>
          <cell r="BD440">
            <v>0</v>
          </cell>
          <cell r="BE440">
            <v>0</v>
          </cell>
          <cell r="BG440">
            <v>1584</v>
          </cell>
          <cell r="BI440">
            <v>1584</v>
          </cell>
          <cell r="BJ440">
            <v>12144</v>
          </cell>
          <cell r="BK440">
            <v>12144</v>
          </cell>
          <cell r="BL440">
            <v>10560</v>
          </cell>
          <cell r="BM440">
            <v>0</v>
          </cell>
          <cell r="BN440">
            <v>0</v>
          </cell>
          <cell r="BO440">
            <v>0</v>
          </cell>
          <cell r="BP440">
            <v>10560</v>
          </cell>
          <cell r="BQ440">
            <v>0</v>
          </cell>
          <cell r="BR440">
            <v>1584</v>
          </cell>
          <cell r="BT440">
            <v>1</v>
          </cell>
          <cell r="BU440">
            <v>1</v>
          </cell>
          <cell r="BV440" t="str">
            <v>N</v>
          </cell>
          <cell r="BW440">
            <v>0</v>
          </cell>
          <cell r="BX440">
            <v>0</v>
          </cell>
          <cell r="BY440">
            <v>2026</v>
          </cell>
          <cell r="BZ440" t="str">
            <v>-</v>
          </cell>
          <cell r="CA440" t="str">
            <v>-</v>
          </cell>
        </row>
        <row r="441">
          <cell r="A441" t="str">
            <v>Lucknow</v>
          </cell>
          <cell r="B441" t="str">
            <v>Mavericks</v>
          </cell>
          <cell r="C441" t="str">
            <v>Mid Level</v>
          </cell>
          <cell r="D441" t="str">
            <v>Kashif Nabi</v>
          </cell>
          <cell r="E441" t="str">
            <v>Mohammad Tariq</v>
          </cell>
          <cell r="F441" t="str">
            <v>Non-MSP</v>
          </cell>
          <cell r="H441" t="str">
            <v>Syed Ausaf Ali</v>
          </cell>
          <cell r="J441" t="str">
            <v>ACH</v>
          </cell>
          <cell r="L441" t="str">
            <v>New</v>
          </cell>
          <cell r="M441">
            <v>46077</v>
          </cell>
          <cell r="N441">
            <v>125</v>
          </cell>
          <cell r="P441">
            <v>46442</v>
          </cell>
          <cell r="Q441" t="str">
            <v>PLC-4714</v>
          </cell>
          <cell r="R441" t="str">
            <v>Nikhil Gopishetti</v>
          </cell>
          <cell r="S441" t="str">
            <v>Individual</v>
          </cell>
          <cell r="T441" t="str">
            <v>C2C</v>
          </cell>
          <cell r="U441" t="str">
            <v>CoForge</v>
          </cell>
          <cell r="V441">
            <v>60</v>
          </cell>
          <cell r="W441">
            <v>0</v>
          </cell>
          <cell r="X441" t="str">
            <v>USD</v>
          </cell>
          <cell r="Y441">
            <v>69</v>
          </cell>
          <cell r="Z441">
            <v>0</v>
          </cell>
          <cell r="AA441">
            <v>0</v>
          </cell>
          <cell r="AB441">
            <v>0</v>
          </cell>
          <cell r="AC441">
            <v>46127</v>
          </cell>
          <cell r="AD441">
            <v>22</v>
          </cell>
          <cell r="AE441">
            <v>46387</v>
          </cell>
          <cell r="AF441">
            <v>60</v>
          </cell>
          <cell r="AG441">
            <v>0</v>
          </cell>
          <cell r="AH441">
            <v>60</v>
          </cell>
          <cell r="AI441">
            <v>69</v>
          </cell>
          <cell r="AJ441">
            <v>0</v>
          </cell>
          <cell r="AK441">
            <v>0</v>
          </cell>
          <cell r="AL441">
            <v>9</v>
          </cell>
          <cell r="AM441">
            <v>0</v>
          </cell>
          <cell r="AN441">
            <v>9</v>
          </cell>
          <cell r="AO441">
            <v>0</v>
          </cell>
          <cell r="AP441">
            <v>9</v>
          </cell>
          <cell r="AQ441" t="str">
            <v>US_27635</v>
          </cell>
          <cell r="AR441">
            <v>0</v>
          </cell>
          <cell r="AS441">
            <v>176</v>
          </cell>
          <cell r="AU441">
            <v>176</v>
          </cell>
          <cell r="AV441">
            <v>0</v>
          </cell>
          <cell r="AW441">
            <v>1584</v>
          </cell>
          <cell r="AX441">
            <v>1568.16</v>
          </cell>
          <cell r="AY441">
            <v>0</v>
          </cell>
          <cell r="AZ441">
            <v>1584</v>
          </cell>
          <cell r="BA441">
            <v>1568.16</v>
          </cell>
          <cell r="BB441">
            <v>1584</v>
          </cell>
          <cell r="BC441">
            <v>0</v>
          </cell>
          <cell r="BD441">
            <v>0</v>
          </cell>
          <cell r="BE441">
            <v>0</v>
          </cell>
          <cell r="BG441">
            <v>1568.16</v>
          </cell>
          <cell r="BI441">
            <v>1568.16</v>
          </cell>
          <cell r="BJ441">
            <v>12144</v>
          </cell>
          <cell r="BK441">
            <v>12144</v>
          </cell>
          <cell r="BL441">
            <v>10560</v>
          </cell>
          <cell r="BM441">
            <v>0</v>
          </cell>
          <cell r="BN441">
            <v>0</v>
          </cell>
          <cell r="BO441">
            <v>0</v>
          </cell>
          <cell r="BP441">
            <v>10560</v>
          </cell>
          <cell r="BQ441">
            <v>0</v>
          </cell>
          <cell r="BR441">
            <v>1584</v>
          </cell>
          <cell r="BT441">
            <v>2</v>
          </cell>
          <cell r="BU441">
            <v>1</v>
          </cell>
          <cell r="BV441" t="str">
            <v>N</v>
          </cell>
          <cell r="BW441">
            <v>0</v>
          </cell>
          <cell r="BX441">
            <v>0</v>
          </cell>
          <cell r="BY441">
            <v>2026</v>
          </cell>
          <cell r="BZ441" t="str">
            <v>-</v>
          </cell>
          <cell r="CA441" t="str">
            <v>-</v>
          </cell>
        </row>
        <row r="442">
          <cell r="A442" t="str">
            <v>Lucknow</v>
          </cell>
          <cell r="B442" t="str">
            <v>Mavericks</v>
          </cell>
          <cell r="C442" t="str">
            <v>Mid Level</v>
          </cell>
          <cell r="D442" t="str">
            <v>Kashif Nabi</v>
          </cell>
          <cell r="E442" t="str">
            <v>Mohammad Tariq</v>
          </cell>
          <cell r="F442" t="str">
            <v>Non-MSP</v>
          </cell>
          <cell r="H442" t="str">
            <v>Syed Ausaf Ali</v>
          </cell>
          <cell r="J442" t="str">
            <v>ACH</v>
          </cell>
          <cell r="L442" t="str">
            <v>New</v>
          </cell>
          <cell r="M442">
            <v>46077</v>
          </cell>
          <cell r="N442">
            <v>125</v>
          </cell>
          <cell r="P442">
            <v>46442</v>
          </cell>
          <cell r="Q442" t="str">
            <v>PLC-4714</v>
          </cell>
          <cell r="R442" t="str">
            <v>Nikhil Gopishetti</v>
          </cell>
          <cell r="S442" t="str">
            <v>Individual</v>
          </cell>
          <cell r="T442" t="str">
            <v>C2C</v>
          </cell>
          <cell r="U442" t="str">
            <v>CoForge</v>
          </cell>
          <cell r="V442">
            <v>60</v>
          </cell>
          <cell r="W442">
            <v>0</v>
          </cell>
          <cell r="X442" t="str">
            <v>USD</v>
          </cell>
          <cell r="Y442">
            <v>69</v>
          </cell>
          <cell r="Z442">
            <v>0</v>
          </cell>
          <cell r="AA442">
            <v>0</v>
          </cell>
          <cell r="AB442">
            <v>0</v>
          </cell>
          <cell r="AC442">
            <v>46157</v>
          </cell>
          <cell r="AD442">
            <v>22</v>
          </cell>
          <cell r="AE442">
            <v>46387</v>
          </cell>
          <cell r="AF442">
            <v>60</v>
          </cell>
          <cell r="AG442">
            <v>0</v>
          </cell>
          <cell r="AH442">
            <v>60</v>
          </cell>
          <cell r="AI442">
            <v>69</v>
          </cell>
          <cell r="AJ442">
            <v>0</v>
          </cell>
          <cell r="AK442">
            <v>0</v>
          </cell>
          <cell r="AL442">
            <v>9</v>
          </cell>
          <cell r="AM442">
            <v>0</v>
          </cell>
          <cell r="AN442">
            <v>9</v>
          </cell>
          <cell r="AO442">
            <v>0</v>
          </cell>
          <cell r="AP442">
            <v>9</v>
          </cell>
          <cell r="AQ442" t="str">
            <v>US_27920</v>
          </cell>
          <cell r="AR442">
            <v>0</v>
          </cell>
          <cell r="AS442">
            <v>160</v>
          </cell>
          <cell r="AU442">
            <v>160</v>
          </cell>
          <cell r="AV442">
            <v>0</v>
          </cell>
          <cell r="AW442">
            <v>1440</v>
          </cell>
          <cell r="AX442">
            <v>1425.6</v>
          </cell>
          <cell r="AY442">
            <v>0</v>
          </cell>
          <cell r="AZ442">
            <v>1440</v>
          </cell>
          <cell r="BA442">
            <v>1425.6</v>
          </cell>
          <cell r="BB442">
            <v>1440</v>
          </cell>
          <cell r="BC442">
            <v>0</v>
          </cell>
          <cell r="BD442">
            <v>0</v>
          </cell>
          <cell r="BE442">
            <v>0</v>
          </cell>
          <cell r="BG442">
            <v>1425.6</v>
          </cell>
          <cell r="BI442">
            <v>1425.6</v>
          </cell>
          <cell r="BJ442">
            <v>11040</v>
          </cell>
          <cell r="BK442">
            <v>11040</v>
          </cell>
          <cell r="BL442">
            <v>9600</v>
          </cell>
          <cell r="BM442">
            <v>0</v>
          </cell>
          <cell r="BN442">
            <v>0</v>
          </cell>
          <cell r="BO442">
            <v>0</v>
          </cell>
          <cell r="BP442">
            <v>9600</v>
          </cell>
          <cell r="BQ442">
            <v>0</v>
          </cell>
          <cell r="BR442">
            <v>1440</v>
          </cell>
          <cell r="BT442">
            <v>2</v>
          </cell>
          <cell r="BU442">
            <v>1</v>
          </cell>
          <cell r="BV442" t="str">
            <v>N</v>
          </cell>
          <cell r="BW442">
            <v>0</v>
          </cell>
          <cell r="BX442">
            <v>0</v>
          </cell>
          <cell r="BY442">
            <v>2026</v>
          </cell>
          <cell r="BZ442" t="str">
            <v>-</v>
          </cell>
          <cell r="CA442" t="str">
            <v>-</v>
          </cell>
        </row>
        <row r="443">
          <cell r="A443" t="str">
            <v>Lucknow</v>
          </cell>
          <cell r="B443" t="str">
            <v>Trust</v>
          </cell>
          <cell r="C443" t="str">
            <v>Mid Level</v>
          </cell>
          <cell r="D443" t="str">
            <v>Shashank Yadav</v>
          </cell>
          <cell r="F443" t="str">
            <v>Non-MSP</v>
          </cell>
          <cell r="H443" t="str">
            <v>Abhishek Verma</v>
          </cell>
          <cell r="J443" t="str">
            <v>ACH</v>
          </cell>
          <cell r="L443" t="str">
            <v>New</v>
          </cell>
          <cell r="M443">
            <v>46160</v>
          </cell>
          <cell r="N443">
            <v>42</v>
          </cell>
          <cell r="P443">
            <v>46525</v>
          </cell>
          <cell r="Q443" t="str">
            <v>PLC-4877</v>
          </cell>
          <cell r="R443" t="str">
            <v>Peter Coelho</v>
          </cell>
          <cell r="S443" t="str">
            <v>Individual</v>
          </cell>
          <cell r="T443" t="str">
            <v>Referral</v>
          </cell>
          <cell r="U443" t="str">
            <v>Reflik</v>
          </cell>
          <cell r="V443">
            <v>0</v>
          </cell>
          <cell r="W443">
            <v>0</v>
          </cell>
          <cell r="X443" t="str">
            <v>USD</v>
          </cell>
          <cell r="Y443">
            <v>5</v>
          </cell>
          <cell r="Z443">
            <v>0</v>
          </cell>
          <cell r="AA443">
            <v>0</v>
          </cell>
          <cell r="AB443">
            <v>0</v>
          </cell>
          <cell r="AC443">
            <v>46157</v>
          </cell>
          <cell r="AD443">
            <v>10</v>
          </cell>
          <cell r="AE443">
            <v>46387</v>
          </cell>
          <cell r="AF443">
            <v>0</v>
          </cell>
          <cell r="AG443">
            <v>0</v>
          </cell>
          <cell r="AH443">
            <v>0</v>
          </cell>
          <cell r="AI443">
            <v>5</v>
          </cell>
          <cell r="AJ443">
            <v>0</v>
          </cell>
          <cell r="AK443">
            <v>0</v>
          </cell>
          <cell r="AL443">
            <v>5</v>
          </cell>
          <cell r="AM443">
            <v>0</v>
          </cell>
          <cell r="AN443">
            <v>5</v>
          </cell>
          <cell r="AO443">
            <v>0</v>
          </cell>
          <cell r="AP443">
            <v>5</v>
          </cell>
          <cell r="AU443">
            <v>80</v>
          </cell>
          <cell r="BB443">
            <v>400</v>
          </cell>
          <cell r="BC443">
            <v>0</v>
          </cell>
          <cell r="BD443">
            <v>0</v>
          </cell>
          <cell r="BE443">
            <v>0</v>
          </cell>
          <cell r="BI443">
            <v>0</v>
          </cell>
          <cell r="BK443">
            <v>400</v>
          </cell>
          <cell r="BL443">
            <v>0</v>
          </cell>
          <cell r="BM443">
            <v>0</v>
          </cell>
          <cell r="BN443">
            <v>0</v>
          </cell>
          <cell r="BO443">
            <v>0</v>
          </cell>
          <cell r="BP443">
            <v>0</v>
          </cell>
          <cell r="BQ443">
            <v>0</v>
          </cell>
          <cell r="BR443">
            <v>400</v>
          </cell>
          <cell r="BT443">
            <v>2</v>
          </cell>
          <cell r="BU443">
            <v>2</v>
          </cell>
          <cell r="BV443" t="str">
            <v>Y</v>
          </cell>
          <cell r="BW443">
            <v>0</v>
          </cell>
          <cell r="BX443">
            <v>0</v>
          </cell>
          <cell r="BY443">
            <v>2026</v>
          </cell>
          <cell r="BZ443" t="str">
            <v>-</v>
          </cell>
          <cell r="CA443" t="str">
            <v>-</v>
          </cell>
        </row>
        <row r="444">
          <cell r="A444" t="str">
            <v>Lucknow</v>
          </cell>
          <cell r="B444" t="str">
            <v>Mavericks</v>
          </cell>
          <cell r="C444" t="str">
            <v>Mid Level</v>
          </cell>
          <cell r="D444" t="str">
            <v>Rohit Gupta</v>
          </cell>
          <cell r="E444" t="str">
            <v>Vivek Yadav</v>
          </cell>
          <cell r="F444" t="str">
            <v>MSP</v>
          </cell>
          <cell r="H444" t="str">
            <v>Pass Through</v>
          </cell>
          <cell r="J444" t="str">
            <v>ACH</v>
          </cell>
          <cell r="L444" t="str">
            <v>New</v>
          </cell>
          <cell r="M444">
            <v>46027</v>
          </cell>
          <cell r="N444">
            <v>175</v>
          </cell>
          <cell r="P444">
            <v>46392</v>
          </cell>
          <cell r="Q444" t="str">
            <v>PLC-Passthrough</v>
          </cell>
          <cell r="R444" t="str">
            <v>Pezilet Parhat</v>
          </cell>
          <cell r="S444" t="str">
            <v>Individual</v>
          </cell>
          <cell r="T444" t="str">
            <v>C2C</v>
          </cell>
          <cell r="U444" t="str">
            <v>CoForge</v>
          </cell>
          <cell r="V444">
            <v>69</v>
          </cell>
          <cell r="W444">
            <v>0</v>
          </cell>
          <cell r="X444" t="str">
            <v>USD</v>
          </cell>
          <cell r="Y444">
            <v>70</v>
          </cell>
          <cell r="Z444">
            <v>0</v>
          </cell>
          <cell r="AA444">
            <v>0</v>
          </cell>
          <cell r="AB444">
            <v>0</v>
          </cell>
          <cell r="AC444">
            <v>46037</v>
          </cell>
          <cell r="AD444">
            <v>20</v>
          </cell>
          <cell r="AE444">
            <v>46387</v>
          </cell>
          <cell r="AF444">
            <v>69</v>
          </cell>
          <cell r="AG444">
            <v>0</v>
          </cell>
          <cell r="AH444">
            <v>69</v>
          </cell>
          <cell r="AI444">
            <v>70</v>
          </cell>
          <cell r="AJ444">
            <v>0</v>
          </cell>
          <cell r="AK444">
            <v>0</v>
          </cell>
          <cell r="AL444">
            <v>1</v>
          </cell>
          <cell r="AM444">
            <v>0</v>
          </cell>
          <cell r="AN444">
            <v>1</v>
          </cell>
          <cell r="AO444">
            <v>0</v>
          </cell>
          <cell r="AP444">
            <v>1</v>
          </cell>
          <cell r="AQ444" t="str">
            <v>US_CMSP_00314</v>
          </cell>
          <cell r="AR444">
            <v>0</v>
          </cell>
          <cell r="AS444">
            <v>152</v>
          </cell>
          <cell r="AU444">
            <v>152</v>
          </cell>
          <cell r="AV444">
            <v>0</v>
          </cell>
          <cell r="AW444">
            <v>152</v>
          </cell>
          <cell r="AX444">
            <v>150.47999999999999</v>
          </cell>
          <cell r="AY444">
            <v>0</v>
          </cell>
          <cell r="AZ444">
            <v>152</v>
          </cell>
          <cell r="BA444">
            <v>150.47999999999999</v>
          </cell>
          <cell r="BB444">
            <v>152</v>
          </cell>
          <cell r="BC444">
            <v>0</v>
          </cell>
          <cell r="BD444">
            <v>0</v>
          </cell>
          <cell r="BE444">
            <v>0</v>
          </cell>
          <cell r="BG444">
            <v>150.47999999999999</v>
          </cell>
          <cell r="BI444">
            <v>150.47999999999999</v>
          </cell>
          <cell r="BJ444">
            <v>10640</v>
          </cell>
          <cell r="BK444">
            <v>10640</v>
          </cell>
          <cell r="BL444">
            <v>10488</v>
          </cell>
          <cell r="BM444">
            <v>0</v>
          </cell>
          <cell r="BN444">
            <v>0</v>
          </cell>
          <cell r="BO444">
            <v>0</v>
          </cell>
          <cell r="BP444">
            <v>10488</v>
          </cell>
          <cell r="BQ444">
            <v>0</v>
          </cell>
          <cell r="BR444">
            <v>152</v>
          </cell>
          <cell r="BS444" t="str">
            <v>Y</v>
          </cell>
          <cell r="BT444">
            <v>1</v>
          </cell>
          <cell r="BU444">
            <v>1</v>
          </cell>
          <cell r="BV444" t="str">
            <v>Y</v>
          </cell>
          <cell r="BW444">
            <v>0</v>
          </cell>
          <cell r="BX444">
            <v>0</v>
          </cell>
          <cell r="BY444">
            <v>2026</v>
          </cell>
          <cell r="BZ444" t="str">
            <v>-</v>
          </cell>
          <cell r="CA444" t="str">
            <v>-</v>
          </cell>
        </row>
        <row r="445">
          <cell r="A445" t="str">
            <v>Lucknow</v>
          </cell>
          <cell r="B445" t="str">
            <v>Mavericks</v>
          </cell>
          <cell r="C445" t="str">
            <v>Mid Level</v>
          </cell>
          <cell r="D445" t="str">
            <v>Rohit Gupta</v>
          </cell>
          <cell r="E445" t="str">
            <v>Vivek Yadav</v>
          </cell>
          <cell r="F445" t="str">
            <v>MSP</v>
          </cell>
          <cell r="H445" t="str">
            <v>Pass Through</v>
          </cell>
          <cell r="J445" t="str">
            <v>ACH</v>
          </cell>
          <cell r="L445" t="str">
            <v>New</v>
          </cell>
          <cell r="M445">
            <v>46027</v>
          </cell>
          <cell r="N445">
            <v>175</v>
          </cell>
          <cell r="P445">
            <v>46392</v>
          </cell>
          <cell r="Q445" t="str">
            <v>PLC-Passthrough</v>
          </cell>
          <cell r="R445" t="str">
            <v>Pezilet Parhat</v>
          </cell>
          <cell r="S445" t="str">
            <v>Individual</v>
          </cell>
          <cell r="T445" t="str">
            <v>C2C</v>
          </cell>
          <cell r="U445" t="str">
            <v>CoForge</v>
          </cell>
          <cell r="V445">
            <v>69</v>
          </cell>
          <cell r="W445">
            <v>0</v>
          </cell>
          <cell r="X445" t="str">
            <v>USD</v>
          </cell>
          <cell r="Y445">
            <v>70</v>
          </cell>
          <cell r="Z445">
            <v>0</v>
          </cell>
          <cell r="AA445">
            <v>0</v>
          </cell>
          <cell r="AB445">
            <v>0</v>
          </cell>
          <cell r="AC445">
            <v>46068</v>
          </cell>
          <cell r="AD445">
            <v>20</v>
          </cell>
          <cell r="AE445">
            <v>46387</v>
          </cell>
          <cell r="AF445">
            <v>69</v>
          </cell>
          <cell r="AG445">
            <v>0</v>
          </cell>
          <cell r="AH445">
            <v>69</v>
          </cell>
          <cell r="AI445">
            <v>70</v>
          </cell>
          <cell r="AJ445">
            <v>0</v>
          </cell>
          <cell r="AK445">
            <v>0</v>
          </cell>
          <cell r="AL445">
            <v>1</v>
          </cell>
          <cell r="AM445">
            <v>0</v>
          </cell>
          <cell r="AN445">
            <v>1</v>
          </cell>
          <cell r="AO445">
            <v>0</v>
          </cell>
          <cell r="AP445">
            <v>1</v>
          </cell>
          <cell r="AQ445" t="str">
            <v>US_CMSP_00427</v>
          </cell>
          <cell r="AR445">
            <v>0</v>
          </cell>
          <cell r="AS445">
            <v>160</v>
          </cell>
          <cell r="AU445">
            <v>160</v>
          </cell>
          <cell r="AV445">
            <v>0</v>
          </cell>
          <cell r="AW445">
            <v>160</v>
          </cell>
          <cell r="AX445">
            <v>158.4</v>
          </cell>
          <cell r="AY445">
            <v>0</v>
          </cell>
          <cell r="AZ445">
            <v>160</v>
          </cell>
          <cell r="BA445">
            <v>158.4</v>
          </cell>
          <cell r="BB445">
            <v>160</v>
          </cell>
          <cell r="BC445">
            <v>0</v>
          </cell>
          <cell r="BD445">
            <v>0</v>
          </cell>
          <cell r="BE445">
            <v>0</v>
          </cell>
          <cell r="BG445">
            <v>158.4</v>
          </cell>
          <cell r="BI445">
            <v>158.4</v>
          </cell>
          <cell r="BJ445">
            <v>11200</v>
          </cell>
          <cell r="BK445">
            <v>11200</v>
          </cell>
          <cell r="BL445">
            <v>11040</v>
          </cell>
          <cell r="BM445">
            <v>0</v>
          </cell>
          <cell r="BN445">
            <v>0</v>
          </cell>
          <cell r="BO445">
            <v>0</v>
          </cell>
          <cell r="BP445">
            <v>11040</v>
          </cell>
          <cell r="BQ445">
            <v>0</v>
          </cell>
          <cell r="BR445">
            <v>160</v>
          </cell>
          <cell r="BS445" t="str">
            <v>Y</v>
          </cell>
          <cell r="BT445">
            <v>1</v>
          </cell>
          <cell r="BU445">
            <v>1</v>
          </cell>
          <cell r="BV445" t="str">
            <v>Y</v>
          </cell>
          <cell r="BW445">
            <v>0</v>
          </cell>
          <cell r="BX445">
            <v>0</v>
          </cell>
          <cell r="BY445">
            <v>2026</v>
          </cell>
          <cell r="BZ445" t="str">
            <v>-</v>
          </cell>
          <cell r="CA445" t="str">
            <v>-</v>
          </cell>
        </row>
        <row r="446">
          <cell r="A446" t="str">
            <v>Lucknow</v>
          </cell>
          <cell r="B446" t="str">
            <v>Mavericks</v>
          </cell>
          <cell r="C446" t="str">
            <v>Mid Level</v>
          </cell>
          <cell r="D446" t="str">
            <v>Rohit Gupta</v>
          </cell>
          <cell r="E446" t="str">
            <v>Vivek Yadav</v>
          </cell>
          <cell r="F446" t="str">
            <v>MSP</v>
          </cell>
          <cell r="H446" t="str">
            <v>Pass Through</v>
          </cell>
          <cell r="J446" t="str">
            <v>ACH</v>
          </cell>
          <cell r="L446" t="str">
            <v>New</v>
          </cell>
          <cell r="M446">
            <v>46027</v>
          </cell>
          <cell r="N446">
            <v>175</v>
          </cell>
          <cell r="P446">
            <v>46392</v>
          </cell>
          <cell r="Q446" t="str">
            <v>PLC-Passthrough</v>
          </cell>
          <cell r="R446" t="str">
            <v>Pezilet Parhat</v>
          </cell>
          <cell r="S446" t="str">
            <v>Individual</v>
          </cell>
          <cell r="T446" t="str">
            <v>C2C</v>
          </cell>
          <cell r="U446" t="str">
            <v>CoForge</v>
          </cell>
          <cell r="V446">
            <v>69</v>
          </cell>
          <cell r="W446">
            <v>0</v>
          </cell>
          <cell r="X446" t="str">
            <v>USD</v>
          </cell>
          <cell r="Y446">
            <v>70</v>
          </cell>
          <cell r="Z446">
            <v>0</v>
          </cell>
          <cell r="AA446">
            <v>0</v>
          </cell>
          <cell r="AB446">
            <v>0</v>
          </cell>
          <cell r="AC446">
            <v>46096</v>
          </cell>
          <cell r="AD446">
            <v>22</v>
          </cell>
          <cell r="AE446">
            <v>46387</v>
          </cell>
          <cell r="AF446">
            <v>69</v>
          </cell>
          <cell r="AG446">
            <v>0</v>
          </cell>
          <cell r="AH446">
            <v>69</v>
          </cell>
          <cell r="AI446">
            <v>70</v>
          </cell>
          <cell r="AJ446">
            <v>0</v>
          </cell>
          <cell r="AK446">
            <v>0</v>
          </cell>
          <cell r="AL446">
            <v>1</v>
          </cell>
          <cell r="AM446">
            <v>0</v>
          </cell>
          <cell r="AN446">
            <v>1</v>
          </cell>
          <cell r="AO446">
            <v>0</v>
          </cell>
          <cell r="AP446">
            <v>1</v>
          </cell>
          <cell r="AQ446" t="str">
            <v>US_CMSP_00535</v>
          </cell>
          <cell r="AR446">
            <v>0</v>
          </cell>
          <cell r="AS446">
            <v>176</v>
          </cell>
          <cell r="AU446">
            <v>176</v>
          </cell>
          <cell r="AV446">
            <v>0</v>
          </cell>
          <cell r="AW446">
            <v>176</v>
          </cell>
          <cell r="AX446">
            <v>174.24</v>
          </cell>
          <cell r="AY446">
            <v>0</v>
          </cell>
          <cell r="AZ446">
            <v>176</v>
          </cell>
          <cell r="BA446">
            <v>174.24</v>
          </cell>
          <cell r="BB446">
            <v>176</v>
          </cell>
          <cell r="BC446">
            <v>0</v>
          </cell>
          <cell r="BD446">
            <v>0</v>
          </cell>
          <cell r="BE446">
            <v>0</v>
          </cell>
          <cell r="BG446">
            <v>174.24</v>
          </cell>
          <cell r="BI446">
            <v>174.24</v>
          </cell>
          <cell r="BJ446">
            <v>12320</v>
          </cell>
          <cell r="BK446">
            <v>12320</v>
          </cell>
          <cell r="BL446">
            <v>12144</v>
          </cell>
          <cell r="BM446">
            <v>0</v>
          </cell>
          <cell r="BN446">
            <v>0</v>
          </cell>
          <cell r="BO446">
            <v>0</v>
          </cell>
          <cell r="BP446">
            <v>12144</v>
          </cell>
          <cell r="BQ446">
            <v>0</v>
          </cell>
          <cell r="BR446">
            <v>176</v>
          </cell>
          <cell r="BS446" t="str">
            <v>Y</v>
          </cell>
          <cell r="BT446">
            <v>1</v>
          </cell>
          <cell r="BU446">
            <v>1</v>
          </cell>
          <cell r="BV446" t="str">
            <v>Y</v>
          </cell>
          <cell r="BW446">
            <v>0</v>
          </cell>
          <cell r="BX446">
            <v>0</v>
          </cell>
          <cell r="BY446">
            <v>2026</v>
          </cell>
          <cell r="BZ446" t="str">
            <v>-</v>
          </cell>
          <cell r="CA446" t="str">
            <v>-</v>
          </cell>
        </row>
        <row r="447">
          <cell r="A447" t="str">
            <v>Lucknow</v>
          </cell>
          <cell r="B447" t="str">
            <v>Mavericks</v>
          </cell>
          <cell r="C447" t="str">
            <v>Mid Level</v>
          </cell>
          <cell r="D447" t="str">
            <v>Rohit Gupta</v>
          </cell>
          <cell r="E447" t="str">
            <v>Vivek Yadav</v>
          </cell>
          <cell r="F447" t="str">
            <v>MSP</v>
          </cell>
          <cell r="H447" t="str">
            <v>Pass Through</v>
          </cell>
          <cell r="J447" t="str">
            <v>ACH</v>
          </cell>
          <cell r="L447" t="str">
            <v>New</v>
          </cell>
          <cell r="M447">
            <v>46027</v>
          </cell>
          <cell r="N447">
            <v>175</v>
          </cell>
          <cell r="P447">
            <v>46392</v>
          </cell>
          <cell r="Q447" t="str">
            <v>PLC-Passthrough</v>
          </cell>
          <cell r="R447" t="str">
            <v>Pezilet Parhat</v>
          </cell>
          <cell r="S447" t="str">
            <v>Individual</v>
          </cell>
          <cell r="T447" t="str">
            <v>C2C</v>
          </cell>
          <cell r="U447" t="str">
            <v>CoForge</v>
          </cell>
          <cell r="V447">
            <v>69</v>
          </cell>
          <cell r="W447">
            <v>0</v>
          </cell>
          <cell r="X447" t="str">
            <v>USD</v>
          </cell>
          <cell r="Y447">
            <v>70</v>
          </cell>
          <cell r="Z447">
            <v>0</v>
          </cell>
          <cell r="AA447">
            <v>0</v>
          </cell>
          <cell r="AB447">
            <v>0</v>
          </cell>
          <cell r="AC447">
            <v>46127</v>
          </cell>
          <cell r="AD447">
            <v>22</v>
          </cell>
          <cell r="AE447">
            <v>46387</v>
          </cell>
          <cell r="AF447">
            <v>69</v>
          </cell>
          <cell r="AG447">
            <v>0</v>
          </cell>
          <cell r="AH447">
            <v>69</v>
          </cell>
          <cell r="AI447">
            <v>70</v>
          </cell>
          <cell r="AJ447">
            <v>0</v>
          </cell>
          <cell r="AK447">
            <v>0</v>
          </cell>
          <cell r="AL447">
            <v>1</v>
          </cell>
          <cell r="AM447">
            <v>0</v>
          </cell>
          <cell r="AN447">
            <v>1</v>
          </cell>
          <cell r="AO447">
            <v>0</v>
          </cell>
          <cell r="AP447">
            <v>1</v>
          </cell>
          <cell r="AQ447" t="str">
            <v>US_CMSP_00682</v>
          </cell>
          <cell r="AR447">
            <v>0</v>
          </cell>
          <cell r="AS447">
            <v>176</v>
          </cell>
          <cell r="AU447">
            <v>176</v>
          </cell>
          <cell r="AV447">
            <v>0</v>
          </cell>
          <cell r="AW447">
            <v>176</v>
          </cell>
          <cell r="AX447">
            <v>174.24</v>
          </cell>
          <cell r="AY447">
            <v>0</v>
          </cell>
          <cell r="AZ447">
            <v>176</v>
          </cell>
          <cell r="BA447">
            <v>174.24</v>
          </cell>
          <cell r="BB447">
            <v>176</v>
          </cell>
          <cell r="BC447">
            <v>0</v>
          </cell>
          <cell r="BD447">
            <v>0</v>
          </cell>
          <cell r="BE447">
            <v>0</v>
          </cell>
          <cell r="BG447">
            <v>174.24</v>
          </cell>
          <cell r="BI447">
            <v>174.24</v>
          </cell>
          <cell r="BJ447">
            <v>12320</v>
          </cell>
          <cell r="BK447">
            <v>12320</v>
          </cell>
          <cell r="BL447">
            <v>12144</v>
          </cell>
          <cell r="BM447">
            <v>0</v>
          </cell>
          <cell r="BN447">
            <v>0</v>
          </cell>
          <cell r="BO447">
            <v>0</v>
          </cell>
          <cell r="BP447">
            <v>12144</v>
          </cell>
          <cell r="BQ447">
            <v>0</v>
          </cell>
          <cell r="BR447">
            <v>176</v>
          </cell>
          <cell r="BT447">
            <v>2</v>
          </cell>
          <cell r="BU447">
            <v>1</v>
          </cell>
          <cell r="BV447" t="str">
            <v>Y</v>
          </cell>
          <cell r="BW447">
            <v>0</v>
          </cell>
          <cell r="BX447">
            <v>0</v>
          </cell>
          <cell r="BY447">
            <v>2026</v>
          </cell>
          <cell r="BZ447" t="str">
            <v>-</v>
          </cell>
          <cell r="CA447" t="str">
            <v>-</v>
          </cell>
        </row>
        <row r="448">
          <cell r="A448" t="str">
            <v>Lucknow</v>
          </cell>
          <cell r="B448" t="str">
            <v>Mavericks</v>
          </cell>
          <cell r="C448" t="str">
            <v>Mid Level</v>
          </cell>
          <cell r="D448" t="str">
            <v>Rohit Gupta</v>
          </cell>
          <cell r="E448" t="str">
            <v>Vivek Yadav</v>
          </cell>
          <cell r="F448" t="str">
            <v>MSP</v>
          </cell>
          <cell r="H448" t="str">
            <v>Pass Through</v>
          </cell>
          <cell r="J448" t="str">
            <v>ACH</v>
          </cell>
          <cell r="L448" t="str">
            <v>New</v>
          </cell>
          <cell r="M448">
            <v>46027</v>
          </cell>
          <cell r="N448">
            <v>175</v>
          </cell>
          <cell r="P448">
            <v>46392</v>
          </cell>
          <cell r="Q448" t="str">
            <v>PLC-Passthrough</v>
          </cell>
          <cell r="R448" t="str">
            <v>Pezilet Parhat</v>
          </cell>
          <cell r="S448" t="str">
            <v>Individual</v>
          </cell>
          <cell r="T448" t="str">
            <v>C2C</v>
          </cell>
          <cell r="U448" t="str">
            <v>CoForge</v>
          </cell>
          <cell r="V448">
            <v>69</v>
          </cell>
          <cell r="W448">
            <v>0</v>
          </cell>
          <cell r="X448" t="str">
            <v>USD</v>
          </cell>
          <cell r="Y448">
            <v>70</v>
          </cell>
          <cell r="Z448">
            <v>0</v>
          </cell>
          <cell r="AA448">
            <v>0</v>
          </cell>
          <cell r="AB448">
            <v>0</v>
          </cell>
          <cell r="AC448">
            <v>46157</v>
          </cell>
          <cell r="AD448">
            <v>22</v>
          </cell>
          <cell r="AE448">
            <v>46387</v>
          </cell>
          <cell r="AF448">
            <v>69</v>
          </cell>
          <cell r="AG448">
            <v>0</v>
          </cell>
          <cell r="AH448">
            <v>69</v>
          </cell>
          <cell r="AI448">
            <v>70</v>
          </cell>
          <cell r="AJ448">
            <v>0</v>
          </cell>
          <cell r="AK448">
            <v>0</v>
          </cell>
          <cell r="AL448">
            <v>1</v>
          </cell>
          <cell r="AM448">
            <v>0</v>
          </cell>
          <cell r="AN448">
            <v>1</v>
          </cell>
          <cell r="AO448">
            <v>0</v>
          </cell>
          <cell r="AP448">
            <v>1</v>
          </cell>
          <cell r="AQ448" t="str">
            <v>US_CMSP_00798</v>
          </cell>
          <cell r="AR448">
            <v>0</v>
          </cell>
          <cell r="AS448">
            <v>152</v>
          </cell>
          <cell r="AU448">
            <v>152</v>
          </cell>
          <cell r="AV448">
            <v>0</v>
          </cell>
          <cell r="AW448">
            <v>152</v>
          </cell>
          <cell r="AX448">
            <v>150.47999999999999</v>
          </cell>
          <cell r="AY448">
            <v>0</v>
          </cell>
          <cell r="AZ448">
            <v>152</v>
          </cell>
          <cell r="BA448">
            <v>150.47999999999999</v>
          </cell>
          <cell r="BB448">
            <v>152</v>
          </cell>
          <cell r="BC448">
            <v>0</v>
          </cell>
          <cell r="BD448">
            <v>0</v>
          </cell>
          <cell r="BE448">
            <v>0</v>
          </cell>
          <cell r="BG448">
            <v>150.47999999999999</v>
          </cell>
          <cell r="BI448">
            <v>150.47999999999999</v>
          </cell>
          <cell r="BJ448">
            <v>10640</v>
          </cell>
          <cell r="BK448">
            <v>10640</v>
          </cell>
          <cell r="BL448">
            <v>10488</v>
          </cell>
          <cell r="BM448">
            <v>0</v>
          </cell>
          <cell r="BN448">
            <v>0</v>
          </cell>
          <cell r="BO448">
            <v>0</v>
          </cell>
          <cell r="BP448">
            <v>10488</v>
          </cell>
          <cell r="BQ448">
            <v>0</v>
          </cell>
          <cell r="BR448">
            <v>152</v>
          </cell>
          <cell r="BT448">
            <v>2</v>
          </cell>
          <cell r="BU448">
            <v>1</v>
          </cell>
          <cell r="BV448" t="str">
            <v>Y</v>
          </cell>
          <cell r="BW448">
            <v>0</v>
          </cell>
          <cell r="BX448">
            <v>0</v>
          </cell>
          <cell r="BY448">
            <v>2026</v>
          </cell>
          <cell r="BZ448" t="str">
            <v>-</v>
          </cell>
          <cell r="CA448" t="str">
            <v>-</v>
          </cell>
        </row>
        <row r="449">
          <cell r="A449" t="str">
            <v>Lucknow</v>
          </cell>
          <cell r="B449" t="str">
            <v>Mavericks</v>
          </cell>
          <cell r="C449" t="str">
            <v>Mid Level</v>
          </cell>
          <cell r="D449" t="str">
            <v>Mohammad Fakhrul</v>
          </cell>
          <cell r="E449" t="str">
            <v>-</v>
          </cell>
          <cell r="F449" t="str">
            <v>MSP</v>
          </cell>
          <cell r="H449" t="str">
            <v>Pass Through/MSP</v>
          </cell>
          <cell r="L449" t="str">
            <v>New</v>
          </cell>
          <cell r="M449">
            <v>46111</v>
          </cell>
          <cell r="N449">
            <v>91</v>
          </cell>
          <cell r="P449">
            <v>46476</v>
          </cell>
          <cell r="Q449" t="str">
            <v>PLC-Passthrough</v>
          </cell>
          <cell r="R449" t="str">
            <v>Phani Rohit Yalamanchili</v>
          </cell>
          <cell r="S449" t="str">
            <v>Individual</v>
          </cell>
          <cell r="T449" t="str">
            <v>C2C</v>
          </cell>
          <cell r="U449" t="str">
            <v>Cigniti</v>
          </cell>
          <cell r="V449">
            <v>71</v>
          </cell>
          <cell r="W449">
            <v>0</v>
          </cell>
          <cell r="X449" t="str">
            <v>USD</v>
          </cell>
          <cell r="Y449">
            <v>73</v>
          </cell>
          <cell r="Z449">
            <v>0</v>
          </cell>
          <cell r="AA449">
            <v>0</v>
          </cell>
          <cell r="AB449">
            <v>0</v>
          </cell>
          <cell r="AC449">
            <v>46096</v>
          </cell>
          <cell r="AD449">
            <v>2</v>
          </cell>
          <cell r="AE449">
            <v>46387</v>
          </cell>
          <cell r="AF449">
            <v>71</v>
          </cell>
          <cell r="AG449">
            <v>0</v>
          </cell>
          <cell r="AH449">
            <v>71</v>
          </cell>
          <cell r="AI449">
            <v>73</v>
          </cell>
          <cell r="AJ449">
            <v>0</v>
          </cell>
          <cell r="AK449">
            <v>0</v>
          </cell>
          <cell r="AL449">
            <v>2</v>
          </cell>
          <cell r="AM449">
            <v>0</v>
          </cell>
          <cell r="AN449">
            <v>2</v>
          </cell>
          <cell r="AO449">
            <v>0</v>
          </cell>
          <cell r="AP449">
            <v>2</v>
          </cell>
          <cell r="AQ449" t="str">
            <v>US_CMSP_00579</v>
          </cell>
          <cell r="AR449">
            <v>0</v>
          </cell>
          <cell r="AS449">
            <v>16</v>
          </cell>
          <cell r="AU449">
            <v>16</v>
          </cell>
          <cell r="AV449">
            <v>0</v>
          </cell>
          <cell r="AW449">
            <v>32</v>
          </cell>
          <cell r="AX449">
            <v>32</v>
          </cell>
          <cell r="AY449">
            <v>0</v>
          </cell>
          <cell r="AZ449">
            <v>32</v>
          </cell>
          <cell r="BA449">
            <v>32</v>
          </cell>
          <cell r="BB449">
            <v>32</v>
          </cell>
          <cell r="BC449">
            <v>0</v>
          </cell>
          <cell r="BD449">
            <v>0</v>
          </cell>
          <cell r="BE449">
            <v>0</v>
          </cell>
          <cell r="BG449">
            <v>32</v>
          </cell>
          <cell r="BI449">
            <v>32</v>
          </cell>
          <cell r="BJ449">
            <v>1168</v>
          </cell>
          <cell r="BK449">
            <v>1168</v>
          </cell>
          <cell r="BL449">
            <v>1136</v>
          </cell>
          <cell r="BM449">
            <v>0</v>
          </cell>
          <cell r="BN449">
            <v>0</v>
          </cell>
          <cell r="BO449">
            <v>0</v>
          </cell>
          <cell r="BP449">
            <v>1136</v>
          </cell>
          <cell r="BQ449">
            <v>0</v>
          </cell>
          <cell r="BR449">
            <v>32</v>
          </cell>
          <cell r="BS449" t="str">
            <v>Y</v>
          </cell>
          <cell r="BT449">
            <v>1</v>
          </cell>
          <cell r="BU449">
            <v>1</v>
          </cell>
          <cell r="BV449" t="str">
            <v>N</v>
          </cell>
          <cell r="BW449">
            <v>0</v>
          </cell>
          <cell r="BX449">
            <v>0</v>
          </cell>
          <cell r="BY449">
            <v>2026</v>
          </cell>
          <cell r="BZ449" t="str">
            <v>-</v>
          </cell>
          <cell r="CA449" t="str">
            <v>-</v>
          </cell>
        </row>
        <row r="450">
          <cell r="A450" t="str">
            <v>Lucknow</v>
          </cell>
          <cell r="B450" t="str">
            <v>Mavericks</v>
          </cell>
          <cell r="C450" t="str">
            <v>Mid Level</v>
          </cell>
          <cell r="D450" t="str">
            <v>Mohammad Fakhrul</v>
          </cell>
          <cell r="E450" t="str">
            <v>-</v>
          </cell>
          <cell r="F450" t="str">
            <v>MSP</v>
          </cell>
          <cell r="H450" t="str">
            <v>Pass Through/MSP</v>
          </cell>
          <cell r="J450" t="str">
            <v>ACH</v>
          </cell>
          <cell r="L450" t="str">
            <v>New</v>
          </cell>
          <cell r="M450">
            <v>46111</v>
          </cell>
          <cell r="N450">
            <v>91</v>
          </cell>
          <cell r="P450">
            <v>46476</v>
          </cell>
          <cell r="Q450" t="str">
            <v>PLC-Passthrough</v>
          </cell>
          <cell r="R450" t="str">
            <v>Phani Rohit Yalamanchili</v>
          </cell>
          <cell r="S450" t="str">
            <v>Individual</v>
          </cell>
          <cell r="T450" t="str">
            <v>C2C</v>
          </cell>
          <cell r="U450" t="str">
            <v>Cigniti</v>
          </cell>
          <cell r="V450">
            <v>71</v>
          </cell>
          <cell r="W450">
            <v>0</v>
          </cell>
          <cell r="X450" t="str">
            <v>USD</v>
          </cell>
          <cell r="Y450">
            <v>73</v>
          </cell>
          <cell r="Z450">
            <v>0</v>
          </cell>
          <cell r="AA450">
            <v>0</v>
          </cell>
          <cell r="AB450">
            <v>0</v>
          </cell>
          <cell r="AC450">
            <v>46127</v>
          </cell>
          <cell r="AD450">
            <v>22</v>
          </cell>
          <cell r="AE450">
            <v>46387</v>
          </cell>
          <cell r="AF450">
            <v>71</v>
          </cell>
          <cell r="AG450">
            <v>0</v>
          </cell>
          <cell r="AH450">
            <v>71</v>
          </cell>
          <cell r="AI450">
            <v>73</v>
          </cell>
          <cell r="AJ450">
            <v>0</v>
          </cell>
          <cell r="AK450">
            <v>0</v>
          </cell>
          <cell r="AL450">
            <v>2</v>
          </cell>
          <cell r="AM450">
            <v>0</v>
          </cell>
          <cell r="AN450">
            <v>2</v>
          </cell>
          <cell r="AO450">
            <v>0</v>
          </cell>
          <cell r="AP450">
            <v>2</v>
          </cell>
          <cell r="AQ450" t="str">
            <v>US_CMSP_00720</v>
          </cell>
          <cell r="AR450">
            <v>0</v>
          </cell>
          <cell r="AS450">
            <v>176</v>
          </cell>
          <cell r="AU450">
            <v>176</v>
          </cell>
          <cell r="AV450">
            <v>0</v>
          </cell>
          <cell r="AW450">
            <v>352</v>
          </cell>
          <cell r="AX450">
            <v>348.48</v>
          </cell>
          <cell r="AY450">
            <v>0</v>
          </cell>
          <cell r="AZ450">
            <v>352</v>
          </cell>
          <cell r="BA450">
            <v>348.48</v>
          </cell>
          <cell r="BB450">
            <v>352</v>
          </cell>
          <cell r="BC450">
            <v>0</v>
          </cell>
          <cell r="BD450">
            <v>0</v>
          </cell>
          <cell r="BE450">
            <v>0</v>
          </cell>
          <cell r="BG450">
            <v>348.48</v>
          </cell>
          <cell r="BI450">
            <v>348.48</v>
          </cell>
          <cell r="BJ450">
            <v>12848</v>
          </cell>
          <cell r="BK450">
            <v>12848</v>
          </cell>
          <cell r="BL450">
            <v>12496</v>
          </cell>
          <cell r="BM450">
            <v>0</v>
          </cell>
          <cell r="BN450">
            <v>0</v>
          </cell>
          <cell r="BO450">
            <v>0</v>
          </cell>
          <cell r="BP450">
            <v>12496</v>
          </cell>
          <cell r="BQ450">
            <v>0</v>
          </cell>
          <cell r="BR450">
            <v>352</v>
          </cell>
          <cell r="BT450">
            <v>2</v>
          </cell>
          <cell r="BU450">
            <v>1</v>
          </cell>
          <cell r="BV450" t="str">
            <v>N</v>
          </cell>
          <cell r="BW450">
            <v>0</v>
          </cell>
          <cell r="BX450">
            <v>0</v>
          </cell>
          <cell r="BY450">
            <v>2026</v>
          </cell>
          <cell r="BZ450" t="str">
            <v>-</v>
          </cell>
          <cell r="CA450" t="str">
            <v>-</v>
          </cell>
        </row>
        <row r="451">
          <cell r="A451" t="str">
            <v>Lucknow</v>
          </cell>
          <cell r="B451" t="str">
            <v>Mavericks</v>
          </cell>
          <cell r="C451" t="str">
            <v>Mid Level</v>
          </cell>
          <cell r="D451" t="str">
            <v>Mohammad Fakhrul</v>
          </cell>
          <cell r="E451" t="str">
            <v>-</v>
          </cell>
          <cell r="F451" t="str">
            <v>MSP</v>
          </cell>
          <cell r="H451" t="str">
            <v>Pass Through/MSP</v>
          </cell>
          <cell r="J451" t="str">
            <v>ACH</v>
          </cell>
          <cell r="L451" t="str">
            <v>New</v>
          </cell>
          <cell r="M451">
            <v>46111</v>
          </cell>
          <cell r="N451">
            <v>91</v>
          </cell>
          <cell r="P451">
            <v>46476</v>
          </cell>
          <cell r="Q451" t="str">
            <v>PLC-Passthrough</v>
          </cell>
          <cell r="R451" t="str">
            <v>Phani Rohit Yalamanchili</v>
          </cell>
          <cell r="S451" t="str">
            <v>Individual</v>
          </cell>
          <cell r="T451" t="str">
            <v>C2C</v>
          </cell>
          <cell r="U451" t="str">
            <v>Cigniti</v>
          </cell>
          <cell r="V451">
            <v>71</v>
          </cell>
          <cell r="W451">
            <v>0</v>
          </cell>
          <cell r="X451" t="str">
            <v>USD</v>
          </cell>
          <cell r="Y451">
            <v>73</v>
          </cell>
          <cell r="Z451">
            <v>0</v>
          </cell>
          <cell r="AA451">
            <v>0</v>
          </cell>
          <cell r="AB451">
            <v>0</v>
          </cell>
          <cell r="AC451">
            <v>46157</v>
          </cell>
          <cell r="AD451">
            <v>22</v>
          </cell>
          <cell r="AE451">
            <v>46387</v>
          </cell>
          <cell r="AF451">
            <v>71</v>
          </cell>
          <cell r="AG451">
            <v>0</v>
          </cell>
          <cell r="AH451">
            <v>71</v>
          </cell>
          <cell r="AI451">
            <v>73</v>
          </cell>
          <cell r="AJ451">
            <v>0</v>
          </cell>
          <cell r="AK451">
            <v>0</v>
          </cell>
          <cell r="AL451">
            <v>2</v>
          </cell>
          <cell r="AM451">
            <v>0</v>
          </cell>
          <cell r="AN451">
            <v>2</v>
          </cell>
          <cell r="AO451">
            <v>0</v>
          </cell>
          <cell r="AP451">
            <v>2</v>
          </cell>
          <cell r="AQ451" t="str">
            <v>US_CMSP_00778</v>
          </cell>
          <cell r="AR451">
            <v>0</v>
          </cell>
          <cell r="AS451">
            <v>160</v>
          </cell>
          <cell r="AU451">
            <v>160</v>
          </cell>
          <cell r="AV451">
            <v>0</v>
          </cell>
          <cell r="AW451">
            <v>320</v>
          </cell>
          <cell r="AX451">
            <v>316.8</v>
          </cell>
          <cell r="AY451">
            <v>0</v>
          </cell>
          <cell r="AZ451">
            <v>320</v>
          </cell>
          <cell r="BA451">
            <v>316.8</v>
          </cell>
          <cell r="BB451">
            <v>320</v>
          </cell>
          <cell r="BC451">
            <v>0</v>
          </cell>
          <cell r="BD451">
            <v>0</v>
          </cell>
          <cell r="BE451">
            <v>0</v>
          </cell>
          <cell r="BG451">
            <v>316.8</v>
          </cell>
          <cell r="BI451">
            <v>316.8</v>
          </cell>
          <cell r="BJ451">
            <v>11680</v>
          </cell>
          <cell r="BK451">
            <v>11680</v>
          </cell>
          <cell r="BL451">
            <v>11360</v>
          </cell>
          <cell r="BM451">
            <v>0</v>
          </cell>
          <cell r="BN451">
            <v>0</v>
          </cell>
          <cell r="BO451">
            <v>0</v>
          </cell>
          <cell r="BP451">
            <v>11360</v>
          </cell>
          <cell r="BQ451">
            <v>0</v>
          </cell>
          <cell r="BR451">
            <v>320</v>
          </cell>
          <cell r="BT451">
            <v>2</v>
          </cell>
          <cell r="BU451">
            <v>1</v>
          </cell>
          <cell r="BV451" t="str">
            <v>N</v>
          </cell>
          <cell r="BW451">
            <v>0</v>
          </cell>
          <cell r="BX451">
            <v>0</v>
          </cell>
          <cell r="BY451">
            <v>2026</v>
          </cell>
          <cell r="BZ451" t="str">
            <v>-</v>
          </cell>
          <cell r="CA451" t="str">
            <v>-</v>
          </cell>
        </row>
        <row r="452">
          <cell r="A452" t="str">
            <v>Lucknow</v>
          </cell>
          <cell r="B452" t="str">
            <v>Trust</v>
          </cell>
          <cell r="C452" t="str">
            <v>Mid Level</v>
          </cell>
          <cell r="D452" t="str">
            <v>Bhanu Pratap Singh</v>
          </cell>
          <cell r="F452" t="str">
            <v>Non-MSP</v>
          </cell>
          <cell r="H452" t="str">
            <v>Shubham Saini</v>
          </cell>
          <cell r="J452" t="str">
            <v>ACH</v>
          </cell>
          <cell r="L452" t="str">
            <v>New</v>
          </cell>
          <cell r="M452">
            <v>46160</v>
          </cell>
          <cell r="N452">
            <v>42</v>
          </cell>
          <cell r="P452">
            <v>46525</v>
          </cell>
          <cell r="Q452" t="str">
            <v>PLC-4838</v>
          </cell>
          <cell r="R452" t="str">
            <v>Poornima Vijayan</v>
          </cell>
          <cell r="S452" t="str">
            <v>Individual</v>
          </cell>
          <cell r="T452" t="str">
            <v>C2C Canada</v>
          </cell>
          <cell r="U452" t="str">
            <v>Global Logic</v>
          </cell>
          <cell r="V452">
            <v>65</v>
          </cell>
          <cell r="W452">
            <v>0</v>
          </cell>
          <cell r="X452" t="str">
            <v>CAD</v>
          </cell>
          <cell r="Y452">
            <v>90</v>
          </cell>
          <cell r="Z452">
            <v>0</v>
          </cell>
          <cell r="AA452">
            <v>0</v>
          </cell>
          <cell r="AB452">
            <v>0</v>
          </cell>
          <cell r="AC452">
            <v>46157</v>
          </cell>
          <cell r="AD452">
            <v>10</v>
          </cell>
          <cell r="AE452">
            <v>46387</v>
          </cell>
          <cell r="AF452">
            <v>46.15</v>
          </cell>
          <cell r="AG452">
            <v>0</v>
          </cell>
          <cell r="AH452">
            <v>46.15</v>
          </cell>
          <cell r="AI452">
            <v>63.9</v>
          </cell>
          <cell r="AJ452">
            <v>0</v>
          </cell>
          <cell r="AK452">
            <v>0</v>
          </cell>
          <cell r="AL452">
            <v>17.75</v>
          </cell>
          <cell r="AM452">
            <v>0</v>
          </cell>
          <cell r="AN452">
            <v>17.75</v>
          </cell>
          <cell r="AO452">
            <v>0</v>
          </cell>
          <cell r="AP452">
            <v>17.75</v>
          </cell>
          <cell r="AU452">
            <v>80</v>
          </cell>
          <cell r="BB452">
            <v>1420</v>
          </cell>
          <cell r="BC452">
            <v>0</v>
          </cell>
          <cell r="BD452">
            <v>0</v>
          </cell>
          <cell r="BE452">
            <v>0</v>
          </cell>
          <cell r="BI452">
            <v>0</v>
          </cell>
          <cell r="BK452">
            <v>5112</v>
          </cell>
          <cell r="BL452">
            <v>3852.68</v>
          </cell>
          <cell r="BM452">
            <v>0</v>
          </cell>
          <cell r="BN452">
            <v>0</v>
          </cell>
          <cell r="BO452">
            <v>0</v>
          </cell>
          <cell r="BP452">
            <v>3852.68</v>
          </cell>
          <cell r="BQ452">
            <v>0</v>
          </cell>
          <cell r="BR452">
            <v>1259.3200000000002</v>
          </cell>
          <cell r="BT452">
            <v>2</v>
          </cell>
          <cell r="BU452">
            <v>2</v>
          </cell>
          <cell r="BV452" t="str">
            <v>N</v>
          </cell>
          <cell r="BW452">
            <v>0</v>
          </cell>
          <cell r="BX452">
            <v>0</v>
          </cell>
          <cell r="BY452">
            <v>2026</v>
          </cell>
          <cell r="BZ452" t="str">
            <v>-</v>
          </cell>
          <cell r="CA452" t="str">
            <v>-</v>
          </cell>
        </row>
        <row r="453">
          <cell r="A453" t="str">
            <v>Lucknow</v>
          </cell>
          <cell r="B453" t="str">
            <v>Mavericks</v>
          </cell>
          <cell r="C453" t="str">
            <v>Mid Level</v>
          </cell>
          <cell r="D453" t="str">
            <v>Mohammad Fakhrul</v>
          </cell>
          <cell r="E453" t="str">
            <v>-</v>
          </cell>
          <cell r="F453" t="str">
            <v>MSP</v>
          </cell>
          <cell r="H453" t="str">
            <v>Pass Through/MSP</v>
          </cell>
          <cell r="J453" t="str">
            <v>ACH</v>
          </cell>
          <cell r="L453" t="str">
            <v>New</v>
          </cell>
          <cell r="M453">
            <v>46139</v>
          </cell>
          <cell r="N453">
            <v>63</v>
          </cell>
          <cell r="P453">
            <v>46504</v>
          </cell>
          <cell r="Q453" t="str">
            <v>PLC-Passthrough</v>
          </cell>
          <cell r="R453" t="str">
            <v>Pradeep Kumar Reddy Machireddy</v>
          </cell>
          <cell r="S453" t="str">
            <v>Individual</v>
          </cell>
          <cell r="T453" t="str">
            <v>C2C</v>
          </cell>
          <cell r="U453" t="str">
            <v>Cigniti</v>
          </cell>
          <cell r="V453">
            <v>76</v>
          </cell>
          <cell r="W453">
            <v>0</v>
          </cell>
          <cell r="X453" t="str">
            <v>USD</v>
          </cell>
          <cell r="Y453">
            <v>78</v>
          </cell>
          <cell r="Z453">
            <v>0</v>
          </cell>
          <cell r="AA453">
            <v>0</v>
          </cell>
          <cell r="AB453">
            <v>0</v>
          </cell>
          <cell r="AC453">
            <v>46127</v>
          </cell>
          <cell r="AD453">
            <v>4</v>
          </cell>
          <cell r="AE453">
            <v>46387</v>
          </cell>
          <cell r="AF453">
            <v>76</v>
          </cell>
          <cell r="AG453">
            <v>0</v>
          </cell>
          <cell r="AH453">
            <v>76</v>
          </cell>
          <cell r="AI453">
            <v>78</v>
          </cell>
          <cell r="AJ453">
            <v>0</v>
          </cell>
          <cell r="AK453">
            <v>0</v>
          </cell>
          <cell r="AL453">
            <v>2</v>
          </cell>
          <cell r="AM453">
            <v>0</v>
          </cell>
          <cell r="AN453">
            <v>2</v>
          </cell>
          <cell r="AO453">
            <v>0</v>
          </cell>
          <cell r="AP453">
            <v>2</v>
          </cell>
          <cell r="AU453">
            <v>32</v>
          </cell>
          <cell r="BB453">
            <v>64</v>
          </cell>
          <cell r="BC453">
            <v>0</v>
          </cell>
          <cell r="BD453">
            <v>0</v>
          </cell>
          <cell r="BE453">
            <v>0</v>
          </cell>
          <cell r="BI453">
            <v>0</v>
          </cell>
          <cell r="BK453">
            <v>2496</v>
          </cell>
          <cell r="BL453">
            <v>2432</v>
          </cell>
          <cell r="BM453">
            <v>0</v>
          </cell>
          <cell r="BN453">
            <v>0</v>
          </cell>
          <cell r="BO453">
            <v>0</v>
          </cell>
          <cell r="BP453">
            <v>2432</v>
          </cell>
          <cell r="BQ453">
            <v>0</v>
          </cell>
          <cell r="BR453">
            <v>64</v>
          </cell>
          <cell r="BT453">
            <v>2</v>
          </cell>
          <cell r="BU453">
            <v>2</v>
          </cell>
          <cell r="BV453" t="str">
            <v>N</v>
          </cell>
          <cell r="BW453">
            <v>0</v>
          </cell>
          <cell r="BX453">
            <v>0</v>
          </cell>
          <cell r="BY453">
            <v>2026</v>
          </cell>
          <cell r="BZ453" t="str">
            <v>-</v>
          </cell>
          <cell r="CA453" t="str">
            <v>-</v>
          </cell>
        </row>
        <row r="454">
          <cell r="A454" t="str">
            <v>Lucknow</v>
          </cell>
          <cell r="B454" t="str">
            <v>Mavericks</v>
          </cell>
          <cell r="C454" t="str">
            <v>Mid Level</v>
          </cell>
          <cell r="D454" t="str">
            <v>Mohammad Fakhrul</v>
          </cell>
          <cell r="E454" t="str">
            <v>-</v>
          </cell>
          <cell r="F454" t="str">
            <v>MSP</v>
          </cell>
          <cell r="H454" t="str">
            <v>Pass Through/MSP</v>
          </cell>
          <cell r="J454" t="str">
            <v>ACH</v>
          </cell>
          <cell r="L454" t="str">
            <v>New</v>
          </cell>
          <cell r="M454">
            <v>46139</v>
          </cell>
          <cell r="N454">
            <v>63</v>
          </cell>
          <cell r="P454">
            <v>46504</v>
          </cell>
          <cell r="Q454" t="str">
            <v>PLC-Passthrough</v>
          </cell>
          <cell r="R454" t="str">
            <v>Pradeep Kumar Reddy Machireddy</v>
          </cell>
          <cell r="S454" t="str">
            <v>Individual</v>
          </cell>
          <cell r="T454" t="str">
            <v>C2C</v>
          </cell>
          <cell r="U454" t="str">
            <v>Cigniti</v>
          </cell>
          <cell r="V454">
            <v>76</v>
          </cell>
          <cell r="W454">
            <v>0</v>
          </cell>
          <cell r="X454" t="str">
            <v>USD</v>
          </cell>
          <cell r="Y454">
            <v>78</v>
          </cell>
          <cell r="Z454">
            <v>0</v>
          </cell>
          <cell r="AA454">
            <v>0</v>
          </cell>
          <cell r="AB454">
            <v>0</v>
          </cell>
          <cell r="AC454">
            <v>46157</v>
          </cell>
          <cell r="AD454">
            <v>4</v>
          </cell>
          <cell r="AE454">
            <v>46387</v>
          </cell>
          <cell r="AF454">
            <v>76</v>
          </cell>
          <cell r="AG454">
            <v>0</v>
          </cell>
          <cell r="AH454">
            <v>76</v>
          </cell>
          <cell r="AI454">
            <v>78</v>
          </cell>
          <cell r="AJ454">
            <v>0</v>
          </cell>
          <cell r="AK454">
            <v>0</v>
          </cell>
          <cell r="AL454">
            <v>2</v>
          </cell>
          <cell r="AM454">
            <v>0</v>
          </cell>
          <cell r="AN454">
            <v>2</v>
          </cell>
          <cell r="AO454">
            <v>0</v>
          </cell>
          <cell r="AP454">
            <v>2</v>
          </cell>
          <cell r="AU454">
            <v>32</v>
          </cell>
          <cell r="BB454">
            <v>64</v>
          </cell>
          <cell r="BC454">
            <v>0</v>
          </cell>
          <cell r="BD454">
            <v>0</v>
          </cell>
          <cell r="BE454">
            <v>0</v>
          </cell>
          <cell r="BI454">
            <v>0</v>
          </cell>
          <cell r="BK454">
            <v>2496</v>
          </cell>
          <cell r="BL454">
            <v>2432</v>
          </cell>
          <cell r="BM454">
            <v>0</v>
          </cell>
          <cell r="BN454">
            <v>0</v>
          </cell>
          <cell r="BO454">
            <v>0</v>
          </cell>
          <cell r="BP454">
            <v>2432</v>
          </cell>
          <cell r="BQ454">
            <v>0</v>
          </cell>
          <cell r="BR454">
            <v>64</v>
          </cell>
          <cell r="BT454">
            <v>2</v>
          </cell>
          <cell r="BU454">
            <v>2</v>
          </cell>
          <cell r="BV454" t="str">
            <v>N</v>
          </cell>
          <cell r="BW454">
            <v>0</v>
          </cell>
          <cell r="BX454">
            <v>0</v>
          </cell>
          <cell r="BY454">
            <v>2026</v>
          </cell>
          <cell r="BZ454" t="str">
            <v>-</v>
          </cell>
          <cell r="CA454" t="str">
            <v>-</v>
          </cell>
        </row>
        <row r="455">
          <cell r="A455" t="str">
            <v>Lucknow</v>
          </cell>
          <cell r="B455" t="str">
            <v>Trust</v>
          </cell>
          <cell r="C455" t="str">
            <v>Mid Level</v>
          </cell>
          <cell r="D455" t="str">
            <v>Harsh Agarwal</v>
          </cell>
          <cell r="E455" t="str">
            <v>-</v>
          </cell>
          <cell r="F455" t="str">
            <v>Non-MSP</v>
          </cell>
          <cell r="H455" t="str">
            <v>Virendra Vikram Singh</v>
          </cell>
          <cell r="L455" t="str">
            <v>New</v>
          </cell>
          <cell r="M455">
            <v>46118</v>
          </cell>
          <cell r="N455">
            <v>84</v>
          </cell>
          <cell r="P455">
            <v>46483</v>
          </cell>
          <cell r="Q455" t="str">
            <v>PLC-4793</v>
          </cell>
          <cell r="R455" t="str">
            <v>Prakash Chidambaram</v>
          </cell>
          <cell r="S455" t="str">
            <v>Individual</v>
          </cell>
          <cell r="T455" t="str">
            <v>FTE</v>
          </cell>
          <cell r="U455" t="str">
            <v>GAF</v>
          </cell>
          <cell r="V455">
            <v>0</v>
          </cell>
          <cell r="W455">
            <v>0</v>
          </cell>
          <cell r="X455" t="str">
            <v>USD</v>
          </cell>
          <cell r="Y455">
            <v>33000</v>
          </cell>
          <cell r="Z455">
            <v>0</v>
          </cell>
          <cell r="AA455">
            <v>0</v>
          </cell>
          <cell r="AB455">
            <v>0</v>
          </cell>
          <cell r="AC455">
            <v>46127</v>
          </cell>
          <cell r="AD455">
            <v>1</v>
          </cell>
          <cell r="AE455">
            <v>46387</v>
          </cell>
          <cell r="AF455">
            <v>0</v>
          </cell>
          <cell r="AG455">
            <v>0</v>
          </cell>
          <cell r="AH455">
            <v>0</v>
          </cell>
          <cell r="AI455">
            <v>32010</v>
          </cell>
          <cell r="AJ455">
            <v>0</v>
          </cell>
          <cell r="AK455">
            <v>0</v>
          </cell>
          <cell r="AL455">
            <v>32010</v>
          </cell>
          <cell r="AM455">
            <v>0</v>
          </cell>
          <cell r="AN455">
            <v>32010</v>
          </cell>
          <cell r="AO455">
            <v>0</v>
          </cell>
          <cell r="AP455">
            <v>15000</v>
          </cell>
          <cell r="AQ455" t="str">
            <v>US_27689</v>
          </cell>
          <cell r="AR455">
            <v>0</v>
          </cell>
          <cell r="AS455">
            <v>1</v>
          </cell>
          <cell r="AU455">
            <v>1</v>
          </cell>
          <cell r="AV455">
            <v>0</v>
          </cell>
          <cell r="AW455">
            <v>32010</v>
          </cell>
          <cell r="AX455">
            <v>32010</v>
          </cell>
          <cell r="AY455">
            <v>0</v>
          </cell>
          <cell r="AZ455">
            <v>15000</v>
          </cell>
          <cell r="BA455">
            <v>15000</v>
          </cell>
          <cell r="BB455">
            <v>32010</v>
          </cell>
          <cell r="BC455">
            <v>75</v>
          </cell>
          <cell r="BD455">
            <v>19800</v>
          </cell>
          <cell r="BE455">
            <v>19800</v>
          </cell>
          <cell r="BF455">
            <v>39</v>
          </cell>
          <cell r="BG455">
            <v>15000</v>
          </cell>
          <cell r="BH455">
            <v>8250</v>
          </cell>
          <cell r="BI455">
            <v>0</v>
          </cell>
          <cell r="BJ455">
            <v>33000</v>
          </cell>
          <cell r="BK455">
            <v>32010</v>
          </cell>
          <cell r="BL455">
            <v>0</v>
          </cell>
          <cell r="BM455">
            <v>0</v>
          </cell>
          <cell r="BN455">
            <v>0</v>
          </cell>
          <cell r="BO455">
            <v>0</v>
          </cell>
          <cell r="BP455">
            <v>0</v>
          </cell>
          <cell r="BQ455">
            <v>0</v>
          </cell>
          <cell r="BR455">
            <v>32010</v>
          </cell>
          <cell r="BT455">
            <v>2</v>
          </cell>
          <cell r="BU455">
            <v>2</v>
          </cell>
          <cell r="BV455" t="str">
            <v>Y</v>
          </cell>
          <cell r="BW455">
            <v>39600</v>
          </cell>
          <cell r="BX455">
            <v>39600</v>
          </cell>
          <cell r="BY455">
            <v>2026</v>
          </cell>
          <cell r="BZ455" t="str">
            <v>-</v>
          </cell>
          <cell r="CA455" t="str">
            <v>-</v>
          </cell>
        </row>
        <row r="456">
          <cell r="A456" t="str">
            <v>Lucknow</v>
          </cell>
          <cell r="B456" t="str">
            <v>Mavericks</v>
          </cell>
          <cell r="C456" t="str">
            <v>Mid Level</v>
          </cell>
          <cell r="D456" t="str">
            <v>Mohammad Fakhrul</v>
          </cell>
          <cell r="E456" t="str">
            <v>-</v>
          </cell>
          <cell r="F456" t="str">
            <v>MSP</v>
          </cell>
          <cell r="H456" t="str">
            <v>Pass Through/MSP</v>
          </cell>
          <cell r="L456" t="str">
            <v>New</v>
          </cell>
          <cell r="M456">
            <v>46112</v>
          </cell>
          <cell r="N456">
            <v>90</v>
          </cell>
          <cell r="P456">
            <v>46477</v>
          </cell>
          <cell r="Q456" t="str">
            <v>PLC-Passthrough</v>
          </cell>
          <cell r="R456" t="str">
            <v>Praneeth Reddy Koppula</v>
          </cell>
          <cell r="S456" t="str">
            <v>Individual</v>
          </cell>
          <cell r="T456" t="str">
            <v>C2C</v>
          </cell>
          <cell r="U456" t="str">
            <v>CoForge</v>
          </cell>
          <cell r="V456">
            <v>74</v>
          </cell>
          <cell r="W456">
            <v>0</v>
          </cell>
          <cell r="X456" t="str">
            <v>USD</v>
          </cell>
          <cell r="Y456">
            <v>75</v>
          </cell>
          <cell r="Z456">
            <v>0</v>
          </cell>
          <cell r="AA456">
            <v>0</v>
          </cell>
          <cell r="AB456">
            <v>0</v>
          </cell>
          <cell r="AC456">
            <v>46096</v>
          </cell>
          <cell r="AD456">
            <v>1</v>
          </cell>
          <cell r="AE456">
            <v>46387</v>
          </cell>
          <cell r="AF456">
            <v>74</v>
          </cell>
          <cell r="AG456">
            <v>0</v>
          </cell>
          <cell r="AH456">
            <v>74</v>
          </cell>
          <cell r="AI456">
            <v>75</v>
          </cell>
          <cell r="AJ456">
            <v>0</v>
          </cell>
          <cell r="AK456">
            <v>0</v>
          </cell>
          <cell r="AL456">
            <v>1</v>
          </cell>
          <cell r="AM456">
            <v>0</v>
          </cell>
          <cell r="AN456">
            <v>1</v>
          </cell>
          <cell r="AO456">
            <v>0</v>
          </cell>
          <cell r="AP456">
            <v>1</v>
          </cell>
          <cell r="AQ456" t="str">
            <v>US_CMSP_00587</v>
          </cell>
          <cell r="AR456">
            <v>0</v>
          </cell>
          <cell r="AS456">
            <v>8</v>
          </cell>
          <cell r="AU456">
            <v>8</v>
          </cell>
          <cell r="AV456">
            <v>0</v>
          </cell>
          <cell r="AW456">
            <v>8</v>
          </cell>
          <cell r="AX456">
            <v>8</v>
          </cell>
          <cell r="AY456">
            <v>0</v>
          </cell>
          <cell r="AZ456">
            <v>8</v>
          </cell>
          <cell r="BA456">
            <v>8</v>
          </cell>
          <cell r="BB456">
            <v>8</v>
          </cell>
          <cell r="BC456">
            <v>0</v>
          </cell>
          <cell r="BD456">
            <v>0</v>
          </cell>
          <cell r="BE456">
            <v>0</v>
          </cell>
          <cell r="BG456">
            <v>8</v>
          </cell>
          <cell r="BI456">
            <v>0</v>
          </cell>
          <cell r="BJ456">
            <v>600</v>
          </cell>
          <cell r="BK456">
            <v>600</v>
          </cell>
          <cell r="BL456">
            <v>592</v>
          </cell>
          <cell r="BM456">
            <v>0</v>
          </cell>
          <cell r="BN456">
            <v>0</v>
          </cell>
          <cell r="BO456">
            <v>0</v>
          </cell>
          <cell r="BP456">
            <v>592</v>
          </cell>
          <cell r="BQ456">
            <v>0</v>
          </cell>
          <cell r="BR456">
            <v>8</v>
          </cell>
          <cell r="BS456" t="str">
            <v>Y</v>
          </cell>
          <cell r="BT456">
            <v>1</v>
          </cell>
          <cell r="BU456">
            <v>1</v>
          </cell>
          <cell r="BV456" t="str">
            <v>N</v>
          </cell>
          <cell r="BW456">
            <v>0</v>
          </cell>
          <cell r="BX456">
            <v>0</v>
          </cell>
          <cell r="BY456">
            <v>2026</v>
          </cell>
          <cell r="BZ456" t="str">
            <v>-</v>
          </cell>
          <cell r="CA456" t="str">
            <v>-</v>
          </cell>
        </row>
        <row r="457">
          <cell r="A457" t="str">
            <v>Lucknow</v>
          </cell>
          <cell r="B457" t="str">
            <v>Mavericks</v>
          </cell>
          <cell r="C457" t="str">
            <v>Mid Level</v>
          </cell>
          <cell r="D457" t="str">
            <v>Mohammad Fakhrul</v>
          </cell>
          <cell r="E457" t="str">
            <v>-</v>
          </cell>
          <cell r="F457" t="str">
            <v>MSP</v>
          </cell>
          <cell r="H457" t="str">
            <v>Pass Through/MSP</v>
          </cell>
          <cell r="J457" t="str">
            <v>ACH</v>
          </cell>
          <cell r="L457" t="str">
            <v>New</v>
          </cell>
          <cell r="M457">
            <v>46112</v>
          </cell>
          <cell r="N457">
            <v>90</v>
          </cell>
          <cell r="P457">
            <v>46477</v>
          </cell>
          <cell r="Q457" t="str">
            <v>PLC-Passthrough</v>
          </cell>
          <cell r="R457" t="str">
            <v>Praneeth Reddy Koppula</v>
          </cell>
          <cell r="S457" t="str">
            <v>Individual</v>
          </cell>
          <cell r="T457" t="str">
            <v>C2C</v>
          </cell>
          <cell r="U457" t="str">
            <v>CoForge</v>
          </cell>
          <cell r="V457">
            <v>74</v>
          </cell>
          <cell r="W457">
            <v>0</v>
          </cell>
          <cell r="X457" t="str">
            <v>USD</v>
          </cell>
          <cell r="Y457">
            <v>75</v>
          </cell>
          <cell r="Z457">
            <v>0</v>
          </cell>
          <cell r="AA457">
            <v>0</v>
          </cell>
          <cell r="AB457">
            <v>0</v>
          </cell>
          <cell r="AC457">
            <v>46127</v>
          </cell>
          <cell r="AD457">
            <v>22</v>
          </cell>
          <cell r="AE457">
            <v>46387</v>
          </cell>
          <cell r="AF457">
            <v>74</v>
          </cell>
          <cell r="AG457">
            <v>0</v>
          </cell>
          <cell r="AH457">
            <v>74</v>
          </cell>
          <cell r="AI457">
            <v>75</v>
          </cell>
          <cell r="AJ457">
            <v>0</v>
          </cell>
          <cell r="AK457">
            <v>0</v>
          </cell>
          <cell r="AL457">
            <v>1</v>
          </cell>
          <cell r="AM457">
            <v>0</v>
          </cell>
          <cell r="AN457">
            <v>1</v>
          </cell>
          <cell r="AO457">
            <v>0</v>
          </cell>
          <cell r="AP457">
            <v>1</v>
          </cell>
          <cell r="AQ457" t="str">
            <v>US_CMSP_00728</v>
          </cell>
          <cell r="AR457">
            <v>0</v>
          </cell>
          <cell r="AS457">
            <v>168</v>
          </cell>
          <cell r="AU457">
            <v>168</v>
          </cell>
          <cell r="AV457">
            <v>0</v>
          </cell>
          <cell r="AW457">
            <v>168</v>
          </cell>
          <cell r="AX457">
            <v>166.32</v>
          </cell>
          <cell r="AY457">
            <v>0</v>
          </cell>
          <cell r="AZ457">
            <v>168</v>
          </cell>
          <cell r="BA457">
            <v>166.32</v>
          </cell>
          <cell r="BB457">
            <v>168</v>
          </cell>
          <cell r="BC457">
            <v>0</v>
          </cell>
          <cell r="BD457">
            <v>0</v>
          </cell>
          <cell r="BE457">
            <v>0</v>
          </cell>
          <cell r="BG457">
            <v>166.32</v>
          </cell>
          <cell r="BI457">
            <v>0</v>
          </cell>
          <cell r="BJ457">
            <v>12600</v>
          </cell>
          <cell r="BK457">
            <v>12600</v>
          </cell>
          <cell r="BL457">
            <v>12432</v>
          </cell>
          <cell r="BM457">
            <v>0</v>
          </cell>
          <cell r="BN457">
            <v>0</v>
          </cell>
          <cell r="BO457">
            <v>0</v>
          </cell>
          <cell r="BP457">
            <v>12432</v>
          </cell>
          <cell r="BQ457">
            <v>0</v>
          </cell>
          <cell r="BR457">
            <v>168</v>
          </cell>
          <cell r="BS457" t="str">
            <v>Y</v>
          </cell>
          <cell r="BT457">
            <v>2</v>
          </cell>
          <cell r="BU457">
            <v>1</v>
          </cell>
          <cell r="BV457" t="str">
            <v>N</v>
          </cell>
          <cell r="BW457">
            <v>0</v>
          </cell>
          <cell r="BX457">
            <v>0</v>
          </cell>
          <cell r="BY457">
            <v>2026</v>
          </cell>
          <cell r="BZ457" t="str">
            <v>-</v>
          </cell>
          <cell r="CA457" t="str">
            <v>-</v>
          </cell>
        </row>
        <row r="458">
          <cell r="A458" t="str">
            <v>Lucknow</v>
          </cell>
          <cell r="B458" t="str">
            <v>Mavericks</v>
          </cell>
          <cell r="C458" t="str">
            <v>Mid Level</v>
          </cell>
          <cell r="D458" t="str">
            <v>Mohammad Fakhrul</v>
          </cell>
          <cell r="E458" t="str">
            <v>-</v>
          </cell>
          <cell r="F458" t="str">
            <v>MSP</v>
          </cell>
          <cell r="H458" t="str">
            <v>Pass Through/MSP</v>
          </cell>
          <cell r="J458" t="str">
            <v>ACH</v>
          </cell>
          <cell r="L458" t="str">
            <v>New</v>
          </cell>
          <cell r="M458">
            <v>46112</v>
          </cell>
          <cell r="N458">
            <v>90</v>
          </cell>
          <cell r="P458">
            <v>46477</v>
          </cell>
          <cell r="Q458" t="str">
            <v>PLC-Passthrough</v>
          </cell>
          <cell r="R458" t="str">
            <v>Praneeth Reddy Koppula</v>
          </cell>
          <cell r="S458" t="str">
            <v>Individual</v>
          </cell>
          <cell r="T458" t="str">
            <v>C2C</v>
          </cell>
          <cell r="U458" t="str">
            <v>CoForge</v>
          </cell>
          <cell r="V458">
            <v>74</v>
          </cell>
          <cell r="W458">
            <v>0</v>
          </cell>
          <cell r="X458" t="str">
            <v>USD</v>
          </cell>
          <cell r="Y458">
            <v>75</v>
          </cell>
          <cell r="Z458">
            <v>0</v>
          </cell>
          <cell r="AA458">
            <v>0</v>
          </cell>
          <cell r="AB458">
            <v>0</v>
          </cell>
          <cell r="AC458">
            <v>46157</v>
          </cell>
          <cell r="AD458">
            <v>22</v>
          </cell>
          <cell r="AE458">
            <v>46387</v>
          </cell>
          <cell r="AF458">
            <v>74</v>
          </cell>
          <cell r="AG458">
            <v>0</v>
          </cell>
          <cell r="AH458">
            <v>74</v>
          </cell>
          <cell r="AI458">
            <v>75</v>
          </cell>
          <cell r="AJ458">
            <v>0</v>
          </cell>
          <cell r="AK458">
            <v>0</v>
          </cell>
          <cell r="AL458">
            <v>1</v>
          </cell>
          <cell r="AM458">
            <v>0</v>
          </cell>
          <cell r="AN458">
            <v>1</v>
          </cell>
          <cell r="AO458">
            <v>0</v>
          </cell>
          <cell r="AP458">
            <v>1</v>
          </cell>
          <cell r="AQ458" t="str">
            <v>US_CMSP_00765</v>
          </cell>
          <cell r="AR458">
            <v>0</v>
          </cell>
          <cell r="AS458">
            <v>160</v>
          </cell>
          <cell r="AU458">
            <v>160</v>
          </cell>
          <cell r="AV458">
            <v>0</v>
          </cell>
          <cell r="AW458">
            <v>160</v>
          </cell>
          <cell r="AX458">
            <v>158.4</v>
          </cell>
          <cell r="AY458">
            <v>0</v>
          </cell>
          <cell r="AZ458">
            <v>160</v>
          </cell>
          <cell r="BA458">
            <v>158.4</v>
          </cell>
          <cell r="BB458">
            <v>160</v>
          </cell>
          <cell r="BC458">
            <v>0</v>
          </cell>
          <cell r="BD458">
            <v>0</v>
          </cell>
          <cell r="BE458">
            <v>0</v>
          </cell>
          <cell r="BG458">
            <v>158.4</v>
          </cell>
          <cell r="BI458">
            <v>0</v>
          </cell>
          <cell r="BJ458">
            <v>12000</v>
          </cell>
          <cell r="BK458">
            <v>12000</v>
          </cell>
          <cell r="BL458">
            <v>11840</v>
          </cell>
          <cell r="BM458">
            <v>0</v>
          </cell>
          <cell r="BN458">
            <v>0</v>
          </cell>
          <cell r="BO458">
            <v>0</v>
          </cell>
          <cell r="BP458">
            <v>11840</v>
          </cell>
          <cell r="BQ458">
            <v>0</v>
          </cell>
          <cell r="BR458">
            <v>160</v>
          </cell>
          <cell r="BT458">
            <v>2</v>
          </cell>
          <cell r="BU458">
            <v>1</v>
          </cell>
          <cell r="BV458" t="str">
            <v>N</v>
          </cell>
          <cell r="BW458">
            <v>0</v>
          </cell>
          <cell r="BX458">
            <v>0</v>
          </cell>
          <cell r="BY458">
            <v>2026</v>
          </cell>
          <cell r="BZ458" t="str">
            <v>-</v>
          </cell>
          <cell r="CA458" t="str">
            <v>-</v>
          </cell>
        </row>
        <row r="459">
          <cell r="A459" t="str">
            <v>Lucknow</v>
          </cell>
          <cell r="B459" t="str">
            <v>Vantedge</v>
          </cell>
          <cell r="C459" t="str">
            <v>Senior</v>
          </cell>
          <cell r="D459" t="str">
            <v>Anshul Kumar</v>
          </cell>
          <cell r="F459" t="str">
            <v>Non-MSP</v>
          </cell>
          <cell r="H459" t="str">
            <v>Shreya Singh</v>
          </cell>
          <cell r="L459" t="str">
            <v>New</v>
          </cell>
          <cell r="M459">
            <v>46139</v>
          </cell>
          <cell r="N459">
            <v>63</v>
          </cell>
          <cell r="P459">
            <v>46504</v>
          </cell>
          <cell r="Q459" t="str">
            <v>PLC-4848</v>
          </cell>
          <cell r="R459" t="str">
            <v>Prasenjit Chakraborty</v>
          </cell>
          <cell r="S459" t="str">
            <v>Individual</v>
          </cell>
          <cell r="T459" t="str">
            <v>FTE</v>
          </cell>
          <cell r="U459" t="str">
            <v>LTTS</v>
          </cell>
          <cell r="V459">
            <v>0</v>
          </cell>
          <cell r="W459">
            <v>0</v>
          </cell>
          <cell r="X459" t="str">
            <v>USD</v>
          </cell>
          <cell r="Y459">
            <v>24000</v>
          </cell>
          <cell r="Z459">
            <v>0</v>
          </cell>
          <cell r="AA459">
            <v>0</v>
          </cell>
          <cell r="AB459">
            <v>0</v>
          </cell>
          <cell r="AC459">
            <v>46127</v>
          </cell>
          <cell r="AD459">
            <v>1</v>
          </cell>
          <cell r="AE459">
            <v>46387</v>
          </cell>
          <cell r="AF459">
            <v>0</v>
          </cell>
          <cell r="AG459">
            <v>0</v>
          </cell>
          <cell r="AH459">
            <v>0</v>
          </cell>
          <cell r="AI459">
            <v>24000</v>
          </cell>
          <cell r="AJ459">
            <v>0</v>
          </cell>
          <cell r="AK459">
            <v>0</v>
          </cell>
          <cell r="AL459">
            <v>24000</v>
          </cell>
          <cell r="AM459">
            <v>0</v>
          </cell>
          <cell r="AN459">
            <v>24000</v>
          </cell>
          <cell r="AO459">
            <v>0</v>
          </cell>
          <cell r="AP459">
            <v>24000</v>
          </cell>
          <cell r="AQ459" t="str">
            <v>US_27463</v>
          </cell>
          <cell r="AR459">
            <v>0</v>
          </cell>
          <cell r="AS459">
            <v>1</v>
          </cell>
          <cell r="AU459">
            <v>1</v>
          </cell>
          <cell r="AV459">
            <v>0</v>
          </cell>
          <cell r="AW459">
            <v>24000</v>
          </cell>
          <cell r="AX459">
            <v>24000</v>
          </cell>
          <cell r="AY459">
            <v>0</v>
          </cell>
          <cell r="AZ459">
            <v>24000</v>
          </cell>
          <cell r="BA459">
            <v>24000</v>
          </cell>
          <cell r="BB459">
            <v>24000</v>
          </cell>
          <cell r="BC459">
            <v>0</v>
          </cell>
          <cell r="BD459">
            <v>0</v>
          </cell>
          <cell r="BE459">
            <v>0</v>
          </cell>
          <cell r="BG459">
            <v>24000</v>
          </cell>
          <cell r="BI459">
            <v>0</v>
          </cell>
          <cell r="BJ459">
            <v>24000</v>
          </cell>
          <cell r="BK459">
            <v>24000</v>
          </cell>
          <cell r="BL459">
            <v>0</v>
          </cell>
          <cell r="BM459">
            <v>0</v>
          </cell>
          <cell r="BN459">
            <v>0</v>
          </cell>
          <cell r="BO459">
            <v>0</v>
          </cell>
          <cell r="BP459">
            <v>0</v>
          </cell>
          <cell r="BQ459">
            <v>0</v>
          </cell>
          <cell r="BR459">
            <v>24000</v>
          </cell>
          <cell r="BT459">
            <v>2</v>
          </cell>
          <cell r="BU459">
            <v>2</v>
          </cell>
          <cell r="BV459" t="str">
            <v>N</v>
          </cell>
          <cell r="BW459">
            <v>0</v>
          </cell>
          <cell r="BX459">
            <v>0</v>
          </cell>
          <cell r="BY459">
            <v>2026</v>
          </cell>
          <cell r="BZ459" t="str">
            <v>-</v>
          </cell>
          <cell r="CA459" t="str">
            <v>-</v>
          </cell>
        </row>
        <row r="460">
          <cell r="A460" t="str">
            <v>Lucknow</v>
          </cell>
          <cell r="B460" t="str">
            <v>Mavericks</v>
          </cell>
          <cell r="C460" t="str">
            <v>Mid Level</v>
          </cell>
          <cell r="D460" t="str">
            <v>Akbar Ibrahim</v>
          </cell>
          <cell r="E460" t="str">
            <v>-</v>
          </cell>
          <cell r="F460" t="str">
            <v>MSP</v>
          </cell>
          <cell r="H460" t="str">
            <v>Pass Through</v>
          </cell>
          <cell r="L460" t="str">
            <v>New</v>
          </cell>
          <cell r="M460">
            <v>46050</v>
          </cell>
          <cell r="N460">
            <v>152</v>
          </cell>
          <cell r="P460">
            <v>46415</v>
          </cell>
          <cell r="Q460" t="str">
            <v>PLC-Passthrough</v>
          </cell>
          <cell r="R460" t="str">
            <v>Pratik Vishwas Bhosekar</v>
          </cell>
          <cell r="S460" t="str">
            <v>Individual</v>
          </cell>
          <cell r="T460" t="str">
            <v>C2C</v>
          </cell>
          <cell r="U460" t="str">
            <v>Cigniti</v>
          </cell>
          <cell r="V460">
            <v>93</v>
          </cell>
          <cell r="W460">
            <v>0</v>
          </cell>
          <cell r="X460" t="str">
            <v>USD</v>
          </cell>
          <cell r="Y460">
            <v>95</v>
          </cell>
          <cell r="Z460">
            <v>0</v>
          </cell>
          <cell r="AA460">
            <v>0</v>
          </cell>
          <cell r="AB460">
            <v>0</v>
          </cell>
          <cell r="AC460">
            <v>46037</v>
          </cell>
          <cell r="AD460">
            <v>3</v>
          </cell>
          <cell r="AE460">
            <v>46387</v>
          </cell>
          <cell r="AF460">
            <v>93</v>
          </cell>
          <cell r="AG460">
            <v>0</v>
          </cell>
          <cell r="AH460">
            <v>93</v>
          </cell>
          <cell r="AI460">
            <v>95</v>
          </cell>
          <cell r="AJ460">
            <v>0</v>
          </cell>
          <cell r="AK460">
            <v>0</v>
          </cell>
          <cell r="AL460">
            <v>2</v>
          </cell>
          <cell r="AM460">
            <v>0</v>
          </cell>
          <cell r="AN460">
            <v>2</v>
          </cell>
          <cell r="AO460">
            <v>0</v>
          </cell>
          <cell r="AP460">
            <v>2</v>
          </cell>
          <cell r="AQ460" t="str">
            <v>US_CMSP_00320_Rev</v>
          </cell>
          <cell r="AR460">
            <v>0</v>
          </cell>
          <cell r="AS460">
            <v>24</v>
          </cell>
          <cell r="AU460">
            <v>24</v>
          </cell>
          <cell r="AV460">
            <v>0</v>
          </cell>
          <cell r="AW460">
            <v>48</v>
          </cell>
          <cell r="AX460">
            <v>48</v>
          </cell>
          <cell r="AY460">
            <v>0</v>
          </cell>
          <cell r="AZ460">
            <v>48</v>
          </cell>
          <cell r="BA460">
            <v>48</v>
          </cell>
          <cell r="BB460">
            <v>48</v>
          </cell>
          <cell r="BC460">
            <v>0</v>
          </cell>
          <cell r="BD460">
            <v>0</v>
          </cell>
          <cell r="BE460">
            <v>0</v>
          </cell>
          <cell r="BG460">
            <v>48</v>
          </cell>
          <cell r="BI460">
            <v>48</v>
          </cell>
          <cell r="BJ460">
            <v>2280</v>
          </cell>
          <cell r="BK460">
            <v>2280</v>
          </cell>
          <cell r="BL460">
            <v>2232</v>
          </cell>
          <cell r="BM460">
            <v>0</v>
          </cell>
          <cell r="BN460">
            <v>0</v>
          </cell>
          <cell r="BO460">
            <v>0</v>
          </cell>
          <cell r="BP460">
            <v>2232</v>
          </cell>
          <cell r="BQ460">
            <v>0</v>
          </cell>
          <cell r="BR460">
            <v>48</v>
          </cell>
          <cell r="BS460" t="str">
            <v>Y</v>
          </cell>
          <cell r="BT460">
            <v>1</v>
          </cell>
          <cell r="BU460">
            <v>1</v>
          </cell>
          <cell r="BV460" t="str">
            <v>Y</v>
          </cell>
          <cell r="BW460">
            <v>0</v>
          </cell>
          <cell r="BX460">
            <v>0</v>
          </cell>
          <cell r="BY460">
            <v>2026</v>
          </cell>
          <cell r="BZ460" t="str">
            <v>-</v>
          </cell>
          <cell r="CA460" t="str">
            <v>-</v>
          </cell>
        </row>
        <row r="461">
          <cell r="A461" t="str">
            <v>Lucknow</v>
          </cell>
          <cell r="B461" t="str">
            <v>Mavericks</v>
          </cell>
          <cell r="C461" t="str">
            <v>Mid Level</v>
          </cell>
          <cell r="D461" t="str">
            <v>Akbar Ibrahim</v>
          </cell>
          <cell r="E461" t="str">
            <v>-</v>
          </cell>
          <cell r="F461" t="str">
            <v>MSP</v>
          </cell>
          <cell r="H461" t="str">
            <v>Pass Through</v>
          </cell>
          <cell r="L461" t="str">
            <v>New</v>
          </cell>
          <cell r="M461">
            <v>46050</v>
          </cell>
          <cell r="N461">
            <v>152</v>
          </cell>
          <cell r="P461">
            <v>46415</v>
          </cell>
          <cell r="Q461" t="str">
            <v>PLC-Passthrough</v>
          </cell>
          <cell r="R461" t="str">
            <v>Pratik Vishwas Bhosekar</v>
          </cell>
          <cell r="S461" t="str">
            <v>Individual</v>
          </cell>
          <cell r="T461" t="str">
            <v>C2C</v>
          </cell>
          <cell r="U461" t="str">
            <v>Cigniti</v>
          </cell>
          <cell r="V461">
            <v>93</v>
          </cell>
          <cell r="W461">
            <v>0</v>
          </cell>
          <cell r="X461" t="str">
            <v>USD</v>
          </cell>
          <cell r="Y461">
            <v>95</v>
          </cell>
          <cell r="Z461">
            <v>0</v>
          </cell>
          <cell r="AA461">
            <v>0</v>
          </cell>
          <cell r="AB461">
            <v>0</v>
          </cell>
          <cell r="AC461">
            <v>46068</v>
          </cell>
          <cell r="AD461">
            <v>20</v>
          </cell>
          <cell r="AE461">
            <v>46387</v>
          </cell>
          <cell r="AF461">
            <v>93</v>
          </cell>
          <cell r="AG461">
            <v>0</v>
          </cell>
          <cell r="AH461">
            <v>93</v>
          </cell>
          <cell r="AI461">
            <v>95</v>
          </cell>
          <cell r="AJ461">
            <v>0</v>
          </cell>
          <cell r="AK461">
            <v>0</v>
          </cell>
          <cell r="AL461">
            <v>2</v>
          </cell>
          <cell r="AM461">
            <v>0</v>
          </cell>
          <cell r="AN461">
            <v>2</v>
          </cell>
          <cell r="AO461">
            <v>0</v>
          </cell>
          <cell r="AP461">
            <v>2</v>
          </cell>
          <cell r="AQ461" t="str">
            <v>US_CMSP_00433</v>
          </cell>
          <cell r="AR461">
            <v>0</v>
          </cell>
          <cell r="AS461">
            <v>160</v>
          </cell>
          <cell r="AU461">
            <v>160</v>
          </cell>
          <cell r="AV461">
            <v>0</v>
          </cell>
          <cell r="AW461">
            <v>320</v>
          </cell>
          <cell r="AX461">
            <v>320</v>
          </cell>
          <cell r="AY461">
            <v>0</v>
          </cell>
          <cell r="AZ461">
            <v>320</v>
          </cell>
          <cell r="BA461">
            <v>320</v>
          </cell>
          <cell r="BB461">
            <v>320</v>
          </cell>
          <cell r="BC461">
            <v>0</v>
          </cell>
          <cell r="BD461">
            <v>0</v>
          </cell>
          <cell r="BE461">
            <v>0</v>
          </cell>
          <cell r="BG461">
            <v>320</v>
          </cell>
          <cell r="BI461">
            <v>320</v>
          </cell>
          <cell r="BJ461">
            <v>15200</v>
          </cell>
          <cell r="BK461">
            <v>15200</v>
          </cell>
          <cell r="BL461">
            <v>14880</v>
          </cell>
          <cell r="BM461">
            <v>0</v>
          </cell>
          <cell r="BN461">
            <v>0</v>
          </cell>
          <cell r="BO461">
            <v>0</v>
          </cell>
          <cell r="BP461">
            <v>14880</v>
          </cell>
          <cell r="BQ461">
            <v>0</v>
          </cell>
          <cell r="BR461">
            <v>320</v>
          </cell>
          <cell r="BS461" t="str">
            <v>Y</v>
          </cell>
          <cell r="BT461">
            <v>1</v>
          </cell>
          <cell r="BU461">
            <v>1</v>
          </cell>
          <cell r="BV461" t="str">
            <v>Y</v>
          </cell>
          <cell r="BW461">
            <v>0</v>
          </cell>
          <cell r="BX461">
            <v>0</v>
          </cell>
          <cell r="BY461">
            <v>2026</v>
          </cell>
          <cell r="BZ461" t="str">
            <v>-</v>
          </cell>
          <cell r="CA461" t="str">
            <v>-</v>
          </cell>
        </row>
        <row r="462">
          <cell r="A462" t="str">
            <v>Lucknow</v>
          </cell>
          <cell r="B462" t="str">
            <v>Mavericks</v>
          </cell>
          <cell r="C462" t="str">
            <v>Mid Level</v>
          </cell>
          <cell r="D462" t="str">
            <v>Akbar Ibrahim</v>
          </cell>
          <cell r="E462" t="str">
            <v>-</v>
          </cell>
          <cell r="F462" t="str">
            <v>MSP</v>
          </cell>
          <cell r="H462" t="str">
            <v>Pass Through</v>
          </cell>
          <cell r="L462" t="str">
            <v>New</v>
          </cell>
          <cell r="M462">
            <v>46050</v>
          </cell>
          <cell r="N462">
            <v>152</v>
          </cell>
          <cell r="P462">
            <v>46415</v>
          </cell>
          <cell r="Q462" t="str">
            <v>PLC-Passthrough</v>
          </cell>
          <cell r="R462" t="str">
            <v>Pratik Vishwas Bhosekar</v>
          </cell>
          <cell r="S462" t="str">
            <v>Individual</v>
          </cell>
          <cell r="T462" t="str">
            <v>C2C</v>
          </cell>
          <cell r="U462" t="str">
            <v>Cigniti</v>
          </cell>
          <cell r="V462">
            <v>93</v>
          </cell>
          <cell r="W462">
            <v>0</v>
          </cell>
          <cell r="X462" t="str">
            <v>USD</v>
          </cell>
          <cell r="Y462">
            <v>95</v>
          </cell>
          <cell r="Z462">
            <v>0</v>
          </cell>
          <cell r="AA462">
            <v>0</v>
          </cell>
          <cell r="AB462">
            <v>0</v>
          </cell>
          <cell r="AC462">
            <v>46096</v>
          </cell>
          <cell r="AD462">
            <v>22</v>
          </cell>
          <cell r="AE462">
            <v>46387</v>
          </cell>
          <cell r="AF462">
            <v>93</v>
          </cell>
          <cell r="AG462">
            <v>0</v>
          </cell>
          <cell r="AH462">
            <v>93</v>
          </cell>
          <cell r="AI462">
            <v>95</v>
          </cell>
          <cell r="AJ462">
            <v>0</v>
          </cell>
          <cell r="AK462">
            <v>0</v>
          </cell>
          <cell r="AL462">
            <v>2</v>
          </cell>
          <cell r="AM462">
            <v>0</v>
          </cell>
          <cell r="AN462">
            <v>2</v>
          </cell>
          <cell r="AO462">
            <v>0</v>
          </cell>
          <cell r="AP462">
            <v>2</v>
          </cell>
          <cell r="AQ462" t="str">
            <v>US_CMSP_00541</v>
          </cell>
          <cell r="AR462">
            <v>0</v>
          </cell>
          <cell r="AS462">
            <v>176</v>
          </cell>
          <cell r="AU462">
            <v>176</v>
          </cell>
          <cell r="AV462">
            <v>0</v>
          </cell>
          <cell r="AW462">
            <v>352</v>
          </cell>
          <cell r="AX462">
            <v>352</v>
          </cell>
          <cell r="AY462">
            <v>0</v>
          </cell>
          <cell r="AZ462">
            <v>352</v>
          </cell>
          <cell r="BA462">
            <v>352</v>
          </cell>
          <cell r="BB462">
            <v>352</v>
          </cell>
          <cell r="BC462">
            <v>0</v>
          </cell>
          <cell r="BD462">
            <v>0</v>
          </cell>
          <cell r="BE462">
            <v>0</v>
          </cell>
          <cell r="BG462">
            <v>352</v>
          </cell>
          <cell r="BI462">
            <v>352</v>
          </cell>
          <cell r="BJ462">
            <v>16720</v>
          </cell>
          <cell r="BK462">
            <v>16720</v>
          </cell>
          <cell r="BL462">
            <v>16368</v>
          </cell>
          <cell r="BM462">
            <v>0</v>
          </cell>
          <cell r="BN462">
            <v>0</v>
          </cell>
          <cell r="BO462">
            <v>0</v>
          </cell>
          <cell r="BP462">
            <v>16368</v>
          </cell>
          <cell r="BQ462">
            <v>0</v>
          </cell>
          <cell r="BR462">
            <v>352</v>
          </cell>
          <cell r="BT462">
            <v>1</v>
          </cell>
          <cell r="BU462">
            <v>1</v>
          </cell>
          <cell r="BV462" t="str">
            <v>Y</v>
          </cell>
          <cell r="BW462">
            <v>0</v>
          </cell>
          <cell r="BX462">
            <v>0</v>
          </cell>
          <cell r="BY462">
            <v>2026</v>
          </cell>
          <cell r="BZ462" t="str">
            <v>-</v>
          </cell>
          <cell r="CA462" t="str">
            <v>-</v>
          </cell>
        </row>
        <row r="463">
          <cell r="A463" t="str">
            <v>Lucknow</v>
          </cell>
          <cell r="B463" t="str">
            <v>Mavericks</v>
          </cell>
          <cell r="C463" t="str">
            <v>Mid Level</v>
          </cell>
          <cell r="D463" t="str">
            <v>Akbar Ibrahim</v>
          </cell>
          <cell r="E463" t="str">
            <v>-</v>
          </cell>
          <cell r="F463" t="str">
            <v>MSP</v>
          </cell>
          <cell r="H463" t="str">
            <v>Pass Through</v>
          </cell>
          <cell r="J463" t="str">
            <v>ACH</v>
          </cell>
          <cell r="L463" t="str">
            <v>New</v>
          </cell>
          <cell r="M463">
            <v>46050</v>
          </cell>
          <cell r="N463">
            <v>152</v>
          </cell>
          <cell r="P463">
            <v>46415</v>
          </cell>
          <cell r="Q463" t="str">
            <v>PLC-Passthrough</v>
          </cell>
          <cell r="R463" t="str">
            <v>Pratik Vishwas Bhosekar</v>
          </cell>
          <cell r="S463" t="str">
            <v>Individual</v>
          </cell>
          <cell r="T463" t="str">
            <v>C2C</v>
          </cell>
          <cell r="U463" t="str">
            <v>Cigniti</v>
          </cell>
          <cell r="V463">
            <v>93</v>
          </cell>
          <cell r="W463">
            <v>0</v>
          </cell>
          <cell r="X463" t="str">
            <v>USD</v>
          </cell>
          <cell r="Y463">
            <v>95</v>
          </cell>
          <cell r="Z463">
            <v>0</v>
          </cell>
          <cell r="AA463">
            <v>0</v>
          </cell>
          <cell r="AB463">
            <v>0</v>
          </cell>
          <cell r="AC463">
            <v>46127</v>
          </cell>
          <cell r="AD463">
            <v>22</v>
          </cell>
          <cell r="AE463">
            <v>46387</v>
          </cell>
          <cell r="AF463">
            <v>93</v>
          </cell>
          <cell r="AG463">
            <v>0</v>
          </cell>
          <cell r="AH463">
            <v>93</v>
          </cell>
          <cell r="AI463">
            <v>95</v>
          </cell>
          <cell r="AJ463">
            <v>0</v>
          </cell>
          <cell r="AK463">
            <v>0</v>
          </cell>
          <cell r="AL463">
            <v>2</v>
          </cell>
          <cell r="AM463">
            <v>0</v>
          </cell>
          <cell r="AN463">
            <v>2</v>
          </cell>
          <cell r="AO463">
            <v>0</v>
          </cell>
          <cell r="AP463">
            <v>2</v>
          </cell>
          <cell r="AU463">
            <v>176</v>
          </cell>
          <cell r="BB463">
            <v>352</v>
          </cell>
          <cell r="BC463">
            <v>0</v>
          </cell>
          <cell r="BD463">
            <v>0</v>
          </cell>
          <cell r="BE463">
            <v>0</v>
          </cell>
          <cell r="BK463">
            <v>16720</v>
          </cell>
          <cell r="BL463">
            <v>16368</v>
          </cell>
          <cell r="BM463">
            <v>0</v>
          </cell>
          <cell r="BN463">
            <v>0</v>
          </cell>
          <cell r="BO463">
            <v>0</v>
          </cell>
          <cell r="BP463">
            <v>16368</v>
          </cell>
          <cell r="BQ463">
            <v>0</v>
          </cell>
          <cell r="BR463">
            <v>352</v>
          </cell>
          <cell r="BT463">
            <v>2</v>
          </cell>
          <cell r="BU463">
            <v>1</v>
          </cell>
          <cell r="BV463" t="str">
            <v>Y</v>
          </cell>
          <cell r="BW463">
            <v>0</v>
          </cell>
          <cell r="BX463">
            <v>0</v>
          </cell>
          <cell r="BY463">
            <v>2026</v>
          </cell>
          <cell r="BZ463" t="str">
            <v>-</v>
          </cell>
          <cell r="CA463" t="str">
            <v>-</v>
          </cell>
        </row>
        <row r="464">
          <cell r="A464" t="str">
            <v>Lucknow</v>
          </cell>
          <cell r="B464" t="str">
            <v>Mavericks</v>
          </cell>
          <cell r="C464" t="str">
            <v>Mid Level</v>
          </cell>
          <cell r="D464" t="str">
            <v>Akbar Ibrahim</v>
          </cell>
          <cell r="E464" t="str">
            <v>-</v>
          </cell>
          <cell r="F464" t="str">
            <v>MSP</v>
          </cell>
          <cell r="H464" t="str">
            <v>Pass Through</v>
          </cell>
          <cell r="J464" t="str">
            <v>ACH</v>
          </cell>
          <cell r="L464" t="str">
            <v>New</v>
          </cell>
          <cell r="M464">
            <v>46050</v>
          </cell>
          <cell r="N464">
            <v>152</v>
          </cell>
          <cell r="P464">
            <v>46415</v>
          </cell>
          <cell r="Q464" t="str">
            <v>PLC-Passthrough</v>
          </cell>
          <cell r="R464" t="str">
            <v>Pratik Vishwas Bhosekar</v>
          </cell>
          <cell r="S464" t="str">
            <v>Individual</v>
          </cell>
          <cell r="T464" t="str">
            <v>C2C</v>
          </cell>
          <cell r="U464" t="str">
            <v>Cigniti</v>
          </cell>
          <cell r="V464">
            <v>93</v>
          </cell>
          <cell r="W464">
            <v>0</v>
          </cell>
          <cell r="X464" t="str">
            <v>USD</v>
          </cell>
          <cell r="Y464">
            <v>95</v>
          </cell>
          <cell r="Z464">
            <v>0</v>
          </cell>
          <cell r="AA464">
            <v>0</v>
          </cell>
          <cell r="AB464">
            <v>0</v>
          </cell>
          <cell r="AC464">
            <v>46157</v>
          </cell>
          <cell r="AD464">
            <v>22</v>
          </cell>
          <cell r="AE464">
            <v>46387</v>
          </cell>
          <cell r="AF464">
            <v>93</v>
          </cell>
          <cell r="AG464">
            <v>0</v>
          </cell>
          <cell r="AH464">
            <v>93</v>
          </cell>
          <cell r="AI464">
            <v>95</v>
          </cell>
          <cell r="AJ464">
            <v>0</v>
          </cell>
          <cell r="AK464">
            <v>0</v>
          </cell>
          <cell r="AL464">
            <v>2</v>
          </cell>
          <cell r="AM464">
            <v>0</v>
          </cell>
          <cell r="AN464">
            <v>2</v>
          </cell>
          <cell r="AO464">
            <v>0</v>
          </cell>
          <cell r="AP464">
            <v>2</v>
          </cell>
          <cell r="AU464">
            <v>176</v>
          </cell>
          <cell r="BB464">
            <v>352</v>
          </cell>
          <cell r="BC464">
            <v>0</v>
          </cell>
          <cell r="BD464">
            <v>0</v>
          </cell>
          <cell r="BE464">
            <v>0</v>
          </cell>
          <cell r="BK464">
            <v>16720</v>
          </cell>
          <cell r="BL464">
            <v>16368</v>
          </cell>
          <cell r="BM464">
            <v>0</v>
          </cell>
          <cell r="BN464">
            <v>0</v>
          </cell>
          <cell r="BO464">
            <v>0</v>
          </cell>
          <cell r="BP464">
            <v>16368</v>
          </cell>
          <cell r="BQ464">
            <v>0</v>
          </cell>
          <cell r="BR464">
            <v>352</v>
          </cell>
          <cell r="BT464">
            <v>2</v>
          </cell>
          <cell r="BU464">
            <v>1</v>
          </cell>
          <cell r="BV464" t="str">
            <v>Y</v>
          </cell>
          <cell r="BW464">
            <v>0</v>
          </cell>
          <cell r="BX464">
            <v>0</v>
          </cell>
          <cell r="BY464">
            <v>2026</v>
          </cell>
          <cell r="BZ464" t="str">
            <v>-</v>
          </cell>
          <cell r="CA464" t="str">
            <v>-</v>
          </cell>
        </row>
        <row r="465">
          <cell r="A465" t="str">
            <v>Lucknow</v>
          </cell>
          <cell r="B465" t="str">
            <v>Mavericks</v>
          </cell>
          <cell r="C465" t="str">
            <v>Mid Level</v>
          </cell>
          <cell r="D465" t="str">
            <v>Mohammad Fakhrul</v>
          </cell>
          <cell r="E465" t="str">
            <v>-</v>
          </cell>
          <cell r="F465" t="str">
            <v>MSP</v>
          </cell>
          <cell r="H465" t="str">
            <v>Pass Through/MSP</v>
          </cell>
          <cell r="L465" t="str">
            <v>New</v>
          </cell>
          <cell r="M465">
            <v>46076</v>
          </cell>
          <cell r="N465">
            <v>126</v>
          </cell>
          <cell r="P465">
            <v>46441</v>
          </cell>
          <cell r="Q465" t="str">
            <v>PLC-Passthrough</v>
          </cell>
          <cell r="R465" t="str">
            <v>Praveen Kumar Vudatha</v>
          </cell>
          <cell r="S465" t="str">
            <v>Individual</v>
          </cell>
          <cell r="T465" t="str">
            <v>C2C</v>
          </cell>
          <cell r="U465" t="str">
            <v>CoForge</v>
          </cell>
          <cell r="V465">
            <v>86</v>
          </cell>
          <cell r="W465">
            <v>0</v>
          </cell>
          <cell r="X465" t="str">
            <v>USD</v>
          </cell>
          <cell r="Y465">
            <v>88</v>
          </cell>
          <cell r="Z465">
            <v>0</v>
          </cell>
          <cell r="AA465">
            <v>0</v>
          </cell>
          <cell r="AB465">
            <v>0</v>
          </cell>
          <cell r="AC465">
            <v>46068</v>
          </cell>
          <cell r="AD465">
            <v>5</v>
          </cell>
          <cell r="AE465">
            <v>46387</v>
          </cell>
          <cell r="AF465">
            <v>86</v>
          </cell>
          <cell r="AG465">
            <v>0</v>
          </cell>
          <cell r="AH465">
            <v>86</v>
          </cell>
          <cell r="AI465">
            <v>88</v>
          </cell>
          <cell r="AJ465">
            <v>0</v>
          </cell>
          <cell r="AK465">
            <v>0</v>
          </cell>
          <cell r="AL465">
            <v>2</v>
          </cell>
          <cell r="AM465">
            <v>0</v>
          </cell>
          <cell r="AN465">
            <v>2</v>
          </cell>
          <cell r="AO465">
            <v>0</v>
          </cell>
          <cell r="AP465">
            <v>2</v>
          </cell>
          <cell r="AQ465" t="str">
            <v>US_CMSP_00441</v>
          </cell>
          <cell r="AR465">
            <v>0</v>
          </cell>
          <cell r="AS465">
            <v>40</v>
          </cell>
          <cell r="AU465">
            <v>40</v>
          </cell>
          <cell r="AV465">
            <v>0</v>
          </cell>
          <cell r="AW465">
            <v>80</v>
          </cell>
          <cell r="AX465">
            <v>80</v>
          </cell>
          <cell r="AY465">
            <v>0</v>
          </cell>
          <cell r="AZ465">
            <v>80</v>
          </cell>
          <cell r="BA465">
            <v>80</v>
          </cell>
          <cell r="BB465">
            <v>80</v>
          </cell>
          <cell r="BC465">
            <v>0</v>
          </cell>
          <cell r="BD465">
            <v>0</v>
          </cell>
          <cell r="BE465">
            <v>0</v>
          </cell>
          <cell r="BG465">
            <v>80</v>
          </cell>
          <cell r="BI465">
            <v>80</v>
          </cell>
          <cell r="BJ465">
            <v>3520</v>
          </cell>
          <cell r="BK465">
            <v>3520</v>
          </cell>
          <cell r="BL465">
            <v>3440</v>
          </cell>
          <cell r="BM465">
            <v>0</v>
          </cell>
          <cell r="BN465">
            <v>0</v>
          </cell>
          <cell r="BO465">
            <v>0</v>
          </cell>
          <cell r="BP465">
            <v>3440</v>
          </cell>
          <cell r="BQ465">
            <v>0</v>
          </cell>
          <cell r="BR465">
            <v>80</v>
          </cell>
          <cell r="BS465" t="str">
            <v>Y</v>
          </cell>
          <cell r="BT465">
            <v>1</v>
          </cell>
          <cell r="BU465">
            <v>1</v>
          </cell>
          <cell r="BV465" t="str">
            <v>N</v>
          </cell>
          <cell r="BW465">
            <v>0</v>
          </cell>
          <cell r="BX465">
            <v>0</v>
          </cell>
          <cell r="BY465">
            <v>2026</v>
          </cell>
          <cell r="BZ465" t="str">
            <v>-</v>
          </cell>
          <cell r="CA465" t="str">
            <v>-</v>
          </cell>
        </row>
        <row r="466">
          <cell r="A466" t="str">
            <v>Lucknow</v>
          </cell>
          <cell r="B466" t="str">
            <v>Mavericks</v>
          </cell>
          <cell r="C466" t="str">
            <v>Mid Level</v>
          </cell>
          <cell r="D466" t="str">
            <v>Mohammad Fakhrul</v>
          </cell>
          <cell r="E466" t="str">
            <v>-</v>
          </cell>
          <cell r="F466" t="str">
            <v>MSP</v>
          </cell>
          <cell r="H466" t="str">
            <v>Pass Through/MSP</v>
          </cell>
          <cell r="L466" t="str">
            <v>New</v>
          </cell>
          <cell r="M466">
            <v>46076</v>
          </cell>
          <cell r="N466">
            <v>126</v>
          </cell>
          <cell r="P466">
            <v>46441</v>
          </cell>
          <cell r="Q466" t="str">
            <v>PLC-Passthrough</v>
          </cell>
          <cell r="R466" t="str">
            <v>Praveen Kumar Vudatha</v>
          </cell>
          <cell r="S466" t="str">
            <v>Individual</v>
          </cell>
          <cell r="T466" t="str">
            <v>C2C</v>
          </cell>
          <cell r="U466" t="str">
            <v>CoForge</v>
          </cell>
          <cell r="V466">
            <v>86</v>
          </cell>
          <cell r="W466">
            <v>0</v>
          </cell>
          <cell r="X466" t="str">
            <v>USD</v>
          </cell>
          <cell r="Y466">
            <v>88</v>
          </cell>
          <cell r="Z466">
            <v>0</v>
          </cell>
          <cell r="AA466">
            <v>0</v>
          </cell>
          <cell r="AB466">
            <v>0</v>
          </cell>
          <cell r="AC466">
            <v>46096</v>
          </cell>
          <cell r="AD466">
            <v>22</v>
          </cell>
          <cell r="AE466">
            <v>46387</v>
          </cell>
          <cell r="AF466">
            <v>86</v>
          </cell>
          <cell r="AG466">
            <v>0</v>
          </cell>
          <cell r="AH466">
            <v>86</v>
          </cell>
          <cell r="AI466">
            <v>88</v>
          </cell>
          <cell r="AJ466">
            <v>0</v>
          </cell>
          <cell r="AK466">
            <v>0</v>
          </cell>
          <cell r="AL466">
            <v>2</v>
          </cell>
          <cell r="AM466">
            <v>0</v>
          </cell>
          <cell r="AN466">
            <v>2</v>
          </cell>
          <cell r="AO466">
            <v>0</v>
          </cell>
          <cell r="AP466">
            <v>2</v>
          </cell>
          <cell r="AQ466" t="str">
            <v>US_CMSP_00549</v>
          </cell>
          <cell r="AR466">
            <v>0</v>
          </cell>
          <cell r="AS466">
            <v>176</v>
          </cell>
          <cell r="AU466">
            <v>176</v>
          </cell>
          <cell r="AV466">
            <v>0</v>
          </cell>
          <cell r="AW466">
            <v>352</v>
          </cell>
          <cell r="AX466">
            <v>352</v>
          </cell>
          <cell r="AY466">
            <v>0</v>
          </cell>
          <cell r="AZ466">
            <v>352</v>
          </cell>
          <cell r="BA466">
            <v>352</v>
          </cell>
          <cell r="BB466">
            <v>352</v>
          </cell>
          <cell r="BC466">
            <v>0</v>
          </cell>
          <cell r="BD466">
            <v>0</v>
          </cell>
          <cell r="BE466">
            <v>0</v>
          </cell>
          <cell r="BG466">
            <v>352</v>
          </cell>
          <cell r="BI466">
            <v>352</v>
          </cell>
          <cell r="BJ466">
            <v>15488</v>
          </cell>
          <cell r="BK466">
            <v>15488</v>
          </cell>
          <cell r="BL466">
            <v>15136</v>
          </cell>
          <cell r="BM466">
            <v>0</v>
          </cell>
          <cell r="BN466">
            <v>0</v>
          </cell>
          <cell r="BO466">
            <v>0</v>
          </cell>
          <cell r="BP466">
            <v>15136</v>
          </cell>
          <cell r="BQ466">
            <v>0</v>
          </cell>
          <cell r="BR466">
            <v>352</v>
          </cell>
          <cell r="BS466" t="str">
            <v>Y</v>
          </cell>
          <cell r="BT466">
            <v>1</v>
          </cell>
          <cell r="BU466">
            <v>1</v>
          </cell>
          <cell r="BV466" t="str">
            <v>N</v>
          </cell>
          <cell r="BW466">
            <v>0</v>
          </cell>
          <cell r="BX466">
            <v>0</v>
          </cell>
          <cell r="BY466">
            <v>2026</v>
          </cell>
          <cell r="BZ466" t="str">
            <v>-</v>
          </cell>
          <cell r="CA466" t="str">
            <v>-</v>
          </cell>
        </row>
        <row r="467">
          <cell r="A467" t="str">
            <v>Lucknow</v>
          </cell>
          <cell r="B467" t="str">
            <v>Mavericks</v>
          </cell>
          <cell r="C467" t="str">
            <v>Mid Level</v>
          </cell>
          <cell r="D467" t="str">
            <v>Mohammad Fakhrul</v>
          </cell>
          <cell r="E467" t="str">
            <v>-</v>
          </cell>
          <cell r="F467" t="str">
            <v>MSP</v>
          </cell>
          <cell r="H467" t="str">
            <v>Pass Through/MSP</v>
          </cell>
          <cell r="J467" t="str">
            <v>ACH</v>
          </cell>
          <cell r="L467" t="str">
            <v>New</v>
          </cell>
          <cell r="M467">
            <v>46076</v>
          </cell>
          <cell r="N467">
            <v>126</v>
          </cell>
          <cell r="P467">
            <v>46441</v>
          </cell>
          <cell r="Q467" t="str">
            <v>PLC-Passthrough</v>
          </cell>
          <cell r="R467" t="str">
            <v>Praveen Kumar Vudatha</v>
          </cell>
          <cell r="S467" t="str">
            <v>Individual</v>
          </cell>
          <cell r="T467" t="str">
            <v>C2C</v>
          </cell>
          <cell r="U467" t="str">
            <v>CoForge</v>
          </cell>
          <cell r="V467">
            <v>86</v>
          </cell>
          <cell r="W467">
            <v>0</v>
          </cell>
          <cell r="X467" t="str">
            <v>USD</v>
          </cell>
          <cell r="Y467">
            <v>88</v>
          </cell>
          <cell r="Z467">
            <v>0</v>
          </cell>
          <cell r="AA467">
            <v>0</v>
          </cell>
          <cell r="AB467">
            <v>0</v>
          </cell>
          <cell r="AC467">
            <v>46127</v>
          </cell>
          <cell r="AD467">
            <v>22</v>
          </cell>
          <cell r="AE467">
            <v>46387</v>
          </cell>
          <cell r="AF467">
            <v>86</v>
          </cell>
          <cell r="AG467">
            <v>0</v>
          </cell>
          <cell r="AH467">
            <v>86</v>
          </cell>
          <cell r="AI467">
            <v>88</v>
          </cell>
          <cell r="AJ467">
            <v>0</v>
          </cell>
          <cell r="AK467">
            <v>0</v>
          </cell>
          <cell r="AL467">
            <v>2</v>
          </cell>
          <cell r="AM467">
            <v>0</v>
          </cell>
          <cell r="AN467">
            <v>2</v>
          </cell>
          <cell r="AO467">
            <v>0</v>
          </cell>
          <cell r="AP467">
            <v>2</v>
          </cell>
          <cell r="AQ467" t="str">
            <v>US_CMSP_00696</v>
          </cell>
          <cell r="AR467">
            <v>0</v>
          </cell>
          <cell r="AS467">
            <v>168</v>
          </cell>
          <cell r="AU467">
            <v>168</v>
          </cell>
          <cell r="AV467">
            <v>0</v>
          </cell>
          <cell r="AW467">
            <v>336</v>
          </cell>
          <cell r="AX467">
            <v>332.64</v>
          </cell>
          <cell r="AY467">
            <v>0</v>
          </cell>
          <cell r="AZ467">
            <v>336</v>
          </cell>
          <cell r="BA467">
            <v>332.64</v>
          </cell>
          <cell r="BB467">
            <v>336</v>
          </cell>
          <cell r="BC467">
            <v>0</v>
          </cell>
          <cell r="BD467">
            <v>0</v>
          </cell>
          <cell r="BE467">
            <v>0</v>
          </cell>
          <cell r="BG467">
            <v>332.64</v>
          </cell>
          <cell r="BI467">
            <v>332.64</v>
          </cell>
          <cell r="BJ467">
            <v>14784</v>
          </cell>
          <cell r="BK467">
            <v>14784</v>
          </cell>
          <cell r="BL467">
            <v>14448</v>
          </cell>
          <cell r="BM467">
            <v>0</v>
          </cell>
          <cell r="BN467">
            <v>0</v>
          </cell>
          <cell r="BO467">
            <v>0</v>
          </cell>
          <cell r="BP467">
            <v>14448</v>
          </cell>
          <cell r="BQ467">
            <v>0</v>
          </cell>
          <cell r="BR467">
            <v>336</v>
          </cell>
          <cell r="BT467">
            <v>2</v>
          </cell>
          <cell r="BU467">
            <v>1</v>
          </cell>
          <cell r="BV467" t="str">
            <v>N</v>
          </cell>
          <cell r="BW467">
            <v>0</v>
          </cell>
          <cell r="BX467">
            <v>0</v>
          </cell>
          <cell r="BY467">
            <v>2026</v>
          </cell>
          <cell r="BZ467" t="str">
            <v>-</v>
          </cell>
          <cell r="CA467" t="str">
            <v>-</v>
          </cell>
        </row>
        <row r="468">
          <cell r="A468" t="str">
            <v>Lucknow</v>
          </cell>
          <cell r="B468" t="str">
            <v>Mavericks</v>
          </cell>
          <cell r="C468" t="str">
            <v>Mid Level</v>
          </cell>
          <cell r="D468" t="str">
            <v>Mohammad Fakhrul</v>
          </cell>
          <cell r="E468" t="str">
            <v>-</v>
          </cell>
          <cell r="F468" t="str">
            <v>MSP</v>
          </cell>
          <cell r="H468" t="str">
            <v>Pass Through/MSP</v>
          </cell>
          <cell r="J468" t="str">
            <v>ACH</v>
          </cell>
          <cell r="L468" t="str">
            <v>New</v>
          </cell>
          <cell r="M468">
            <v>46076</v>
          </cell>
          <cell r="N468">
            <v>126</v>
          </cell>
          <cell r="P468">
            <v>46441</v>
          </cell>
          <cell r="Q468" t="str">
            <v>PLC-Passthrough</v>
          </cell>
          <cell r="R468" t="str">
            <v>Praveen Kumar Vudatha</v>
          </cell>
          <cell r="S468" t="str">
            <v>Individual</v>
          </cell>
          <cell r="T468" t="str">
            <v>C2C</v>
          </cell>
          <cell r="U468" t="str">
            <v>CoForge</v>
          </cell>
          <cell r="V468">
            <v>86</v>
          </cell>
          <cell r="W468">
            <v>0</v>
          </cell>
          <cell r="X468" t="str">
            <v>USD</v>
          </cell>
          <cell r="Y468">
            <v>88</v>
          </cell>
          <cell r="Z468">
            <v>0</v>
          </cell>
          <cell r="AA468">
            <v>0</v>
          </cell>
          <cell r="AB468">
            <v>0</v>
          </cell>
          <cell r="AC468">
            <v>46157</v>
          </cell>
          <cell r="AD468">
            <v>22</v>
          </cell>
          <cell r="AE468">
            <v>46387</v>
          </cell>
          <cell r="AF468">
            <v>86</v>
          </cell>
          <cell r="AG468">
            <v>0</v>
          </cell>
          <cell r="AH468">
            <v>86</v>
          </cell>
          <cell r="AI468">
            <v>88</v>
          </cell>
          <cell r="AJ468">
            <v>0</v>
          </cell>
          <cell r="AK468">
            <v>0</v>
          </cell>
          <cell r="AL468">
            <v>2</v>
          </cell>
          <cell r="AM468">
            <v>0</v>
          </cell>
          <cell r="AN468">
            <v>2</v>
          </cell>
          <cell r="AO468">
            <v>0</v>
          </cell>
          <cell r="AP468">
            <v>2</v>
          </cell>
          <cell r="AQ468" t="str">
            <v>US_CMSP_00856</v>
          </cell>
          <cell r="AR468">
            <v>0</v>
          </cell>
          <cell r="AS468">
            <v>152</v>
          </cell>
          <cell r="AU468">
            <v>152</v>
          </cell>
          <cell r="AV468">
            <v>0</v>
          </cell>
          <cell r="AW468">
            <v>304</v>
          </cell>
          <cell r="AX468">
            <v>300.95999999999998</v>
          </cell>
          <cell r="AY468">
            <v>0</v>
          </cell>
          <cell r="AZ468">
            <v>304</v>
          </cell>
          <cell r="BA468">
            <v>300.95999999999998</v>
          </cell>
          <cell r="BB468">
            <v>304</v>
          </cell>
          <cell r="BC468">
            <v>0</v>
          </cell>
          <cell r="BD468">
            <v>0</v>
          </cell>
          <cell r="BE468">
            <v>0</v>
          </cell>
          <cell r="BG468">
            <v>300.95999999999998</v>
          </cell>
          <cell r="BI468">
            <v>300.95999999999998</v>
          </cell>
          <cell r="BJ468">
            <v>13376</v>
          </cell>
          <cell r="BK468">
            <v>13376</v>
          </cell>
          <cell r="BL468">
            <v>13072</v>
          </cell>
          <cell r="BM468">
            <v>0</v>
          </cell>
          <cell r="BN468">
            <v>0</v>
          </cell>
          <cell r="BO468">
            <v>0</v>
          </cell>
          <cell r="BP468">
            <v>13072</v>
          </cell>
          <cell r="BQ468">
            <v>0</v>
          </cell>
          <cell r="BR468">
            <v>304</v>
          </cell>
          <cell r="BT468">
            <v>2</v>
          </cell>
          <cell r="BU468">
            <v>1</v>
          </cell>
          <cell r="BV468" t="str">
            <v>N</v>
          </cell>
          <cell r="BW468">
            <v>0</v>
          </cell>
          <cell r="BX468">
            <v>0</v>
          </cell>
          <cell r="BY468">
            <v>2026</v>
          </cell>
          <cell r="BZ468" t="str">
            <v>-</v>
          </cell>
          <cell r="CA468" t="str">
            <v>-</v>
          </cell>
        </row>
        <row r="469">
          <cell r="A469" t="str">
            <v>Lucknow</v>
          </cell>
          <cell r="B469" t="str">
            <v>Mavericks</v>
          </cell>
          <cell r="C469" t="str">
            <v>Mid Level</v>
          </cell>
          <cell r="D469" t="str">
            <v>Mohammad Fakhrul</v>
          </cell>
          <cell r="E469" t="str">
            <v>-</v>
          </cell>
          <cell r="F469" t="str">
            <v>MSP</v>
          </cell>
          <cell r="H469" t="str">
            <v>Pass Through/MSP</v>
          </cell>
          <cell r="L469" t="str">
            <v>New</v>
          </cell>
          <cell r="M469">
            <v>46083</v>
          </cell>
          <cell r="N469">
            <v>119</v>
          </cell>
          <cell r="P469">
            <v>46448</v>
          </cell>
          <cell r="Q469" t="str">
            <v>PLC-Passthrough</v>
          </cell>
          <cell r="R469" t="str">
            <v>Praveen Reguri</v>
          </cell>
          <cell r="S469" t="str">
            <v>Individual</v>
          </cell>
          <cell r="T469" t="str">
            <v>C2C</v>
          </cell>
          <cell r="U469" t="str">
            <v>Cigniti</v>
          </cell>
          <cell r="V469">
            <v>94</v>
          </cell>
          <cell r="W469">
            <v>0</v>
          </cell>
          <cell r="X469" t="str">
            <v>USD</v>
          </cell>
          <cell r="Y469">
            <v>95</v>
          </cell>
          <cell r="Z469">
            <v>0</v>
          </cell>
          <cell r="AA469">
            <v>0</v>
          </cell>
          <cell r="AB469">
            <v>0</v>
          </cell>
          <cell r="AC469">
            <v>46096</v>
          </cell>
          <cell r="AD469">
            <v>22</v>
          </cell>
          <cell r="AE469">
            <v>46387</v>
          </cell>
          <cell r="AF469">
            <v>94</v>
          </cell>
          <cell r="AG469">
            <v>0</v>
          </cell>
          <cell r="AH469">
            <v>94</v>
          </cell>
          <cell r="AI469">
            <v>95</v>
          </cell>
          <cell r="AJ469">
            <v>0</v>
          </cell>
          <cell r="AK469">
            <v>0</v>
          </cell>
          <cell r="AL469">
            <v>1</v>
          </cell>
          <cell r="AM469">
            <v>0</v>
          </cell>
          <cell r="AN469">
            <v>1</v>
          </cell>
          <cell r="AO469">
            <v>0</v>
          </cell>
          <cell r="AP469">
            <v>1</v>
          </cell>
          <cell r="AQ469" t="str">
            <v>US_CMSP_00561</v>
          </cell>
          <cell r="AR469">
            <v>0</v>
          </cell>
          <cell r="AS469">
            <v>116</v>
          </cell>
          <cell r="AU469">
            <v>116</v>
          </cell>
          <cell r="AV469">
            <v>0</v>
          </cell>
          <cell r="AW469">
            <v>116</v>
          </cell>
          <cell r="AX469">
            <v>116</v>
          </cell>
          <cell r="AY469">
            <v>0</v>
          </cell>
          <cell r="AZ469">
            <v>116</v>
          </cell>
          <cell r="BA469">
            <v>116</v>
          </cell>
          <cell r="BB469">
            <v>116</v>
          </cell>
          <cell r="BC469">
            <v>0</v>
          </cell>
          <cell r="BD469">
            <v>0</v>
          </cell>
          <cell r="BE469">
            <v>0</v>
          </cell>
          <cell r="BG469">
            <v>116</v>
          </cell>
          <cell r="BI469">
            <v>116</v>
          </cell>
          <cell r="BJ469">
            <v>11020</v>
          </cell>
          <cell r="BK469">
            <v>11020</v>
          </cell>
          <cell r="BL469">
            <v>10904</v>
          </cell>
          <cell r="BM469">
            <v>0</v>
          </cell>
          <cell r="BN469">
            <v>0</v>
          </cell>
          <cell r="BO469">
            <v>0</v>
          </cell>
          <cell r="BP469">
            <v>10904</v>
          </cell>
          <cell r="BQ469">
            <v>0</v>
          </cell>
          <cell r="BR469">
            <v>116</v>
          </cell>
          <cell r="BS469" t="str">
            <v>Y</v>
          </cell>
          <cell r="BT469">
            <v>1</v>
          </cell>
          <cell r="BU469">
            <v>1</v>
          </cell>
          <cell r="BV469" t="str">
            <v>N</v>
          </cell>
          <cell r="BW469">
            <v>0</v>
          </cell>
          <cell r="BX469">
            <v>0</v>
          </cell>
          <cell r="BY469">
            <v>2026</v>
          </cell>
          <cell r="BZ469" t="str">
            <v>-</v>
          </cell>
          <cell r="CA469" t="str">
            <v>-</v>
          </cell>
        </row>
        <row r="470">
          <cell r="A470" t="str">
            <v>Lucknow</v>
          </cell>
          <cell r="B470" t="str">
            <v>Mavericks</v>
          </cell>
          <cell r="C470" t="str">
            <v>Mid Level</v>
          </cell>
          <cell r="D470" t="str">
            <v>Mohammad Fakhrul</v>
          </cell>
          <cell r="E470" t="str">
            <v>-</v>
          </cell>
          <cell r="F470" t="str">
            <v>MSP</v>
          </cell>
          <cell r="H470" t="str">
            <v>Pass Through/MSP</v>
          </cell>
          <cell r="J470" t="str">
            <v>ACH</v>
          </cell>
          <cell r="L470" t="str">
            <v>New</v>
          </cell>
          <cell r="M470">
            <v>46083</v>
          </cell>
          <cell r="N470">
            <v>119</v>
          </cell>
          <cell r="P470">
            <v>46448</v>
          </cell>
          <cell r="Q470" t="str">
            <v>PLC-Passthrough</v>
          </cell>
          <cell r="R470" t="str">
            <v>Praveen Reguri</v>
          </cell>
          <cell r="S470" t="str">
            <v>Individual</v>
          </cell>
          <cell r="T470" t="str">
            <v>C2C</v>
          </cell>
          <cell r="U470" t="str">
            <v>Cigniti</v>
          </cell>
          <cell r="V470">
            <v>94</v>
          </cell>
          <cell r="W470">
            <v>0</v>
          </cell>
          <cell r="X470" t="str">
            <v>USD</v>
          </cell>
          <cell r="Y470">
            <v>95</v>
          </cell>
          <cell r="Z470">
            <v>0</v>
          </cell>
          <cell r="AA470">
            <v>0</v>
          </cell>
          <cell r="AB470">
            <v>0</v>
          </cell>
          <cell r="AC470">
            <v>46127</v>
          </cell>
          <cell r="AD470">
            <v>22</v>
          </cell>
          <cell r="AE470">
            <v>46387</v>
          </cell>
          <cell r="AF470">
            <v>94</v>
          </cell>
          <cell r="AG470">
            <v>0</v>
          </cell>
          <cell r="AH470">
            <v>94</v>
          </cell>
          <cell r="AI470">
            <v>95</v>
          </cell>
          <cell r="AJ470">
            <v>0</v>
          </cell>
          <cell r="AK470">
            <v>0</v>
          </cell>
          <cell r="AL470">
            <v>1</v>
          </cell>
          <cell r="AM470">
            <v>0</v>
          </cell>
          <cell r="AN470">
            <v>1</v>
          </cell>
          <cell r="AO470">
            <v>0</v>
          </cell>
          <cell r="AP470">
            <v>1</v>
          </cell>
          <cell r="AQ470" t="str">
            <v>US_CMSP_00706</v>
          </cell>
          <cell r="AR470">
            <v>0</v>
          </cell>
          <cell r="AS470">
            <v>176</v>
          </cell>
          <cell r="AU470">
            <v>176</v>
          </cell>
          <cell r="AV470">
            <v>0</v>
          </cell>
          <cell r="AW470">
            <v>176</v>
          </cell>
          <cell r="AX470">
            <v>174.24</v>
          </cell>
          <cell r="AY470">
            <v>0</v>
          </cell>
          <cell r="AZ470">
            <v>176</v>
          </cell>
          <cell r="BA470">
            <v>174.24</v>
          </cell>
          <cell r="BB470">
            <v>176</v>
          </cell>
          <cell r="BC470">
            <v>0</v>
          </cell>
          <cell r="BD470">
            <v>0</v>
          </cell>
          <cell r="BE470">
            <v>0</v>
          </cell>
          <cell r="BG470">
            <v>174.24</v>
          </cell>
          <cell r="BI470">
            <v>174.24</v>
          </cell>
          <cell r="BJ470">
            <v>16720</v>
          </cell>
          <cell r="BK470">
            <v>16720</v>
          </cell>
          <cell r="BL470">
            <v>16544</v>
          </cell>
          <cell r="BM470">
            <v>0</v>
          </cell>
          <cell r="BN470">
            <v>0</v>
          </cell>
          <cell r="BO470">
            <v>0</v>
          </cell>
          <cell r="BP470">
            <v>16544</v>
          </cell>
          <cell r="BQ470">
            <v>0</v>
          </cell>
          <cell r="BR470">
            <v>176</v>
          </cell>
          <cell r="BT470">
            <v>2</v>
          </cell>
          <cell r="BU470">
            <v>1</v>
          </cell>
          <cell r="BV470" t="str">
            <v>N</v>
          </cell>
          <cell r="BW470">
            <v>0</v>
          </cell>
          <cell r="BX470">
            <v>0</v>
          </cell>
          <cell r="BY470">
            <v>2026</v>
          </cell>
          <cell r="BZ470" t="str">
            <v>-</v>
          </cell>
          <cell r="CA470" t="str">
            <v>-</v>
          </cell>
        </row>
        <row r="471">
          <cell r="A471" t="str">
            <v>Lucknow</v>
          </cell>
          <cell r="B471" t="str">
            <v>Mavericks</v>
          </cell>
          <cell r="C471" t="str">
            <v>Mid Level</v>
          </cell>
          <cell r="D471" t="str">
            <v>Mohammad Fakhrul</v>
          </cell>
          <cell r="E471" t="str">
            <v>-</v>
          </cell>
          <cell r="F471" t="str">
            <v>MSP</v>
          </cell>
          <cell r="H471" t="str">
            <v>Pass Through/MSP</v>
          </cell>
          <cell r="J471" t="str">
            <v>ACH</v>
          </cell>
          <cell r="L471" t="str">
            <v>New</v>
          </cell>
          <cell r="M471">
            <v>46083</v>
          </cell>
          <cell r="N471">
            <v>119</v>
          </cell>
          <cell r="P471">
            <v>46448</v>
          </cell>
          <cell r="Q471" t="str">
            <v>PLC-Passthrough</v>
          </cell>
          <cell r="R471" t="str">
            <v>Praveen Reguri</v>
          </cell>
          <cell r="S471" t="str">
            <v>Individual</v>
          </cell>
          <cell r="T471" t="str">
            <v>C2C</v>
          </cell>
          <cell r="U471" t="str">
            <v>Cigniti</v>
          </cell>
          <cell r="V471">
            <v>94</v>
          </cell>
          <cell r="W471">
            <v>0</v>
          </cell>
          <cell r="X471" t="str">
            <v>USD</v>
          </cell>
          <cell r="Y471">
            <v>95</v>
          </cell>
          <cell r="Z471">
            <v>0</v>
          </cell>
          <cell r="AA471">
            <v>0</v>
          </cell>
          <cell r="AB471">
            <v>0</v>
          </cell>
          <cell r="AC471">
            <v>46157</v>
          </cell>
          <cell r="AD471">
            <v>22</v>
          </cell>
          <cell r="AE471">
            <v>46387</v>
          </cell>
          <cell r="AF471">
            <v>94</v>
          </cell>
          <cell r="AG471">
            <v>0</v>
          </cell>
          <cell r="AH471">
            <v>94</v>
          </cell>
          <cell r="AI471">
            <v>95</v>
          </cell>
          <cell r="AJ471">
            <v>0</v>
          </cell>
          <cell r="AK471">
            <v>0</v>
          </cell>
          <cell r="AL471">
            <v>1</v>
          </cell>
          <cell r="AM471">
            <v>0</v>
          </cell>
          <cell r="AN471">
            <v>1</v>
          </cell>
          <cell r="AO471">
            <v>0</v>
          </cell>
          <cell r="AP471">
            <v>1</v>
          </cell>
          <cell r="AQ471" t="str">
            <v>US_CMSP_00756</v>
          </cell>
          <cell r="AR471">
            <v>0</v>
          </cell>
          <cell r="AS471">
            <v>160</v>
          </cell>
          <cell r="AU471">
            <v>160</v>
          </cell>
          <cell r="AV471">
            <v>0</v>
          </cell>
          <cell r="AW471">
            <v>160</v>
          </cell>
          <cell r="AX471">
            <v>158.4</v>
          </cell>
          <cell r="AY471">
            <v>0</v>
          </cell>
          <cell r="AZ471">
            <v>160</v>
          </cell>
          <cell r="BA471">
            <v>158.4</v>
          </cell>
          <cell r="BB471">
            <v>160</v>
          </cell>
          <cell r="BC471">
            <v>0</v>
          </cell>
          <cell r="BD471">
            <v>0</v>
          </cell>
          <cell r="BE471">
            <v>0</v>
          </cell>
          <cell r="BG471">
            <v>158.4</v>
          </cell>
          <cell r="BI471">
            <v>158.4</v>
          </cell>
          <cell r="BJ471">
            <v>15200</v>
          </cell>
          <cell r="BK471">
            <v>15200</v>
          </cell>
          <cell r="BL471">
            <v>15040</v>
          </cell>
          <cell r="BM471">
            <v>0</v>
          </cell>
          <cell r="BN471">
            <v>0</v>
          </cell>
          <cell r="BO471">
            <v>0</v>
          </cell>
          <cell r="BP471">
            <v>15040</v>
          </cell>
          <cell r="BQ471">
            <v>0</v>
          </cell>
          <cell r="BR471">
            <v>160</v>
          </cell>
          <cell r="BT471">
            <v>2</v>
          </cell>
          <cell r="BU471">
            <v>1</v>
          </cell>
          <cell r="BV471" t="str">
            <v>N</v>
          </cell>
          <cell r="BW471">
            <v>0</v>
          </cell>
          <cell r="BX471">
            <v>0</v>
          </cell>
          <cell r="BY471">
            <v>2026</v>
          </cell>
          <cell r="BZ471" t="str">
            <v>-</v>
          </cell>
          <cell r="CA471" t="str">
            <v>-</v>
          </cell>
        </row>
        <row r="472">
          <cell r="A472" t="str">
            <v>Lucknow</v>
          </cell>
          <cell r="B472" t="str">
            <v>Chennai</v>
          </cell>
          <cell r="C472" t="str">
            <v>Mid Level</v>
          </cell>
          <cell r="D472" t="str">
            <v>Vinoth L</v>
          </cell>
          <cell r="E472" t="str">
            <v>-</v>
          </cell>
          <cell r="F472" t="str">
            <v>Non-MSP</v>
          </cell>
          <cell r="H472" t="str">
            <v>Dinesh Kumar Veluchamy</v>
          </cell>
          <cell r="L472" t="str">
            <v>New</v>
          </cell>
          <cell r="M472">
            <v>46084</v>
          </cell>
          <cell r="N472">
            <v>118</v>
          </cell>
          <cell r="P472">
            <v>46449</v>
          </cell>
          <cell r="Q472" t="str">
            <v>PLC-4790</v>
          </cell>
          <cell r="R472" t="str">
            <v>Premanatha Reddy Dodda</v>
          </cell>
          <cell r="S472" t="str">
            <v>Individual</v>
          </cell>
          <cell r="T472" t="str">
            <v>C2C</v>
          </cell>
          <cell r="U472" t="str">
            <v>Exaways</v>
          </cell>
          <cell r="V472">
            <v>65</v>
          </cell>
          <cell r="W472">
            <v>0</v>
          </cell>
          <cell r="X472" t="str">
            <v>USD</v>
          </cell>
          <cell r="Y472">
            <v>79</v>
          </cell>
          <cell r="Z472">
            <v>0</v>
          </cell>
          <cell r="AA472">
            <v>0</v>
          </cell>
          <cell r="AB472">
            <v>0</v>
          </cell>
          <cell r="AC472">
            <v>46096</v>
          </cell>
          <cell r="AD472">
            <v>21</v>
          </cell>
          <cell r="AE472">
            <v>46387</v>
          </cell>
          <cell r="AF472">
            <v>65</v>
          </cell>
          <cell r="AG472">
            <v>0</v>
          </cell>
          <cell r="AH472">
            <v>65</v>
          </cell>
          <cell r="AI472">
            <v>79</v>
          </cell>
          <cell r="AJ472">
            <v>0</v>
          </cell>
          <cell r="AK472">
            <v>0</v>
          </cell>
          <cell r="AL472">
            <v>14</v>
          </cell>
          <cell r="AM472">
            <v>0</v>
          </cell>
          <cell r="AN472">
            <v>14</v>
          </cell>
          <cell r="AO472">
            <v>0</v>
          </cell>
          <cell r="AP472">
            <v>14</v>
          </cell>
          <cell r="AQ472" t="str">
            <v>US_27428</v>
          </cell>
          <cell r="AR472">
            <v>0</v>
          </cell>
          <cell r="AS472">
            <v>187</v>
          </cell>
          <cell r="AU472">
            <v>187</v>
          </cell>
          <cell r="AV472">
            <v>0</v>
          </cell>
          <cell r="AW472">
            <v>2618</v>
          </cell>
          <cell r="AX472">
            <v>2618</v>
          </cell>
          <cell r="AY472">
            <v>0</v>
          </cell>
          <cell r="AZ472">
            <v>2618</v>
          </cell>
          <cell r="BA472">
            <v>2618</v>
          </cell>
          <cell r="BB472">
            <v>2618</v>
          </cell>
          <cell r="BC472">
            <v>116.66666666666667</v>
          </cell>
          <cell r="BD472">
            <v>4607.68</v>
          </cell>
          <cell r="BE472">
            <v>4607.68</v>
          </cell>
          <cell r="BG472">
            <v>2618</v>
          </cell>
          <cell r="BI472">
            <v>2618</v>
          </cell>
          <cell r="BJ472">
            <v>14773</v>
          </cell>
          <cell r="BK472">
            <v>14773</v>
          </cell>
          <cell r="BL472">
            <v>12155</v>
          </cell>
          <cell r="BM472">
            <v>0</v>
          </cell>
          <cell r="BN472">
            <v>0</v>
          </cell>
          <cell r="BO472">
            <v>0</v>
          </cell>
          <cell r="BP472">
            <v>12155</v>
          </cell>
          <cell r="BQ472">
            <v>0</v>
          </cell>
          <cell r="BR472">
            <v>2618</v>
          </cell>
          <cell r="BS472" t="str">
            <v>Y</v>
          </cell>
          <cell r="BT472">
            <v>1</v>
          </cell>
          <cell r="BU472">
            <v>1</v>
          </cell>
          <cell r="BV472" t="str">
            <v>Y</v>
          </cell>
          <cell r="BW472">
            <v>9215.36</v>
          </cell>
          <cell r="BX472">
            <v>9215.36</v>
          </cell>
          <cell r="BY472">
            <v>2026</v>
          </cell>
          <cell r="BZ472" t="str">
            <v>-</v>
          </cell>
          <cell r="CA472" t="str">
            <v>-</v>
          </cell>
        </row>
        <row r="473">
          <cell r="A473" t="str">
            <v>Lucknow</v>
          </cell>
          <cell r="B473" t="str">
            <v>Chennai</v>
          </cell>
          <cell r="C473" t="str">
            <v>Mid Level</v>
          </cell>
          <cell r="D473" t="str">
            <v>Vinoth L</v>
          </cell>
          <cell r="E473" t="str">
            <v>-</v>
          </cell>
          <cell r="F473" t="str">
            <v>Non-MSP</v>
          </cell>
          <cell r="H473" t="str">
            <v>Dinesh Kumar Veluchamy</v>
          </cell>
          <cell r="J473" t="str">
            <v>ACH</v>
          </cell>
          <cell r="L473" t="str">
            <v>New</v>
          </cell>
          <cell r="M473">
            <v>46084</v>
          </cell>
          <cell r="N473">
            <v>118</v>
          </cell>
          <cell r="P473">
            <v>46449</v>
          </cell>
          <cell r="Q473" t="str">
            <v>PLC-4790</v>
          </cell>
          <cell r="R473" t="str">
            <v>Premanatha Reddy Dodda</v>
          </cell>
          <cell r="S473" t="str">
            <v>Individual</v>
          </cell>
          <cell r="T473" t="str">
            <v>C2C</v>
          </cell>
          <cell r="U473" t="str">
            <v>Exaways</v>
          </cell>
          <cell r="V473">
            <v>65</v>
          </cell>
          <cell r="W473">
            <v>0</v>
          </cell>
          <cell r="X473" t="str">
            <v>USD</v>
          </cell>
          <cell r="Y473">
            <v>79</v>
          </cell>
          <cell r="Z473">
            <v>0</v>
          </cell>
          <cell r="AA473">
            <v>0</v>
          </cell>
          <cell r="AB473">
            <v>0</v>
          </cell>
          <cell r="AC473">
            <v>46127</v>
          </cell>
          <cell r="AD473">
            <v>22</v>
          </cell>
          <cell r="AE473">
            <v>46387</v>
          </cell>
          <cell r="AF473">
            <v>65</v>
          </cell>
          <cell r="AG473">
            <v>0</v>
          </cell>
          <cell r="AH473">
            <v>65</v>
          </cell>
          <cell r="AI473">
            <v>79</v>
          </cell>
          <cell r="AJ473">
            <v>0</v>
          </cell>
          <cell r="AK473">
            <v>0</v>
          </cell>
          <cell r="AL473">
            <v>14</v>
          </cell>
          <cell r="AM473">
            <v>0</v>
          </cell>
          <cell r="AN473">
            <v>14</v>
          </cell>
          <cell r="AO473">
            <v>0</v>
          </cell>
          <cell r="AP473">
            <v>14</v>
          </cell>
          <cell r="AQ473" t="str">
            <v>US_27658</v>
          </cell>
          <cell r="AR473">
            <v>0</v>
          </cell>
          <cell r="AS473">
            <v>176</v>
          </cell>
          <cell r="AU473">
            <v>176</v>
          </cell>
          <cell r="AV473">
            <v>0</v>
          </cell>
          <cell r="AW473">
            <v>2464</v>
          </cell>
          <cell r="AX473">
            <v>2439.36</v>
          </cell>
          <cell r="AY473">
            <v>0</v>
          </cell>
          <cell r="AZ473">
            <v>2464</v>
          </cell>
          <cell r="BA473">
            <v>2439.36</v>
          </cell>
          <cell r="BB473">
            <v>2464</v>
          </cell>
          <cell r="BC473">
            <v>116.66666666666667</v>
          </cell>
          <cell r="BD473">
            <v>4293.2736000000004</v>
          </cell>
          <cell r="BE473">
            <v>4293.2736000000004</v>
          </cell>
          <cell r="BG473">
            <v>2439.36</v>
          </cell>
          <cell r="BI473">
            <v>2439.36</v>
          </cell>
          <cell r="BJ473">
            <v>13904</v>
          </cell>
          <cell r="BK473">
            <v>13904</v>
          </cell>
          <cell r="BL473">
            <v>11440</v>
          </cell>
          <cell r="BM473">
            <v>0</v>
          </cell>
          <cell r="BN473">
            <v>0</v>
          </cell>
          <cell r="BO473">
            <v>0</v>
          </cell>
          <cell r="BP473">
            <v>11440</v>
          </cell>
          <cell r="BQ473">
            <v>0</v>
          </cell>
          <cell r="BR473">
            <v>2464</v>
          </cell>
          <cell r="BS473" t="str">
            <v>Y</v>
          </cell>
          <cell r="BT473">
            <v>2</v>
          </cell>
          <cell r="BU473">
            <v>1</v>
          </cell>
          <cell r="BV473" t="str">
            <v>Y</v>
          </cell>
          <cell r="BW473">
            <v>8586.5472000000009</v>
          </cell>
          <cell r="BX473">
            <v>8586.5472000000009</v>
          </cell>
          <cell r="BY473">
            <v>2026</v>
          </cell>
          <cell r="BZ473" t="str">
            <v>-</v>
          </cell>
          <cell r="CA473" t="str">
            <v>-</v>
          </cell>
        </row>
        <row r="474">
          <cell r="A474" t="str">
            <v>Lucknow</v>
          </cell>
          <cell r="B474" t="str">
            <v>Chennai</v>
          </cell>
          <cell r="C474" t="str">
            <v>Mid Level</v>
          </cell>
          <cell r="D474" t="str">
            <v>Vinoth L</v>
          </cell>
          <cell r="E474" t="str">
            <v>-</v>
          </cell>
          <cell r="F474" t="str">
            <v>Non-MSP</v>
          </cell>
          <cell r="H474" t="str">
            <v>Dinesh Kumar Veluchamy</v>
          </cell>
          <cell r="J474" t="str">
            <v>ACH</v>
          </cell>
          <cell r="L474" t="str">
            <v>New</v>
          </cell>
          <cell r="M474">
            <v>46084</v>
          </cell>
          <cell r="N474">
            <v>118</v>
          </cell>
          <cell r="P474">
            <v>46449</v>
          </cell>
          <cell r="Q474" t="str">
            <v>PLC-4790</v>
          </cell>
          <cell r="R474" t="str">
            <v>Premanatha Reddy Dodda</v>
          </cell>
          <cell r="S474" t="str">
            <v>Individual</v>
          </cell>
          <cell r="T474" t="str">
            <v>C2C</v>
          </cell>
          <cell r="U474" t="str">
            <v>Exaways</v>
          </cell>
          <cell r="V474">
            <v>65</v>
          </cell>
          <cell r="W474">
            <v>0</v>
          </cell>
          <cell r="X474" t="str">
            <v>USD</v>
          </cell>
          <cell r="Y474">
            <v>79</v>
          </cell>
          <cell r="Z474">
            <v>0</v>
          </cell>
          <cell r="AA474">
            <v>0</v>
          </cell>
          <cell r="AB474">
            <v>0</v>
          </cell>
          <cell r="AC474">
            <v>46157</v>
          </cell>
          <cell r="AD474">
            <v>22</v>
          </cell>
          <cell r="AE474">
            <v>46387</v>
          </cell>
          <cell r="AF474">
            <v>65</v>
          </cell>
          <cell r="AG474">
            <v>0</v>
          </cell>
          <cell r="AH474">
            <v>65</v>
          </cell>
          <cell r="AI474">
            <v>79</v>
          </cell>
          <cell r="AJ474">
            <v>0</v>
          </cell>
          <cell r="AK474">
            <v>0</v>
          </cell>
          <cell r="AL474">
            <v>14</v>
          </cell>
          <cell r="AM474">
            <v>0</v>
          </cell>
          <cell r="AN474">
            <v>14</v>
          </cell>
          <cell r="AO474">
            <v>0</v>
          </cell>
          <cell r="AP474">
            <v>14</v>
          </cell>
          <cell r="AQ474" t="str">
            <v>US_27937</v>
          </cell>
          <cell r="AR474">
            <v>0</v>
          </cell>
          <cell r="AS474">
            <v>160</v>
          </cell>
          <cell r="AU474">
            <v>160</v>
          </cell>
          <cell r="AV474">
            <v>0</v>
          </cell>
          <cell r="AW474">
            <v>2240</v>
          </cell>
          <cell r="AX474">
            <v>2217.6</v>
          </cell>
          <cell r="AY474">
            <v>0</v>
          </cell>
          <cell r="AZ474">
            <v>2240</v>
          </cell>
          <cell r="BA474">
            <v>2217.6</v>
          </cell>
          <cell r="BB474">
            <v>2240</v>
          </cell>
          <cell r="BC474">
            <v>116.66666666666667</v>
          </cell>
          <cell r="BD474">
            <v>3902.9759999999997</v>
          </cell>
          <cell r="BE474">
            <v>3902.9759999999997</v>
          </cell>
          <cell r="BG474">
            <v>2217.6</v>
          </cell>
          <cell r="BI474">
            <v>2217.6</v>
          </cell>
          <cell r="BJ474">
            <v>12640</v>
          </cell>
          <cell r="BK474">
            <v>12640</v>
          </cell>
          <cell r="BL474">
            <v>10400</v>
          </cell>
          <cell r="BM474">
            <v>0</v>
          </cell>
          <cell r="BN474">
            <v>0</v>
          </cell>
          <cell r="BO474">
            <v>0</v>
          </cell>
          <cell r="BP474">
            <v>10400</v>
          </cell>
          <cell r="BQ474">
            <v>0</v>
          </cell>
          <cell r="BR474">
            <v>2240</v>
          </cell>
          <cell r="BT474">
            <v>2</v>
          </cell>
          <cell r="BU474">
            <v>1</v>
          </cell>
          <cell r="BV474" t="str">
            <v>Y</v>
          </cell>
          <cell r="BW474">
            <v>7805.9519999999993</v>
          </cell>
          <cell r="BX474">
            <v>7805.9519999999993</v>
          </cell>
          <cell r="BY474">
            <v>2026</v>
          </cell>
          <cell r="BZ474" t="str">
            <v>-</v>
          </cell>
          <cell r="CA474" t="str">
            <v>-</v>
          </cell>
        </row>
        <row r="475">
          <cell r="A475" t="str">
            <v>Lucknow</v>
          </cell>
          <cell r="B475" t="str">
            <v>Mavericks</v>
          </cell>
          <cell r="C475" t="str">
            <v>Mid Level</v>
          </cell>
          <cell r="D475" t="str">
            <v>Rohit Gupta</v>
          </cell>
          <cell r="E475" t="str">
            <v>-</v>
          </cell>
          <cell r="F475" t="str">
            <v>Non-MSP</v>
          </cell>
          <cell r="H475" t="str">
            <v>Ekta Singh</v>
          </cell>
          <cell r="L475" t="str">
            <v>New</v>
          </cell>
          <cell r="M475">
            <v>46100</v>
          </cell>
          <cell r="N475">
            <v>102</v>
          </cell>
          <cell r="P475">
            <v>46465</v>
          </cell>
          <cell r="Q475" t="str">
            <v>PLC-4787</v>
          </cell>
          <cell r="R475" t="str">
            <v>Prerana Chandrashekhar Jadhav</v>
          </cell>
          <cell r="S475" t="str">
            <v>Individual</v>
          </cell>
          <cell r="T475" t="str">
            <v>W2</v>
          </cell>
          <cell r="U475" t="str">
            <v>Xceedence</v>
          </cell>
          <cell r="V475">
            <v>26</v>
          </cell>
          <cell r="W475">
            <v>0</v>
          </cell>
          <cell r="X475" t="str">
            <v>USD</v>
          </cell>
          <cell r="Y475">
            <v>37</v>
          </cell>
          <cell r="Z475">
            <v>0</v>
          </cell>
          <cell r="AA475">
            <v>0</v>
          </cell>
          <cell r="AB475">
            <v>2</v>
          </cell>
          <cell r="AC475">
            <v>46096</v>
          </cell>
          <cell r="AD475">
            <v>9</v>
          </cell>
          <cell r="AE475">
            <v>46387</v>
          </cell>
          <cell r="AF475">
            <v>29.9</v>
          </cell>
          <cell r="AG475">
            <v>0</v>
          </cell>
          <cell r="AH475">
            <v>31.9</v>
          </cell>
          <cell r="AI475">
            <v>37</v>
          </cell>
          <cell r="AJ475">
            <v>0</v>
          </cell>
          <cell r="AK475">
            <v>0</v>
          </cell>
          <cell r="AL475">
            <v>5.1000000000000014</v>
          </cell>
          <cell r="AM475">
            <v>0</v>
          </cell>
          <cell r="AN475">
            <v>5.1000000000000014</v>
          </cell>
          <cell r="AO475">
            <v>0</v>
          </cell>
          <cell r="AP475">
            <v>5.1000000000000014</v>
          </cell>
          <cell r="AQ475" t="str">
            <v>US_27440</v>
          </cell>
          <cell r="AR475">
            <v>0</v>
          </cell>
          <cell r="AS475">
            <v>72.5</v>
          </cell>
          <cell r="AU475">
            <v>72.5</v>
          </cell>
          <cell r="AV475">
            <v>0</v>
          </cell>
          <cell r="AW475">
            <v>369.75000000000011</v>
          </cell>
          <cell r="AX475">
            <v>369.75000000000011</v>
          </cell>
          <cell r="AY475">
            <v>0</v>
          </cell>
          <cell r="AZ475">
            <v>369.75000000000011</v>
          </cell>
          <cell r="BA475">
            <v>369.75000000000011</v>
          </cell>
          <cell r="BB475">
            <v>369.75000000000011</v>
          </cell>
          <cell r="BC475">
            <v>0</v>
          </cell>
          <cell r="BD475">
            <v>0</v>
          </cell>
          <cell r="BE475">
            <v>0</v>
          </cell>
          <cell r="BG475">
            <v>369.75000000000011</v>
          </cell>
          <cell r="BI475">
            <v>369.75000000000011</v>
          </cell>
          <cell r="BJ475">
            <v>2682.5</v>
          </cell>
          <cell r="BK475">
            <v>2682.5</v>
          </cell>
          <cell r="BL475">
            <v>1885</v>
          </cell>
          <cell r="BM475">
            <v>3.9</v>
          </cell>
          <cell r="BN475">
            <v>145</v>
          </cell>
          <cell r="BO475">
            <v>282.75</v>
          </cell>
          <cell r="BP475">
            <v>2312.75</v>
          </cell>
          <cell r="BQ475">
            <v>5.9</v>
          </cell>
          <cell r="BR475">
            <v>369.75</v>
          </cell>
          <cell r="BS475" t="str">
            <v>Y</v>
          </cell>
          <cell r="BT475">
            <v>1</v>
          </cell>
          <cell r="BU475">
            <v>1</v>
          </cell>
          <cell r="BV475" t="str">
            <v>Y</v>
          </cell>
          <cell r="BW475">
            <v>0</v>
          </cell>
          <cell r="BX475">
            <v>0</v>
          </cell>
          <cell r="BY475">
            <v>2026</v>
          </cell>
          <cell r="BZ475" t="str">
            <v>-</v>
          </cell>
          <cell r="CA475" t="str">
            <v>-</v>
          </cell>
        </row>
        <row r="476">
          <cell r="A476" t="str">
            <v>Lucknow</v>
          </cell>
          <cell r="B476" t="str">
            <v>Mavericks</v>
          </cell>
          <cell r="C476" t="str">
            <v>Mid Level</v>
          </cell>
          <cell r="D476" t="str">
            <v>Rohit Gupta</v>
          </cell>
          <cell r="E476" t="str">
            <v>-</v>
          </cell>
          <cell r="F476" t="str">
            <v>Non-MSP</v>
          </cell>
          <cell r="H476" t="str">
            <v>Ekta Singh</v>
          </cell>
          <cell r="J476" t="str">
            <v>ACH</v>
          </cell>
          <cell r="L476" t="str">
            <v>New</v>
          </cell>
          <cell r="M476">
            <v>46100</v>
          </cell>
          <cell r="N476">
            <v>102</v>
          </cell>
          <cell r="P476">
            <v>46465</v>
          </cell>
          <cell r="Q476" t="str">
            <v>PLC-4787</v>
          </cell>
          <cell r="R476" t="str">
            <v>Prerana Chandrashekhar Jadhav</v>
          </cell>
          <cell r="S476" t="str">
            <v>Individual</v>
          </cell>
          <cell r="T476" t="str">
            <v>W2</v>
          </cell>
          <cell r="U476" t="str">
            <v>Xceedence</v>
          </cell>
          <cell r="V476">
            <v>26</v>
          </cell>
          <cell r="W476">
            <v>0</v>
          </cell>
          <cell r="X476" t="str">
            <v>USD</v>
          </cell>
          <cell r="Y476">
            <v>37</v>
          </cell>
          <cell r="Z476">
            <v>0</v>
          </cell>
          <cell r="AA476">
            <v>0</v>
          </cell>
          <cell r="AB476">
            <v>2</v>
          </cell>
          <cell r="AC476">
            <v>46127</v>
          </cell>
          <cell r="AD476">
            <v>22</v>
          </cell>
          <cell r="AE476">
            <v>46387</v>
          </cell>
          <cell r="AF476">
            <v>29.9</v>
          </cell>
          <cell r="AG476">
            <v>0</v>
          </cell>
          <cell r="AH476">
            <v>31.9</v>
          </cell>
          <cell r="AI476">
            <v>37</v>
          </cell>
          <cell r="AJ476">
            <v>0</v>
          </cell>
          <cell r="AK476">
            <v>0</v>
          </cell>
          <cell r="AL476">
            <v>5.1000000000000014</v>
          </cell>
          <cell r="AM476">
            <v>0</v>
          </cell>
          <cell r="AN476">
            <v>5.1000000000000014</v>
          </cell>
          <cell r="AO476">
            <v>0</v>
          </cell>
          <cell r="AP476">
            <v>5.1000000000000014</v>
          </cell>
          <cell r="AQ476" t="str">
            <v>US_27669</v>
          </cell>
          <cell r="AR476">
            <v>0</v>
          </cell>
          <cell r="AS476">
            <v>156</v>
          </cell>
          <cell r="AU476">
            <v>156</v>
          </cell>
          <cell r="AV476">
            <v>0</v>
          </cell>
          <cell r="AW476">
            <v>795.60000000000025</v>
          </cell>
          <cell r="AX476">
            <v>787.64400000000023</v>
          </cell>
          <cell r="AY476">
            <v>0</v>
          </cell>
          <cell r="AZ476">
            <v>795.60000000000025</v>
          </cell>
          <cell r="BA476">
            <v>787.64400000000023</v>
          </cell>
          <cell r="BB476">
            <v>795.60000000000025</v>
          </cell>
          <cell r="BC476">
            <v>0</v>
          </cell>
          <cell r="BD476">
            <v>0</v>
          </cell>
          <cell r="BE476">
            <v>0</v>
          </cell>
          <cell r="BG476">
            <v>787.64400000000023</v>
          </cell>
          <cell r="BI476">
            <v>787.64400000000023</v>
          </cell>
          <cell r="BJ476">
            <v>5772</v>
          </cell>
          <cell r="BK476">
            <v>5772</v>
          </cell>
          <cell r="BL476">
            <v>4056</v>
          </cell>
          <cell r="BM476">
            <v>3.9</v>
          </cell>
          <cell r="BN476">
            <v>312</v>
          </cell>
          <cell r="BO476">
            <v>608.4</v>
          </cell>
          <cell r="BP476">
            <v>4976.3999999999996</v>
          </cell>
          <cell r="BQ476">
            <v>5.9</v>
          </cell>
          <cell r="BR476">
            <v>795.59999999999991</v>
          </cell>
          <cell r="BS476" t="str">
            <v>Y</v>
          </cell>
          <cell r="BT476">
            <v>2</v>
          </cell>
          <cell r="BU476">
            <v>1</v>
          </cell>
          <cell r="BV476" t="str">
            <v>N</v>
          </cell>
          <cell r="BW476">
            <v>0</v>
          </cell>
          <cell r="BX476">
            <v>0</v>
          </cell>
          <cell r="BY476">
            <v>2026</v>
          </cell>
          <cell r="BZ476" t="str">
            <v>-</v>
          </cell>
          <cell r="CA476" t="str">
            <v>-</v>
          </cell>
        </row>
        <row r="477">
          <cell r="A477" t="str">
            <v>Lucknow</v>
          </cell>
          <cell r="B477" t="str">
            <v>Mavericks</v>
          </cell>
          <cell r="C477" t="str">
            <v>Mid Level</v>
          </cell>
          <cell r="D477" t="str">
            <v>Rohit Gupta</v>
          </cell>
          <cell r="E477" t="str">
            <v>-</v>
          </cell>
          <cell r="F477" t="str">
            <v>Non-MSP</v>
          </cell>
          <cell r="H477" t="str">
            <v>Ekta Singh</v>
          </cell>
          <cell r="J477" t="str">
            <v>ACH</v>
          </cell>
          <cell r="L477" t="str">
            <v>New</v>
          </cell>
          <cell r="M477">
            <v>46100</v>
          </cell>
          <cell r="N477">
            <v>102</v>
          </cell>
          <cell r="P477">
            <v>46465</v>
          </cell>
          <cell r="Q477" t="str">
            <v>PLC-4787</v>
          </cell>
          <cell r="R477" t="str">
            <v>Prerana Chandrashekhar Jadhav</v>
          </cell>
          <cell r="S477" t="str">
            <v>Individual</v>
          </cell>
          <cell r="T477" t="str">
            <v>W2</v>
          </cell>
          <cell r="U477" t="str">
            <v>Xceedence</v>
          </cell>
          <cell r="V477">
            <v>26</v>
          </cell>
          <cell r="W477">
            <v>0</v>
          </cell>
          <cell r="X477" t="str">
            <v>USD</v>
          </cell>
          <cell r="Y477">
            <v>37</v>
          </cell>
          <cell r="Z477">
            <v>0</v>
          </cell>
          <cell r="AA477">
            <v>0</v>
          </cell>
          <cell r="AB477">
            <v>2</v>
          </cell>
          <cell r="AC477">
            <v>46157</v>
          </cell>
          <cell r="AD477">
            <v>22</v>
          </cell>
          <cell r="AE477">
            <v>46387</v>
          </cell>
          <cell r="AF477">
            <v>29.9</v>
          </cell>
          <cell r="AG477">
            <v>0</v>
          </cell>
          <cell r="AH477">
            <v>31.9</v>
          </cell>
          <cell r="AI477">
            <v>37</v>
          </cell>
          <cell r="AJ477">
            <v>0</v>
          </cell>
          <cell r="AK477">
            <v>0</v>
          </cell>
          <cell r="AL477">
            <v>5.1000000000000014</v>
          </cell>
          <cell r="AM477">
            <v>0</v>
          </cell>
          <cell r="AN477">
            <v>5.1000000000000014</v>
          </cell>
          <cell r="AO477">
            <v>0</v>
          </cell>
          <cell r="AP477">
            <v>5.1000000000000014</v>
          </cell>
          <cell r="AQ477" t="str">
            <v>US_27941</v>
          </cell>
          <cell r="AR477">
            <v>0</v>
          </cell>
          <cell r="AS477">
            <v>155.5</v>
          </cell>
          <cell r="AU477">
            <v>155.5</v>
          </cell>
          <cell r="AV477">
            <v>0</v>
          </cell>
          <cell r="AW477">
            <v>793.05000000000018</v>
          </cell>
          <cell r="AX477">
            <v>785.11950000000013</v>
          </cell>
          <cell r="AY477">
            <v>0</v>
          </cell>
          <cell r="AZ477">
            <v>793.05000000000018</v>
          </cell>
          <cell r="BA477">
            <v>785.11950000000013</v>
          </cell>
          <cell r="BB477">
            <v>793.05000000000018</v>
          </cell>
          <cell r="BC477">
            <v>0</v>
          </cell>
          <cell r="BD477">
            <v>0</v>
          </cell>
          <cell r="BE477">
            <v>0</v>
          </cell>
          <cell r="BG477">
            <v>785.11950000000013</v>
          </cell>
          <cell r="BI477">
            <v>785.11950000000013</v>
          </cell>
          <cell r="BJ477">
            <v>5753.5</v>
          </cell>
          <cell r="BK477">
            <v>5753.5</v>
          </cell>
          <cell r="BL477">
            <v>4043</v>
          </cell>
          <cell r="BM477">
            <v>3.9</v>
          </cell>
          <cell r="BN477">
            <v>311</v>
          </cell>
          <cell r="BO477">
            <v>606.44999999999993</v>
          </cell>
          <cell r="BP477">
            <v>4960.45</v>
          </cell>
          <cell r="BQ477">
            <v>5.9</v>
          </cell>
          <cell r="BR477">
            <v>793.05000000000018</v>
          </cell>
          <cell r="BT477">
            <v>2</v>
          </cell>
          <cell r="BU477">
            <v>1</v>
          </cell>
          <cell r="BV477" t="str">
            <v>N</v>
          </cell>
          <cell r="BW477">
            <v>0</v>
          </cell>
          <cell r="BX477">
            <v>0</v>
          </cell>
          <cell r="BY477">
            <v>2026</v>
          </cell>
          <cell r="BZ477" t="str">
            <v>-</v>
          </cell>
          <cell r="CA477" t="str">
            <v>-</v>
          </cell>
        </row>
        <row r="478">
          <cell r="A478" t="str">
            <v>Lucknow</v>
          </cell>
          <cell r="B478" t="str">
            <v>Trust</v>
          </cell>
          <cell r="C478" t="str">
            <v>Mid Level</v>
          </cell>
          <cell r="D478" t="str">
            <v>Shashank Yadav</v>
          </cell>
          <cell r="E478" t="str">
            <v>-</v>
          </cell>
          <cell r="F478" t="str">
            <v>Non-MSP</v>
          </cell>
          <cell r="H478" t="str">
            <v>Vivek Mani Upadhyay</v>
          </cell>
          <cell r="L478" t="str">
            <v>New</v>
          </cell>
          <cell r="M478">
            <v>46118</v>
          </cell>
          <cell r="N478">
            <v>84</v>
          </cell>
          <cell r="P478">
            <v>46483</v>
          </cell>
          <cell r="Q478" t="str">
            <v>PLC-4783</v>
          </cell>
          <cell r="R478" t="str">
            <v>Priyash Shah</v>
          </cell>
          <cell r="S478" t="str">
            <v>Individual</v>
          </cell>
          <cell r="T478" t="str">
            <v>FTE</v>
          </cell>
          <cell r="U478" t="str">
            <v>Infosys</v>
          </cell>
          <cell r="V478">
            <v>0</v>
          </cell>
          <cell r="W478">
            <v>0</v>
          </cell>
          <cell r="X478" t="str">
            <v>USD</v>
          </cell>
          <cell r="Y478">
            <v>3500</v>
          </cell>
          <cell r="Z478">
            <v>0</v>
          </cell>
          <cell r="AA478">
            <v>0</v>
          </cell>
          <cell r="AB478">
            <v>0</v>
          </cell>
          <cell r="AC478">
            <v>46127</v>
          </cell>
          <cell r="AD478">
            <v>1</v>
          </cell>
          <cell r="AE478">
            <v>46387</v>
          </cell>
          <cell r="AF478">
            <v>0</v>
          </cell>
          <cell r="AG478">
            <v>0</v>
          </cell>
          <cell r="AH478">
            <v>0</v>
          </cell>
          <cell r="AI478">
            <v>3500</v>
          </cell>
          <cell r="AJ478">
            <v>0</v>
          </cell>
          <cell r="AK478">
            <v>0</v>
          </cell>
          <cell r="AL478">
            <v>3500</v>
          </cell>
          <cell r="AM478">
            <v>0</v>
          </cell>
          <cell r="AN478">
            <v>3500</v>
          </cell>
          <cell r="AO478">
            <v>0</v>
          </cell>
          <cell r="AP478">
            <v>3500</v>
          </cell>
          <cell r="AU478">
            <v>1</v>
          </cell>
          <cell r="BB478">
            <v>3500</v>
          </cell>
          <cell r="BC478">
            <v>0</v>
          </cell>
          <cell r="BD478">
            <v>0</v>
          </cell>
          <cell r="BE478">
            <v>0</v>
          </cell>
          <cell r="BI478">
            <v>0</v>
          </cell>
          <cell r="BK478">
            <v>3500</v>
          </cell>
          <cell r="BL478">
            <v>0</v>
          </cell>
          <cell r="BM478">
            <v>0</v>
          </cell>
          <cell r="BN478">
            <v>0</v>
          </cell>
          <cell r="BO478">
            <v>0</v>
          </cell>
          <cell r="BP478">
            <v>0</v>
          </cell>
          <cell r="BQ478">
            <v>0</v>
          </cell>
          <cell r="BR478">
            <v>3500</v>
          </cell>
          <cell r="BT478">
            <v>2</v>
          </cell>
          <cell r="BU478">
            <v>2</v>
          </cell>
          <cell r="BV478" t="str">
            <v>N</v>
          </cell>
          <cell r="BW478">
            <v>0</v>
          </cell>
          <cell r="BX478">
            <v>0</v>
          </cell>
          <cell r="BY478">
            <v>2026</v>
          </cell>
          <cell r="BZ478" t="str">
            <v>-</v>
          </cell>
          <cell r="CA478" t="str">
            <v>-</v>
          </cell>
        </row>
        <row r="479">
          <cell r="A479" t="str">
            <v>Lucknow</v>
          </cell>
          <cell r="B479" t="str">
            <v>Vantedge</v>
          </cell>
          <cell r="C479" t="str">
            <v>Senior</v>
          </cell>
          <cell r="D479" t="str">
            <v>Raunak Tripathi</v>
          </cell>
          <cell r="E479" t="str">
            <v>-</v>
          </cell>
          <cell r="F479" t="str">
            <v>Non-MSP</v>
          </cell>
          <cell r="H479" t="str">
            <v>Ranjeet Kumar</v>
          </cell>
          <cell r="L479" t="str">
            <v>New</v>
          </cell>
          <cell r="M479">
            <v>46027</v>
          </cell>
          <cell r="N479">
            <v>175</v>
          </cell>
          <cell r="P479">
            <v>46392</v>
          </cell>
          <cell r="Q479" t="str">
            <v>PLC-4662</v>
          </cell>
          <cell r="R479" t="str">
            <v>Puru Ponnala</v>
          </cell>
          <cell r="S479" t="str">
            <v>Individual</v>
          </cell>
          <cell r="T479" t="str">
            <v>FTE</v>
          </cell>
          <cell r="U479" t="str">
            <v>Birlasoft</v>
          </cell>
          <cell r="V479">
            <v>0</v>
          </cell>
          <cell r="W479">
            <v>0</v>
          </cell>
          <cell r="X479" t="str">
            <v>USD</v>
          </cell>
          <cell r="Y479">
            <v>45000</v>
          </cell>
          <cell r="Z479">
            <v>0</v>
          </cell>
          <cell r="AA479">
            <v>0</v>
          </cell>
          <cell r="AB479">
            <v>0</v>
          </cell>
          <cell r="AC479">
            <v>46037</v>
          </cell>
          <cell r="AD479">
            <v>1</v>
          </cell>
          <cell r="AE479">
            <v>46387</v>
          </cell>
          <cell r="AF479">
            <v>0</v>
          </cell>
          <cell r="AG479">
            <v>0</v>
          </cell>
          <cell r="AH479">
            <v>0</v>
          </cell>
          <cell r="AI479">
            <v>45000</v>
          </cell>
          <cell r="AJ479">
            <v>0</v>
          </cell>
          <cell r="AK479">
            <v>0</v>
          </cell>
          <cell r="AL479">
            <v>45000</v>
          </cell>
          <cell r="AM479">
            <v>0</v>
          </cell>
          <cell r="AN479">
            <v>45000</v>
          </cell>
          <cell r="AO479">
            <v>0</v>
          </cell>
          <cell r="AP479">
            <v>45000</v>
          </cell>
          <cell r="AQ479" t="str">
            <v>US_26955</v>
          </cell>
          <cell r="AR479">
            <v>0</v>
          </cell>
          <cell r="AS479">
            <v>1</v>
          </cell>
          <cell r="AU479">
            <v>1</v>
          </cell>
          <cell r="AV479">
            <v>0</v>
          </cell>
          <cell r="AW479">
            <v>45000</v>
          </cell>
          <cell r="AX479">
            <v>45000</v>
          </cell>
          <cell r="AY479">
            <v>0</v>
          </cell>
          <cell r="AZ479">
            <v>45000</v>
          </cell>
          <cell r="BA479">
            <v>45000</v>
          </cell>
          <cell r="BB479">
            <v>45000</v>
          </cell>
          <cell r="BC479">
            <v>45</v>
          </cell>
          <cell r="BD479">
            <v>49500</v>
          </cell>
          <cell r="BE479">
            <v>49500</v>
          </cell>
          <cell r="BG479">
            <v>45000</v>
          </cell>
          <cell r="BI479">
            <v>45000</v>
          </cell>
          <cell r="BJ479">
            <v>45000</v>
          </cell>
          <cell r="BK479">
            <v>45000</v>
          </cell>
          <cell r="BL479">
            <v>0</v>
          </cell>
          <cell r="BM479">
            <v>0</v>
          </cell>
          <cell r="BN479">
            <v>0</v>
          </cell>
          <cell r="BO479">
            <v>0</v>
          </cell>
          <cell r="BP479">
            <v>0</v>
          </cell>
          <cell r="BQ479">
            <v>0</v>
          </cell>
          <cell r="BR479">
            <v>45000</v>
          </cell>
          <cell r="BS479" t="str">
            <v>Y</v>
          </cell>
          <cell r="BT479">
            <v>1</v>
          </cell>
          <cell r="BU479">
            <v>1</v>
          </cell>
          <cell r="BV479" t="str">
            <v>N</v>
          </cell>
          <cell r="BW479">
            <v>99000</v>
          </cell>
          <cell r="BX479">
            <v>99000</v>
          </cell>
          <cell r="BY479">
            <v>2026</v>
          </cell>
          <cell r="BZ479" t="str">
            <v>-</v>
          </cell>
          <cell r="CA479" t="str">
            <v>-</v>
          </cell>
        </row>
        <row r="480">
          <cell r="A480" t="str">
            <v>Lucknow</v>
          </cell>
          <cell r="B480" t="str">
            <v>Trust</v>
          </cell>
          <cell r="C480" t="str">
            <v>Mid Level</v>
          </cell>
          <cell r="D480" t="str">
            <v>Bhanu Pratap Singh</v>
          </cell>
          <cell r="F480" t="str">
            <v>Non-MSP</v>
          </cell>
          <cell r="H480" t="str">
            <v>Pass through</v>
          </cell>
          <cell r="J480" t="str">
            <v>ACH</v>
          </cell>
          <cell r="L480" t="str">
            <v>New</v>
          </cell>
          <cell r="M480">
            <v>46143</v>
          </cell>
          <cell r="N480">
            <v>59</v>
          </cell>
          <cell r="P480">
            <v>46508</v>
          </cell>
          <cell r="R480" t="str">
            <v xml:space="preserve">Radha Rajamoni </v>
          </cell>
          <cell r="S480" t="str">
            <v>Individual</v>
          </cell>
          <cell r="T480" t="str">
            <v>C2C</v>
          </cell>
          <cell r="U480" t="str">
            <v>Birlasoft</v>
          </cell>
          <cell r="V480">
            <v>60</v>
          </cell>
          <cell r="W480">
            <v>0</v>
          </cell>
          <cell r="X480" t="str">
            <v>USD</v>
          </cell>
          <cell r="Y480">
            <v>63</v>
          </cell>
          <cell r="Z480">
            <v>0</v>
          </cell>
          <cell r="AA480">
            <v>0</v>
          </cell>
          <cell r="AB480">
            <v>0</v>
          </cell>
          <cell r="AC480">
            <v>46157</v>
          </cell>
          <cell r="AD480">
            <v>21</v>
          </cell>
          <cell r="AE480">
            <v>46387</v>
          </cell>
          <cell r="AF480">
            <v>60</v>
          </cell>
          <cell r="AG480">
            <v>0</v>
          </cell>
          <cell r="AH480">
            <v>60</v>
          </cell>
          <cell r="AI480">
            <v>63</v>
          </cell>
          <cell r="AJ480">
            <v>0</v>
          </cell>
          <cell r="AK480">
            <v>0</v>
          </cell>
          <cell r="AL480">
            <v>3</v>
          </cell>
          <cell r="AM480">
            <v>0</v>
          </cell>
          <cell r="AN480">
            <v>3</v>
          </cell>
          <cell r="AO480">
            <v>0</v>
          </cell>
          <cell r="AP480">
            <v>3</v>
          </cell>
          <cell r="AU480">
            <v>168</v>
          </cell>
          <cell r="BB480">
            <v>504</v>
          </cell>
          <cell r="BC480">
            <v>0</v>
          </cell>
          <cell r="BD480">
            <v>0</v>
          </cell>
          <cell r="BE480">
            <v>0</v>
          </cell>
          <cell r="BI480">
            <v>0</v>
          </cell>
          <cell r="BK480">
            <v>10584</v>
          </cell>
          <cell r="BL480">
            <v>10080</v>
          </cell>
          <cell r="BM480">
            <v>0</v>
          </cell>
          <cell r="BN480">
            <v>0</v>
          </cell>
          <cell r="BO480">
            <v>0</v>
          </cell>
          <cell r="BP480">
            <v>10080</v>
          </cell>
          <cell r="BQ480">
            <v>0</v>
          </cell>
          <cell r="BR480">
            <v>504</v>
          </cell>
          <cell r="BT480">
            <v>2</v>
          </cell>
          <cell r="BU480">
            <v>2</v>
          </cell>
          <cell r="BV480" t="str">
            <v>N</v>
          </cell>
          <cell r="BW480">
            <v>0</v>
          </cell>
          <cell r="BX480">
            <v>0</v>
          </cell>
          <cell r="BY480">
            <v>2026</v>
          </cell>
          <cell r="BZ480" t="str">
            <v>-</v>
          </cell>
          <cell r="CA480" t="str">
            <v>-</v>
          </cell>
        </row>
        <row r="481">
          <cell r="A481" t="str">
            <v>Lucknow</v>
          </cell>
          <cell r="B481" t="str">
            <v>Mavericks</v>
          </cell>
          <cell r="C481" t="str">
            <v>Mid Level</v>
          </cell>
          <cell r="D481" t="str">
            <v>Mohammad Fakhrul</v>
          </cell>
          <cell r="E481" t="str">
            <v>-</v>
          </cell>
          <cell r="F481" t="str">
            <v>MSP</v>
          </cell>
          <cell r="H481" t="str">
            <v>Pass Through/MSP</v>
          </cell>
          <cell r="L481" t="str">
            <v>New</v>
          </cell>
          <cell r="M481">
            <v>46090</v>
          </cell>
          <cell r="N481">
            <v>112</v>
          </cell>
          <cell r="P481">
            <v>46455</v>
          </cell>
          <cell r="Q481" t="str">
            <v>PLC-Passthrough</v>
          </cell>
          <cell r="R481" t="str">
            <v>Rafael Storino</v>
          </cell>
          <cell r="S481" t="str">
            <v>Individual</v>
          </cell>
          <cell r="T481" t="str">
            <v>C2C Canada</v>
          </cell>
          <cell r="U481" t="str">
            <v>CoForge</v>
          </cell>
          <cell r="V481">
            <v>146</v>
          </cell>
          <cell r="W481">
            <v>0</v>
          </cell>
          <cell r="X481" t="str">
            <v>CAD</v>
          </cell>
          <cell r="Y481">
            <v>150</v>
          </cell>
          <cell r="Z481">
            <v>0</v>
          </cell>
          <cell r="AA481">
            <v>0</v>
          </cell>
          <cell r="AB481">
            <v>0</v>
          </cell>
          <cell r="AC481">
            <v>46096</v>
          </cell>
          <cell r="AD481">
            <v>10</v>
          </cell>
          <cell r="AE481">
            <v>46387</v>
          </cell>
          <cell r="AF481">
            <v>103.66</v>
          </cell>
          <cell r="AG481">
            <v>0</v>
          </cell>
          <cell r="AH481">
            <v>103.66</v>
          </cell>
          <cell r="AI481">
            <v>106.5</v>
          </cell>
          <cell r="AJ481">
            <v>0</v>
          </cell>
          <cell r="AK481">
            <v>0</v>
          </cell>
          <cell r="AL481">
            <v>2.8400000000000034</v>
          </cell>
          <cell r="AM481">
            <v>0</v>
          </cell>
          <cell r="AN481">
            <v>2.8400000000000034</v>
          </cell>
          <cell r="AO481">
            <v>0</v>
          </cell>
          <cell r="AP481">
            <v>2.8400000000000034</v>
          </cell>
          <cell r="AQ481" t="str">
            <v>CAD_2060</v>
          </cell>
          <cell r="AR481">
            <v>0</v>
          </cell>
          <cell r="AS481">
            <v>136</v>
          </cell>
          <cell r="AU481">
            <v>136</v>
          </cell>
          <cell r="AV481">
            <v>0</v>
          </cell>
          <cell r="AW481">
            <v>386.24000000000046</v>
          </cell>
          <cell r="AX481">
            <v>386.24000000000046</v>
          </cell>
          <cell r="AY481">
            <v>0</v>
          </cell>
          <cell r="AZ481">
            <v>386.24000000000046</v>
          </cell>
          <cell r="BA481">
            <v>386.24000000000046</v>
          </cell>
          <cell r="BB481">
            <v>386.24000000000046</v>
          </cell>
          <cell r="BC481">
            <v>0</v>
          </cell>
          <cell r="BD481">
            <v>0</v>
          </cell>
          <cell r="BE481">
            <v>0</v>
          </cell>
          <cell r="BG481">
            <v>386.24000000000046</v>
          </cell>
          <cell r="BI481">
            <v>386.24000000000046</v>
          </cell>
          <cell r="BJ481">
            <v>20400</v>
          </cell>
          <cell r="BK481">
            <v>14484</v>
          </cell>
          <cell r="BL481">
            <v>14711.3104</v>
          </cell>
          <cell r="BM481">
            <v>0</v>
          </cell>
          <cell r="BN481">
            <v>0</v>
          </cell>
          <cell r="BO481">
            <v>0</v>
          </cell>
          <cell r="BP481">
            <v>14711.3104</v>
          </cell>
          <cell r="BQ481">
            <v>0</v>
          </cell>
          <cell r="BR481">
            <v>-227.3104000000003</v>
          </cell>
          <cell r="BS481" t="str">
            <v>Y</v>
          </cell>
          <cell r="BT481">
            <v>1</v>
          </cell>
          <cell r="BU481">
            <v>1</v>
          </cell>
          <cell r="BV481" t="str">
            <v>N</v>
          </cell>
          <cell r="BW481">
            <v>0</v>
          </cell>
          <cell r="BX481">
            <v>0</v>
          </cell>
          <cell r="BY481">
            <v>2026</v>
          </cell>
          <cell r="BZ481" t="str">
            <v>-</v>
          </cell>
          <cell r="CA481" t="str">
            <v>-</v>
          </cell>
        </row>
        <row r="482">
          <cell r="A482" t="str">
            <v>Lucknow</v>
          </cell>
          <cell r="B482" t="str">
            <v>Mavericks</v>
          </cell>
          <cell r="C482" t="str">
            <v>Mid Level</v>
          </cell>
          <cell r="D482" t="str">
            <v>Mohammad Fakhrul</v>
          </cell>
          <cell r="E482" t="str">
            <v>-</v>
          </cell>
          <cell r="F482" t="str">
            <v>MSP</v>
          </cell>
          <cell r="H482" t="str">
            <v>Pass Through/MSP</v>
          </cell>
          <cell r="J482" t="str">
            <v>ACH</v>
          </cell>
          <cell r="L482" t="str">
            <v>New</v>
          </cell>
          <cell r="M482">
            <v>46090</v>
          </cell>
          <cell r="N482">
            <v>112</v>
          </cell>
          <cell r="P482">
            <v>46455</v>
          </cell>
          <cell r="Q482" t="str">
            <v>PLC-Passthrough</v>
          </cell>
          <cell r="R482" t="str">
            <v>Rafael Storino</v>
          </cell>
          <cell r="S482" t="str">
            <v>Individual</v>
          </cell>
          <cell r="T482" t="str">
            <v>C2C Canada</v>
          </cell>
          <cell r="U482" t="str">
            <v>CoForge</v>
          </cell>
          <cell r="V482">
            <v>146</v>
          </cell>
          <cell r="W482">
            <v>0</v>
          </cell>
          <cell r="X482" t="str">
            <v>CAD</v>
          </cell>
          <cell r="Y482">
            <v>150</v>
          </cell>
          <cell r="Z482">
            <v>0</v>
          </cell>
          <cell r="AA482">
            <v>0</v>
          </cell>
          <cell r="AB482">
            <v>0</v>
          </cell>
          <cell r="AC482">
            <v>46127</v>
          </cell>
          <cell r="AD482">
            <v>22</v>
          </cell>
          <cell r="AE482">
            <v>46387</v>
          </cell>
          <cell r="AF482">
            <v>103.66</v>
          </cell>
          <cell r="AG482">
            <v>0</v>
          </cell>
          <cell r="AH482">
            <v>103.66</v>
          </cell>
          <cell r="AI482">
            <v>106.5</v>
          </cell>
          <cell r="AJ482">
            <v>0</v>
          </cell>
          <cell r="AK482">
            <v>0</v>
          </cell>
          <cell r="AL482">
            <v>2.8400000000000034</v>
          </cell>
          <cell r="AM482">
            <v>0</v>
          </cell>
          <cell r="AN482">
            <v>2.8400000000000034</v>
          </cell>
          <cell r="AO482">
            <v>0</v>
          </cell>
          <cell r="AP482">
            <v>2.8400000000000034</v>
          </cell>
          <cell r="AQ482" t="str">
            <v>CAD_2087</v>
          </cell>
          <cell r="AR482">
            <v>0</v>
          </cell>
          <cell r="AS482">
            <v>179</v>
          </cell>
          <cell r="AU482">
            <v>179</v>
          </cell>
          <cell r="AV482">
            <v>0</v>
          </cell>
          <cell r="AW482">
            <v>508.36000000000058</v>
          </cell>
          <cell r="AX482">
            <v>503.27640000000059</v>
          </cell>
          <cell r="AY482">
            <v>0</v>
          </cell>
          <cell r="AZ482">
            <v>508.36000000000058</v>
          </cell>
          <cell r="BA482">
            <v>503.27640000000059</v>
          </cell>
          <cell r="BB482">
            <v>508.36000000000058</v>
          </cell>
          <cell r="BC482">
            <v>0</v>
          </cell>
          <cell r="BD482">
            <v>0</v>
          </cell>
          <cell r="BE482">
            <v>0</v>
          </cell>
          <cell r="BG482">
            <v>503.27640000000059</v>
          </cell>
          <cell r="BI482">
            <v>503.27640000000059</v>
          </cell>
          <cell r="BJ482">
            <v>26850</v>
          </cell>
          <cell r="BK482">
            <v>19063.5</v>
          </cell>
          <cell r="BL482">
            <v>19362.6806</v>
          </cell>
          <cell r="BM482">
            <v>0</v>
          </cell>
          <cell r="BN482">
            <v>0</v>
          </cell>
          <cell r="BO482">
            <v>0</v>
          </cell>
          <cell r="BP482">
            <v>19362.6806</v>
          </cell>
          <cell r="BQ482">
            <v>0</v>
          </cell>
          <cell r="BR482">
            <v>-299.18059999999969</v>
          </cell>
          <cell r="BT482">
            <v>2</v>
          </cell>
          <cell r="BU482">
            <v>1</v>
          </cell>
          <cell r="BV482" t="str">
            <v>N</v>
          </cell>
          <cell r="BW482">
            <v>0</v>
          </cell>
          <cell r="BX482">
            <v>0</v>
          </cell>
          <cell r="BY482">
            <v>2026</v>
          </cell>
          <cell r="BZ482" t="str">
            <v>-</v>
          </cell>
          <cell r="CA482" t="str">
            <v>-</v>
          </cell>
        </row>
        <row r="483">
          <cell r="A483" t="str">
            <v>Lucknow</v>
          </cell>
          <cell r="B483" t="str">
            <v>Mavericks</v>
          </cell>
          <cell r="C483" t="str">
            <v>Mid Level</v>
          </cell>
          <cell r="D483" t="str">
            <v>Mohammad Fakhrul</v>
          </cell>
          <cell r="E483" t="str">
            <v>-</v>
          </cell>
          <cell r="F483" t="str">
            <v>MSP</v>
          </cell>
          <cell r="H483" t="str">
            <v>Pass Through/MSP</v>
          </cell>
          <cell r="J483" t="str">
            <v>ACH</v>
          </cell>
          <cell r="L483" t="str">
            <v>New</v>
          </cell>
          <cell r="M483">
            <v>46090</v>
          </cell>
          <cell r="N483">
            <v>112</v>
          </cell>
          <cell r="P483">
            <v>46455</v>
          </cell>
          <cell r="Q483" t="str">
            <v>PLC-Passthrough</v>
          </cell>
          <cell r="R483" t="str">
            <v>Rafael Storino</v>
          </cell>
          <cell r="S483" t="str">
            <v>Individual</v>
          </cell>
          <cell r="T483" t="str">
            <v>C2C Canada</v>
          </cell>
          <cell r="U483" t="str">
            <v>CoForge</v>
          </cell>
          <cell r="V483">
            <v>146</v>
          </cell>
          <cell r="W483">
            <v>0</v>
          </cell>
          <cell r="X483" t="str">
            <v>CAD</v>
          </cell>
          <cell r="Y483">
            <v>150</v>
          </cell>
          <cell r="Z483">
            <v>0</v>
          </cell>
          <cell r="AA483">
            <v>0</v>
          </cell>
          <cell r="AB483">
            <v>0</v>
          </cell>
          <cell r="AC483">
            <v>46157</v>
          </cell>
          <cell r="AD483">
            <v>22</v>
          </cell>
          <cell r="AE483">
            <v>46387</v>
          </cell>
          <cell r="AF483">
            <v>103.66</v>
          </cell>
          <cell r="AG483">
            <v>0</v>
          </cell>
          <cell r="AH483">
            <v>103.66</v>
          </cell>
          <cell r="AI483">
            <v>106.5</v>
          </cell>
          <cell r="AJ483">
            <v>0</v>
          </cell>
          <cell r="AK483">
            <v>0</v>
          </cell>
          <cell r="AL483">
            <v>2.8400000000000034</v>
          </cell>
          <cell r="AM483">
            <v>0</v>
          </cell>
          <cell r="AN483">
            <v>2.8400000000000034</v>
          </cell>
          <cell r="AO483">
            <v>0</v>
          </cell>
          <cell r="AP483">
            <v>2.8400000000000034</v>
          </cell>
          <cell r="AQ483" t="str">
            <v>CAD_2148</v>
          </cell>
          <cell r="AR483">
            <v>0</v>
          </cell>
          <cell r="AS483">
            <v>177</v>
          </cell>
          <cell r="AU483">
            <v>177</v>
          </cell>
          <cell r="AV483">
            <v>0</v>
          </cell>
          <cell r="AW483">
            <v>502.68000000000063</v>
          </cell>
          <cell r="AX483">
            <v>497.6532000000006</v>
          </cell>
          <cell r="AY483">
            <v>0</v>
          </cell>
          <cell r="AZ483">
            <v>502.68000000000063</v>
          </cell>
          <cell r="BA483">
            <v>497.6532000000006</v>
          </cell>
          <cell r="BB483">
            <v>502.68000000000063</v>
          </cell>
          <cell r="BC483">
            <v>0</v>
          </cell>
          <cell r="BD483">
            <v>0</v>
          </cell>
          <cell r="BE483">
            <v>0</v>
          </cell>
          <cell r="BG483">
            <v>497.6532000000006</v>
          </cell>
          <cell r="BI483">
            <v>497.6532000000006</v>
          </cell>
          <cell r="BJ483">
            <v>26550</v>
          </cell>
          <cell r="BK483">
            <v>18850.5</v>
          </cell>
          <cell r="BL483">
            <v>19146.337800000001</v>
          </cell>
          <cell r="BM483">
            <v>0</v>
          </cell>
          <cell r="BN483">
            <v>0</v>
          </cell>
          <cell r="BO483">
            <v>0</v>
          </cell>
          <cell r="BP483">
            <v>19146.337800000001</v>
          </cell>
          <cell r="BQ483">
            <v>0</v>
          </cell>
          <cell r="BR483">
            <v>-295.83780000000115</v>
          </cell>
          <cell r="BT483">
            <v>2</v>
          </cell>
          <cell r="BU483">
            <v>1</v>
          </cell>
          <cell r="BV483" t="str">
            <v>N</v>
          </cell>
          <cell r="BW483">
            <v>0</v>
          </cell>
          <cell r="BX483">
            <v>0</v>
          </cell>
          <cell r="BY483">
            <v>2026</v>
          </cell>
          <cell r="BZ483" t="str">
            <v>-</v>
          </cell>
          <cell r="CA483" t="str">
            <v>-</v>
          </cell>
        </row>
        <row r="484">
          <cell r="A484" t="str">
            <v>Lucknow</v>
          </cell>
          <cell r="B484" t="str">
            <v>Mavericks</v>
          </cell>
          <cell r="C484" t="str">
            <v>Mid Level</v>
          </cell>
          <cell r="D484" t="str">
            <v>Akash Saxena</v>
          </cell>
          <cell r="F484" t="str">
            <v>Non-MSP</v>
          </cell>
          <cell r="H484" t="str">
            <v>Pass Through</v>
          </cell>
          <cell r="J484" t="str">
            <v>ACH</v>
          </cell>
          <cell r="L484" t="str">
            <v>New</v>
          </cell>
          <cell r="M484">
            <v>46122</v>
          </cell>
          <cell r="N484">
            <v>80</v>
          </cell>
          <cell r="P484">
            <v>46487</v>
          </cell>
          <cell r="Q484" t="str">
            <v>PLC-Passthrough</v>
          </cell>
          <cell r="R484" t="str">
            <v>Rafi Mohammed</v>
          </cell>
          <cell r="S484" t="str">
            <v>Individual</v>
          </cell>
          <cell r="T484" t="str">
            <v>C2C</v>
          </cell>
          <cell r="U484" t="str">
            <v>Citius Tech</v>
          </cell>
          <cell r="V484">
            <v>66</v>
          </cell>
          <cell r="W484">
            <v>0</v>
          </cell>
          <cell r="X484" t="str">
            <v>USD</v>
          </cell>
          <cell r="Y484">
            <v>68</v>
          </cell>
          <cell r="Z484">
            <v>0</v>
          </cell>
          <cell r="AA484">
            <v>0</v>
          </cell>
          <cell r="AB484">
            <v>0</v>
          </cell>
          <cell r="AC484">
            <v>46127</v>
          </cell>
          <cell r="AD484">
            <v>15</v>
          </cell>
          <cell r="AE484">
            <v>46387</v>
          </cell>
          <cell r="AF484">
            <v>66</v>
          </cell>
          <cell r="AG484">
            <v>0</v>
          </cell>
          <cell r="AH484">
            <v>66</v>
          </cell>
          <cell r="AI484">
            <v>68</v>
          </cell>
          <cell r="AJ484">
            <v>0</v>
          </cell>
          <cell r="AK484">
            <v>0</v>
          </cell>
          <cell r="AL484">
            <v>2</v>
          </cell>
          <cell r="AM484">
            <v>0</v>
          </cell>
          <cell r="AN484">
            <v>2</v>
          </cell>
          <cell r="AO484">
            <v>0</v>
          </cell>
          <cell r="AP484">
            <v>2</v>
          </cell>
          <cell r="AQ484" t="str">
            <v>US_27712</v>
          </cell>
          <cell r="AR484">
            <v>0</v>
          </cell>
          <cell r="AS484">
            <v>112</v>
          </cell>
          <cell r="AU484">
            <v>112</v>
          </cell>
          <cell r="AV484">
            <v>0</v>
          </cell>
          <cell r="AW484">
            <v>224</v>
          </cell>
          <cell r="AX484">
            <v>221.76</v>
          </cell>
          <cell r="AY484">
            <v>0</v>
          </cell>
          <cell r="AZ484">
            <v>224</v>
          </cell>
          <cell r="BA484">
            <v>221.76</v>
          </cell>
          <cell r="BB484">
            <v>224</v>
          </cell>
          <cell r="BC484">
            <v>0</v>
          </cell>
          <cell r="BD484">
            <v>0</v>
          </cell>
          <cell r="BE484">
            <v>0</v>
          </cell>
          <cell r="BG484">
            <v>221.76</v>
          </cell>
          <cell r="BI484">
            <v>0</v>
          </cell>
          <cell r="BJ484">
            <v>7616</v>
          </cell>
          <cell r="BK484">
            <v>7616</v>
          </cell>
          <cell r="BL484">
            <v>7392</v>
          </cell>
          <cell r="BM484">
            <v>0</v>
          </cell>
          <cell r="BN484">
            <v>0</v>
          </cell>
          <cell r="BO484">
            <v>0</v>
          </cell>
          <cell r="BP484">
            <v>7392</v>
          </cell>
          <cell r="BQ484">
            <v>0</v>
          </cell>
          <cell r="BR484">
            <v>224</v>
          </cell>
          <cell r="BS484" t="str">
            <v>Y</v>
          </cell>
          <cell r="BT484">
            <v>2</v>
          </cell>
          <cell r="BU484">
            <v>2</v>
          </cell>
          <cell r="BV484" t="str">
            <v>Y</v>
          </cell>
          <cell r="BW484">
            <v>0</v>
          </cell>
          <cell r="BX484">
            <v>0</v>
          </cell>
          <cell r="BY484">
            <v>2026</v>
          </cell>
          <cell r="BZ484" t="str">
            <v>-</v>
          </cell>
          <cell r="CA484" t="str">
            <v>-</v>
          </cell>
        </row>
        <row r="485">
          <cell r="A485" t="str">
            <v>Lucknow</v>
          </cell>
          <cell r="B485" t="str">
            <v>Mavericks</v>
          </cell>
          <cell r="C485" t="str">
            <v>Mid Level</v>
          </cell>
          <cell r="D485" t="str">
            <v>Akash Saxena</v>
          </cell>
          <cell r="F485" t="str">
            <v>Non-MSP</v>
          </cell>
          <cell r="H485" t="str">
            <v>Pass Through</v>
          </cell>
          <cell r="J485" t="str">
            <v>ACH</v>
          </cell>
          <cell r="L485" t="str">
            <v>New</v>
          </cell>
          <cell r="M485">
            <v>46122</v>
          </cell>
          <cell r="N485">
            <v>80</v>
          </cell>
          <cell r="P485">
            <v>46487</v>
          </cell>
          <cell r="Q485" t="str">
            <v>PLC-Passthrough</v>
          </cell>
          <cell r="R485" t="str">
            <v>Rafi Mohammed</v>
          </cell>
          <cell r="S485" t="str">
            <v>Individual</v>
          </cell>
          <cell r="T485" t="str">
            <v>C2C</v>
          </cell>
          <cell r="U485" t="str">
            <v>Citius Tech</v>
          </cell>
          <cell r="V485">
            <v>66</v>
          </cell>
          <cell r="W485">
            <v>0</v>
          </cell>
          <cell r="X485" t="str">
            <v>USD</v>
          </cell>
          <cell r="Y485">
            <v>68</v>
          </cell>
          <cell r="Z485">
            <v>0</v>
          </cell>
          <cell r="AA485">
            <v>0</v>
          </cell>
          <cell r="AB485">
            <v>0</v>
          </cell>
          <cell r="AC485">
            <v>46157</v>
          </cell>
          <cell r="AD485">
            <v>15</v>
          </cell>
          <cell r="AE485">
            <v>46387</v>
          </cell>
          <cell r="AF485">
            <v>66</v>
          </cell>
          <cell r="AG485">
            <v>0</v>
          </cell>
          <cell r="AH485">
            <v>66</v>
          </cell>
          <cell r="AI485">
            <v>68</v>
          </cell>
          <cell r="AJ485">
            <v>0</v>
          </cell>
          <cell r="AK485">
            <v>0</v>
          </cell>
          <cell r="AL485">
            <v>2</v>
          </cell>
          <cell r="AM485">
            <v>0</v>
          </cell>
          <cell r="AN485">
            <v>2</v>
          </cell>
          <cell r="AO485">
            <v>0</v>
          </cell>
          <cell r="AP485">
            <v>2</v>
          </cell>
          <cell r="AQ485" t="str">
            <v>US_27951</v>
          </cell>
          <cell r="AR485">
            <v>0</v>
          </cell>
          <cell r="AS485">
            <v>160</v>
          </cell>
          <cell r="AU485">
            <v>160</v>
          </cell>
          <cell r="AV485">
            <v>0</v>
          </cell>
          <cell r="AW485">
            <v>320</v>
          </cell>
          <cell r="AX485">
            <v>316.8</v>
          </cell>
          <cell r="AY485">
            <v>0</v>
          </cell>
          <cell r="AZ485">
            <v>320</v>
          </cell>
          <cell r="BA485">
            <v>316.8</v>
          </cell>
          <cell r="BB485">
            <v>320</v>
          </cell>
          <cell r="BC485">
            <v>0</v>
          </cell>
          <cell r="BD485">
            <v>0</v>
          </cell>
          <cell r="BE485">
            <v>0</v>
          </cell>
          <cell r="BG485">
            <v>316.8</v>
          </cell>
          <cell r="BI485">
            <v>0</v>
          </cell>
          <cell r="BJ485">
            <v>10880</v>
          </cell>
          <cell r="BK485">
            <v>10880</v>
          </cell>
          <cell r="BL485">
            <v>10560</v>
          </cell>
          <cell r="BM485">
            <v>0</v>
          </cell>
          <cell r="BN485">
            <v>0</v>
          </cell>
          <cell r="BO485">
            <v>0</v>
          </cell>
          <cell r="BP485">
            <v>10560</v>
          </cell>
          <cell r="BQ485">
            <v>0</v>
          </cell>
          <cell r="BR485">
            <v>320</v>
          </cell>
          <cell r="BT485">
            <v>2</v>
          </cell>
          <cell r="BU485">
            <v>2</v>
          </cell>
          <cell r="BV485" t="str">
            <v>Y</v>
          </cell>
          <cell r="BW485">
            <v>0</v>
          </cell>
          <cell r="BX485">
            <v>0</v>
          </cell>
          <cell r="BY485">
            <v>2026</v>
          </cell>
          <cell r="BZ485" t="str">
            <v>-</v>
          </cell>
          <cell r="CA485" t="str">
            <v>-</v>
          </cell>
        </row>
        <row r="486">
          <cell r="A486" t="str">
            <v>Lucknow</v>
          </cell>
          <cell r="B486" t="str">
            <v>Mavericks</v>
          </cell>
          <cell r="C486" t="str">
            <v>Mid Level</v>
          </cell>
          <cell r="D486" t="str">
            <v>Mohammad Fakhrul</v>
          </cell>
          <cell r="E486" t="str">
            <v>-</v>
          </cell>
          <cell r="F486" t="str">
            <v>MSP</v>
          </cell>
          <cell r="H486" t="str">
            <v>Pass Through/MSP</v>
          </cell>
          <cell r="L486" t="str">
            <v>New</v>
          </cell>
          <cell r="M486">
            <v>46041</v>
          </cell>
          <cell r="N486">
            <v>161</v>
          </cell>
          <cell r="P486">
            <v>46406</v>
          </cell>
          <cell r="Q486" t="str">
            <v>PLC-Passthrough</v>
          </cell>
          <cell r="R486" t="str">
            <v>Raghava Raju Sagi</v>
          </cell>
          <cell r="S486" t="str">
            <v>Individual</v>
          </cell>
          <cell r="T486" t="str">
            <v>C2C Canada</v>
          </cell>
          <cell r="U486" t="str">
            <v>Cigniti</v>
          </cell>
          <cell r="V486">
            <v>78</v>
          </cell>
          <cell r="W486">
            <v>0</v>
          </cell>
          <cell r="X486" t="str">
            <v>CAD</v>
          </cell>
          <cell r="Y486">
            <v>80</v>
          </cell>
          <cell r="Z486">
            <v>0</v>
          </cell>
          <cell r="AA486">
            <v>0</v>
          </cell>
          <cell r="AB486">
            <v>0</v>
          </cell>
          <cell r="AC486">
            <v>46037</v>
          </cell>
          <cell r="AD486">
            <v>10</v>
          </cell>
          <cell r="AE486">
            <v>46387</v>
          </cell>
          <cell r="AF486">
            <v>55.379999999999995</v>
          </cell>
          <cell r="AG486">
            <v>0</v>
          </cell>
          <cell r="AH486">
            <v>55.379999999999995</v>
          </cell>
          <cell r="AI486">
            <v>56.8</v>
          </cell>
          <cell r="AJ486">
            <v>0</v>
          </cell>
          <cell r="AK486">
            <v>0</v>
          </cell>
          <cell r="AL486">
            <v>1.4200000000000017</v>
          </cell>
          <cell r="AM486">
            <v>0</v>
          </cell>
          <cell r="AN486">
            <v>1.4200000000000017</v>
          </cell>
          <cell r="AO486">
            <v>0</v>
          </cell>
          <cell r="AP486">
            <v>1.4200000000000017</v>
          </cell>
          <cell r="AU486">
            <v>80</v>
          </cell>
          <cell r="BB486">
            <v>113.60000000000014</v>
          </cell>
          <cell r="BC486">
            <v>0</v>
          </cell>
          <cell r="BD486">
            <v>0</v>
          </cell>
          <cell r="BE486">
            <v>0</v>
          </cell>
          <cell r="BK486">
            <v>4544</v>
          </cell>
          <cell r="BL486">
            <v>4623.2160000000003</v>
          </cell>
          <cell r="BM486">
            <v>0</v>
          </cell>
          <cell r="BN486">
            <v>0</v>
          </cell>
          <cell r="BO486">
            <v>0</v>
          </cell>
          <cell r="BP486">
            <v>4623.2160000000003</v>
          </cell>
          <cell r="BQ486">
            <v>0</v>
          </cell>
          <cell r="BR486">
            <v>-79.216000000000349</v>
          </cell>
          <cell r="BT486">
            <v>1</v>
          </cell>
          <cell r="BU486">
            <v>1</v>
          </cell>
          <cell r="BV486" t="str">
            <v>N</v>
          </cell>
          <cell r="BW486">
            <v>0</v>
          </cell>
          <cell r="BX486">
            <v>0</v>
          </cell>
          <cell r="BY486">
            <v>2026</v>
          </cell>
          <cell r="BZ486" t="str">
            <v>-</v>
          </cell>
          <cell r="CA486" t="str">
            <v>-</v>
          </cell>
        </row>
        <row r="487">
          <cell r="A487" t="str">
            <v>Lucknow</v>
          </cell>
          <cell r="B487" t="str">
            <v>Mavericks</v>
          </cell>
          <cell r="C487" t="str">
            <v>Mid Level</v>
          </cell>
          <cell r="D487" t="str">
            <v>Mohammad Fakhrul</v>
          </cell>
          <cell r="E487" t="str">
            <v>-</v>
          </cell>
          <cell r="F487" t="str">
            <v>MSP</v>
          </cell>
          <cell r="H487" t="str">
            <v>Pass Through/MSP</v>
          </cell>
          <cell r="L487" t="str">
            <v>New</v>
          </cell>
          <cell r="M487">
            <v>46041</v>
          </cell>
          <cell r="N487">
            <v>161</v>
          </cell>
          <cell r="P487">
            <v>46406</v>
          </cell>
          <cell r="Q487" t="str">
            <v>PLC-Passthrough</v>
          </cell>
          <cell r="R487" t="str">
            <v>Raghava Raju Sagi</v>
          </cell>
          <cell r="S487" t="str">
            <v>Individual</v>
          </cell>
          <cell r="T487" t="str">
            <v>C2C Canada</v>
          </cell>
          <cell r="U487" t="str">
            <v>Cigniti</v>
          </cell>
          <cell r="V487">
            <v>78</v>
          </cell>
          <cell r="W487">
            <v>0</v>
          </cell>
          <cell r="X487" t="str">
            <v>CAD</v>
          </cell>
          <cell r="Y487">
            <v>80</v>
          </cell>
          <cell r="Z487">
            <v>0</v>
          </cell>
          <cell r="AA487">
            <v>0</v>
          </cell>
          <cell r="AB487">
            <v>0</v>
          </cell>
          <cell r="AC487">
            <v>46068</v>
          </cell>
          <cell r="AD487">
            <v>19</v>
          </cell>
          <cell r="AE487">
            <v>46387</v>
          </cell>
          <cell r="AF487">
            <v>55.379999999999995</v>
          </cell>
          <cell r="AG487">
            <v>0</v>
          </cell>
          <cell r="AH487">
            <v>55.379999999999995</v>
          </cell>
          <cell r="AI487">
            <v>56.8</v>
          </cell>
          <cell r="AJ487">
            <v>0</v>
          </cell>
          <cell r="AK487">
            <v>0</v>
          </cell>
          <cell r="AL487">
            <v>1.4200000000000017</v>
          </cell>
          <cell r="AM487">
            <v>0</v>
          </cell>
          <cell r="AN487">
            <v>1.4200000000000017</v>
          </cell>
          <cell r="AO487">
            <v>0</v>
          </cell>
          <cell r="AP487">
            <v>1.4200000000000017</v>
          </cell>
          <cell r="AU487">
            <v>152</v>
          </cell>
          <cell r="BB487">
            <v>215.84000000000026</v>
          </cell>
          <cell r="BC487">
            <v>0</v>
          </cell>
          <cell r="BD487">
            <v>0</v>
          </cell>
          <cell r="BE487">
            <v>0</v>
          </cell>
          <cell r="BK487">
            <v>8633.6</v>
          </cell>
          <cell r="BL487">
            <v>8784.1103999999996</v>
          </cell>
          <cell r="BM487">
            <v>0</v>
          </cell>
          <cell r="BN487">
            <v>0</v>
          </cell>
          <cell r="BO487">
            <v>0</v>
          </cell>
          <cell r="BP487">
            <v>8784.1103999999996</v>
          </cell>
          <cell r="BQ487">
            <v>0</v>
          </cell>
          <cell r="BR487">
            <v>-150.51039999999921</v>
          </cell>
          <cell r="BT487">
            <v>1</v>
          </cell>
          <cell r="BU487">
            <v>1</v>
          </cell>
          <cell r="BV487" t="str">
            <v>N</v>
          </cell>
          <cell r="BW487">
            <v>0</v>
          </cell>
          <cell r="BX487">
            <v>0</v>
          </cell>
          <cell r="BY487">
            <v>2026</v>
          </cell>
          <cell r="BZ487" t="str">
            <v>-</v>
          </cell>
          <cell r="CA487" t="str">
            <v>-</v>
          </cell>
        </row>
        <row r="488">
          <cell r="A488" t="str">
            <v>Lucknow</v>
          </cell>
          <cell r="B488" t="str">
            <v>Mavericks</v>
          </cell>
          <cell r="C488" t="str">
            <v>Mid Level</v>
          </cell>
          <cell r="D488" t="str">
            <v>Mohammad Fakhrul</v>
          </cell>
          <cell r="E488" t="str">
            <v>-</v>
          </cell>
          <cell r="F488" t="str">
            <v>MSP</v>
          </cell>
          <cell r="H488" t="str">
            <v>Pass Through/MSP</v>
          </cell>
          <cell r="L488" t="str">
            <v>New</v>
          </cell>
          <cell r="M488">
            <v>46041</v>
          </cell>
          <cell r="N488">
            <v>161</v>
          </cell>
          <cell r="P488">
            <v>46406</v>
          </cell>
          <cell r="Q488" t="str">
            <v>PLC-Passthrough</v>
          </cell>
          <cell r="R488" t="str">
            <v>Raghava Raju Sagi</v>
          </cell>
          <cell r="S488" t="str">
            <v>Individual</v>
          </cell>
          <cell r="T488" t="str">
            <v>C2C Canada</v>
          </cell>
          <cell r="U488" t="str">
            <v>Cigniti</v>
          </cell>
          <cell r="V488">
            <v>78</v>
          </cell>
          <cell r="W488">
            <v>0</v>
          </cell>
          <cell r="X488" t="str">
            <v>CAD</v>
          </cell>
          <cell r="Y488">
            <v>80</v>
          </cell>
          <cell r="Z488">
            <v>0</v>
          </cell>
          <cell r="AA488">
            <v>0</v>
          </cell>
          <cell r="AB488">
            <v>0</v>
          </cell>
          <cell r="AC488">
            <v>46096</v>
          </cell>
          <cell r="AD488">
            <v>22</v>
          </cell>
          <cell r="AE488">
            <v>46387</v>
          </cell>
          <cell r="AF488">
            <v>55.379999999999995</v>
          </cell>
          <cell r="AG488">
            <v>0</v>
          </cell>
          <cell r="AH488">
            <v>55.379999999999995</v>
          </cell>
          <cell r="AI488">
            <v>56.8</v>
          </cell>
          <cell r="AJ488">
            <v>0</v>
          </cell>
          <cell r="AK488">
            <v>0</v>
          </cell>
          <cell r="AL488">
            <v>1.4200000000000017</v>
          </cell>
          <cell r="AM488">
            <v>0</v>
          </cell>
          <cell r="AN488">
            <v>1.4200000000000017</v>
          </cell>
          <cell r="AO488">
            <v>0</v>
          </cell>
          <cell r="AP488">
            <v>1.4200000000000017</v>
          </cell>
          <cell r="AU488">
            <v>176</v>
          </cell>
          <cell r="BB488">
            <v>249.9200000000003</v>
          </cell>
          <cell r="BC488">
            <v>0</v>
          </cell>
          <cell r="BD488">
            <v>0</v>
          </cell>
          <cell r="BE488">
            <v>0</v>
          </cell>
          <cell r="BK488">
            <v>9996.7999999999993</v>
          </cell>
          <cell r="BL488">
            <v>10171.075199999999</v>
          </cell>
          <cell r="BM488">
            <v>0</v>
          </cell>
          <cell r="BN488">
            <v>0</v>
          </cell>
          <cell r="BO488">
            <v>0</v>
          </cell>
          <cell r="BP488">
            <v>10171.075199999999</v>
          </cell>
          <cell r="BQ488">
            <v>0</v>
          </cell>
          <cell r="BR488">
            <v>-174.27520000000004</v>
          </cell>
          <cell r="BT488">
            <v>1</v>
          </cell>
          <cell r="BU488">
            <v>1</v>
          </cell>
          <cell r="BV488" t="str">
            <v>N</v>
          </cell>
          <cell r="BW488">
            <v>0</v>
          </cell>
          <cell r="BX488">
            <v>0</v>
          </cell>
          <cell r="BY488">
            <v>2026</v>
          </cell>
          <cell r="BZ488" t="str">
            <v>-</v>
          </cell>
          <cell r="CA488" t="str">
            <v>-</v>
          </cell>
        </row>
        <row r="489">
          <cell r="A489" t="str">
            <v>Lucknow</v>
          </cell>
          <cell r="B489" t="str">
            <v>Mavericks</v>
          </cell>
          <cell r="C489" t="str">
            <v>Mid Level</v>
          </cell>
          <cell r="D489" t="str">
            <v>Mohammad Fakhrul</v>
          </cell>
          <cell r="E489" t="str">
            <v>-</v>
          </cell>
          <cell r="F489" t="str">
            <v>MSP</v>
          </cell>
          <cell r="H489" t="str">
            <v>Pass Through/MSP</v>
          </cell>
          <cell r="J489" t="str">
            <v>ACH</v>
          </cell>
          <cell r="L489" t="str">
            <v>New</v>
          </cell>
          <cell r="M489">
            <v>46041</v>
          </cell>
          <cell r="N489">
            <v>161</v>
          </cell>
          <cell r="P489">
            <v>46406</v>
          </cell>
          <cell r="Q489" t="str">
            <v>PLC-Passthrough</v>
          </cell>
          <cell r="R489" t="str">
            <v>Raghava Raju Sagi</v>
          </cell>
          <cell r="S489" t="str">
            <v>Individual</v>
          </cell>
          <cell r="T489" t="str">
            <v>C2C Canada</v>
          </cell>
          <cell r="U489" t="str">
            <v>Cigniti</v>
          </cell>
          <cell r="V489">
            <v>78</v>
          </cell>
          <cell r="W489">
            <v>0</v>
          </cell>
          <cell r="X489" t="str">
            <v>CAD</v>
          </cell>
          <cell r="Y489">
            <v>80</v>
          </cell>
          <cell r="Z489">
            <v>0</v>
          </cell>
          <cell r="AA489">
            <v>0</v>
          </cell>
          <cell r="AB489">
            <v>0</v>
          </cell>
          <cell r="AC489">
            <v>46127</v>
          </cell>
          <cell r="AD489">
            <v>22</v>
          </cell>
          <cell r="AE489">
            <v>46387</v>
          </cell>
          <cell r="AF489">
            <v>55.379999999999995</v>
          </cell>
          <cell r="AG489">
            <v>0</v>
          </cell>
          <cell r="AH489">
            <v>55.379999999999995</v>
          </cell>
          <cell r="AI489">
            <v>56.8</v>
          </cell>
          <cell r="AJ489">
            <v>0</v>
          </cell>
          <cell r="AK489">
            <v>0</v>
          </cell>
          <cell r="AL489">
            <v>1.4200000000000017</v>
          </cell>
          <cell r="AM489">
            <v>0</v>
          </cell>
          <cell r="AN489">
            <v>1.4200000000000017</v>
          </cell>
          <cell r="AO489">
            <v>0</v>
          </cell>
          <cell r="AP489">
            <v>1.4200000000000017</v>
          </cell>
          <cell r="AU489">
            <v>176</v>
          </cell>
          <cell r="BB489">
            <v>249.9200000000003</v>
          </cell>
          <cell r="BC489">
            <v>0</v>
          </cell>
          <cell r="BD489">
            <v>0</v>
          </cell>
          <cell r="BE489">
            <v>0</v>
          </cell>
          <cell r="BK489">
            <v>9996.7999999999993</v>
          </cell>
          <cell r="BL489">
            <v>10171.075199999999</v>
          </cell>
          <cell r="BM489">
            <v>0</v>
          </cell>
          <cell r="BN489">
            <v>0</v>
          </cell>
          <cell r="BO489">
            <v>0</v>
          </cell>
          <cell r="BP489">
            <v>10171.075199999999</v>
          </cell>
          <cell r="BQ489">
            <v>0</v>
          </cell>
          <cell r="BR489">
            <v>-174.27520000000004</v>
          </cell>
          <cell r="BT489">
            <v>2</v>
          </cell>
          <cell r="BU489">
            <v>1</v>
          </cell>
          <cell r="BV489" t="str">
            <v>N</v>
          </cell>
          <cell r="BW489">
            <v>0</v>
          </cell>
          <cell r="BX489">
            <v>0</v>
          </cell>
          <cell r="BY489">
            <v>2026</v>
          </cell>
          <cell r="BZ489" t="str">
            <v>-</v>
          </cell>
          <cell r="CA489" t="str">
            <v>-</v>
          </cell>
        </row>
        <row r="490">
          <cell r="A490" t="str">
            <v>Lucknow</v>
          </cell>
          <cell r="B490" t="str">
            <v>Mavericks</v>
          </cell>
          <cell r="C490" t="str">
            <v>Mid Level</v>
          </cell>
          <cell r="D490" t="str">
            <v>Mohammad Fakhrul</v>
          </cell>
          <cell r="E490" t="str">
            <v>-</v>
          </cell>
          <cell r="F490" t="str">
            <v>MSP</v>
          </cell>
          <cell r="H490" t="str">
            <v>Pass Through/MSP</v>
          </cell>
          <cell r="J490" t="str">
            <v>ACH</v>
          </cell>
          <cell r="L490" t="str">
            <v>New</v>
          </cell>
          <cell r="M490">
            <v>46041</v>
          </cell>
          <cell r="N490">
            <v>161</v>
          </cell>
          <cell r="P490">
            <v>46406</v>
          </cell>
          <cell r="Q490" t="str">
            <v>PLC-Passthrough</v>
          </cell>
          <cell r="R490" t="str">
            <v>Raghava Raju Sagi</v>
          </cell>
          <cell r="S490" t="str">
            <v>Individual</v>
          </cell>
          <cell r="T490" t="str">
            <v>C2C Canada</v>
          </cell>
          <cell r="U490" t="str">
            <v>Cigniti</v>
          </cell>
          <cell r="V490">
            <v>78</v>
          </cell>
          <cell r="W490">
            <v>0</v>
          </cell>
          <cell r="X490" t="str">
            <v>CAD</v>
          </cell>
          <cell r="Y490">
            <v>80</v>
          </cell>
          <cell r="Z490">
            <v>0</v>
          </cell>
          <cell r="AA490">
            <v>0</v>
          </cell>
          <cell r="AB490">
            <v>0</v>
          </cell>
          <cell r="AC490">
            <v>46157</v>
          </cell>
          <cell r="AD490">
            <v>22</v>
          </cell>
          <cell r="AE490">
            <v>46387</v>
          </cell>
          <cell r="AF490">
            <v>55.379999999999995</v>
          </cell>
          <cell r="AG490">
            <v>0</v>
          </cell>
          <cell r="AH490">
            <v>55.379999999999995</v>
          </cell>
          <cell r="AI490">
            <v>56.8</v>
          </cell>
          <cell r="AJ490">
            <v>0</v>
          </cell>
          <cell r="AK490">
            <v>0</v>
          </cell>
          <cell r="AL490">
            <v>1.4200000000000017</v>
          </cell>
          <cell r="AM490">
            <v>0</v>
          </cell>
          <cell r="AN490">
            <v>1.4200000000000017</v>
          </cell>
          <cell r="AO490">
            <v>0</v>
          </cell>
          <cell r="AP490">
            <v>1.4200000000000017</v>
          </cell>
          <cell r="AU490">
            <v>176</v>
          </cell>
          <cell r="BB490">
            <v>249.9200000000003</v>
          </cell>
          <cell r="BC490">
            <v>0</v>
          </cell>
          <cell r="BD490">
            <v>0</v>
          </cell>
          <cell r="BE490">
            <v>0</v>
          </cell>
          <cell r="BK490">
            <v>9996.7999999999993</v>
          </cell>
          <cell r="BL490">
            <v>10171.075199999999</v>
          </cell>
          <cell r="BM490">
            <v>0</v>
          </cell>
          <cell r="BN490">
            <v>0</v>
          </cell>
          <cell r="BO490">
            <v>0</v>
          </cell>
          <cell r="BP490">
            <v>10171.075199999999</v>
          </cell>
          <cell r="BQ490">
            <v>0</v>
          </cell>
          <cell r="BR490">
            <v>-174.27520000000004</v>
          </cell>
          <cell r="BT490">
            <v>2</v>
          </cell>
          <cell r="BU490">
            <v>1</v>
          </cell>
          <cell r="BV490" t="str">
            <v>N</v>
          </cell>
          <cell r="BW490">
            <v>0</v>
          </cell>
          <cell r="BX490">
            <v>0</v>
          </cell>
          <cell r="BY490">
            <v>2026</v>
          </cell>
          <cell r="BZ490" t="str">
            <v>-</v>
          </cell>
          <cell r="CA490" t="str">
            <v>-</v>
          </cell>
        </row>
        <row r="491">
          <cell r="A491" t="str">
            <v>Lucknow</v>
          </cell>
          <cell r="B491" t="str">
            <v>Vantedge</v>
          </cell>
          <cell r="C491" t="str">
            <v>Senior</v>
          </cell>
          <cell r="D491" t="str">
            <v>Umar Mujahid Husain</v>
          </cell>
          <cell r="E491" t="str">
            <v>-</v>
          </cell>
          <cell r="F491" t="str">
            <v>Non-MSP</v>
          </cell>
          <cell r="H491" t="str">
            <v>Syed Ahrar Abbas Zaidi</v>
          </cell>
          <cell r="K491" t="str">
            <v>Devashish Sinha</v>
          </cell>
          <cell r="L491" t="str">
            <v>New</v>
          </cell>
          <cell r="M491">
            <v>46118</v>
          </cell>
          <cell r="N491">
            <v>84</v>
          </cell>
          <cell r="P491">
            <v>46483</v>
          </cell>
          <cell r="Q491" t="str">
            <v>PLC-4820</v>
          </cell>
          <cell r="R491" t="str">
            <v>Raghu Kishore Veligeti</v>
          </cell>
          <cell r="S491" t="str">
            <v>Individual</v>
          </cell>
          <cell r="T491" t="str">
            <v>FTE</v>
          </cell>
          <cell r="U491" t="str">
            <v>GAF</v>
          </cell>
          <cell r="V491">
            <v>0</v>
          </cell>
          <cell r="W491">
            <v>0</v>
          </cell>
          <cell r="X491" t="str">
            <v>USD</v>
          </cell>
          <cell r="Y491">
            <v>33000</v>
          </cell>
          <cell r="Z491">
            <v>0</v>
          </cell>
          <cell r="AA491">
            <v>0</v>
          </cell>
          <cell r="AB491">
            <v>0</v>
          </cell>
          <cell r="AC491">
            <v>46127</v>
          </cell>
          <cell r="AD491">
            <v>1</v>
          </cell>
          <cell r="AE491">
            <v>46387</v>
          </cell>
          <cell r="AF491">
            <v>0</v>
          </cell>
          <cell r="AG491">
            <v>0</v>
          </cell>
          <cell r="AH491">
            <v>0</v>
          </cell>
          <cell r="AI491">
            <v>32010</v>
          </cell>
          <cell r="AJ491">
            <v>0</v>
          </cell>
          <cell r="AK491">
            <v>0</v>
          </cell>
          <cell r="AL491">
            <v>32010</v>
          </cell>
          <cell r="AM491">
            <v>0</v>
          </cell>
          <cell r="AN491">
            <v>32010</v>
          </cell>
          <cell r="AO491">
            <v>0</v>
          </cell>
          <cell r="AP491">
            <v>32010</v>
          </cell>
          <cell r="AQ491" t="str">
            <v>US_27687</v>
          </cell>
          <cell r="AR491">
            <v>0</v>
          </cell>
          <cell r="AS491">
            <v>1</v>
          </cell>
          <cell r="AU491">
            <v>1</v>
          </cell>
          <cell r="AV491">
            <v>0</v>
          </cell>
          <cell r="AW491">
            <v>32010</v>
          </cell>
          <cell r="AX491">
            <v>32010</v>
          </cell>
          <cell r="AY491">
            <v>0</v>
          </cell>
          <cell r="AZ491">
            <v>32010</v>
          </cell>
          <cell r="BA491">
            <v>32010</v>
          </cell>
          <cell r="BB491">
            <v>32010</v>
          </cell>
          <cell r="BC491">
            <v>116.25000000000001</v>
          </cell>
          <cell r="BD491">
            <v>52816.5</v>
          </cell>
          <cell r="BE491">
            <v>52816.5</v>
          </cell>
          <cell r="BF491">
            <v>43</v>
          </cell>
          <cell r="BG491">
            <v>32010</v>
          </cell>
          <cell r="BH491">
            <v>17605.5</v>
          </cell>
          <cell r="BI491">
            <v>0</v>
          </cell>
          <cell r="BJ491">
            <v>33000</v>
          </cell>
          <cell r="BK491">
            <v>32010</v>
          </cell>
          <cell r="BL491">
            <v>0</v>
          </cell>
          <cell r="BM491">
            <v>0</v>
          </cell>
          <cell r="BN491">
            <v>0</v>
          </cell>
          <cell r="BO491">
            <v>0</v>
          </cell>
          <cell r="BP491">
            <v>0</v>
          </cell>
          <cell r="BQ491">
            <v>0</v>
          </cell>
          <cell r="BR491">
            <v>32010</v>
          </cell>
          <cell r="BT491">
            <v>2</v>
          </cell>
          <cell r="BU491">
            <v>2</v>
          </cell>
          <cell r="BV491" t="str">
            <v>N</v>
          </cell>
          <cell r="BW491">
            <v>105633</v>
          </cell>
          <cell r="BX491">
            <v>105633</v>
          </cell>
          <cell r="BY491">
            <v>2026</v>
          </cell>
          <cell r="BZ491" t="str">
            <v>-</v>
          </cell>
          <cell r="CA491" t="str">
            <v>-</v>
          </cell>
        </row>
        <row r="492">
          <cell r="A492" t="str">
            <v>Lucknow</v>
          </cell>
          <cell r="B492" t="str">
            <v>Mavericks</v>
          </cell>
          <cell r="C492" t="str">
            <v>Mid Level</v>
          </cell>
          <cell r="D492" t="str">
            <v>Mohammad Fakhrul</v>
          </cell>
          <cell r="F492" t="str">
            <v>MSP</v>
          </cell>
          <cell r="H492" t="str">
            <v>Pass Through</v>
          </cell>
          <cell r="J492" t="str">
            <v>ACH</v>
          </cell>
          <cell r="L492" t="str">
            <v>New</v>
          </cell>
          <cell r="M492">
            <v>46168</v>
          </cell>
          <cell r="N492">
            <v>34</v>
          </cell>
          <cell r="P492">
            <v>46533</v>
          </cell>
          <cell r="R492" t="str">
            <v>Raghuvardhan Makam</v>
          </cell>
          <cell r="S492" t="str">
            <v>Individual</v>
          </cell>
          <cell r="T492" t="str">
            <v>C2C</v>
          </cell>
          <cell r="U492" t="str">
            <v>Cigniti</v>
          </cell>
          <cell r="V492">
            <v>63</v>
          </cell>
          <cell r="W492">
            <v>0</v>
          </cell>
          <cell r="X492" t="str">
            <v>USD</v>
          </cell>
          <cell r="Y492">
            <v>65</v>
          </cell>
          <cell r="Z492">
            <v>0</v>
          </cell>
          <cell r="AA492">
            <v>0</v>
          </cell>
          <cell r="AB492">
            <v>0</v>
          </cell>
          <cell r="AC492">
            <v>46157</v>
          </cell>
          <cell r="AD492">
            <v>4</v>
          </cell>
          <cell r="AE492">
            <v>46387</v>
          </cell>
          <cell r="AF492">
            <v>63</v>
          </cell>
          <cell r="AG492">
            <v>0</v>
          </cell>
          <cell r="AH492">
            <v>63</v>
          </cell>
          <cell r="AI492">
            <v>65</v>
          </cell>
          <cell r="AJ492">
            <v>0</v>
          </cell>
          <cell r="AK492">
            <v>0</v>
          </cell>
          <cell r="AL492">
            <v>2</v>
          </cell>
          <cell r="AM492">
            <v>0</v>
          </cell>
          <cell r="AN492">
            <v>2</v>
          </cell>
          <cell r="AO492">
            <v>0</v>
          </cell>
          <cell r="AP492">
            <v>2</v>
          </cell>
          <cell r="AU492">
            <v>32</v>
          </cell>
          <cell r="BB492">
            <v>64</v>
          </cell>
          <cell r="BC492">
            <v>0</v>
          </cell>
          <cell r="BD492">
            <v>0</v>
          </cell>
          <cell r="BE492">
            <v>0</v>
          </cell>
          <cell r="BI492">
            <v>0</v>
          </cell>
          <cell r="BK492">
            <v>2080</v>
          </cell>
          <cell r="BL492">
            <v>2016</v>
          </cell>
          <cell r="BM492">
            <v>0</v>
          </cell>
          <cell r="BN492">
            <v>0</v>
          </cell>
          <cell r="BO492">
            <v>0</v>
          </cell>
          <cell r="BP492">
            <v>2016</v>
          </cell>
          <cell r="BQ492">
            <v>0</v>
          </cell>
          <cell r="BR492">
            <v>64</v>
          </cell>
          <cell r="BT492">
            <v>2</v>
          </cell>
          <cell r="BU492">
            <v>2</v>
          </cell>
          <cell r="BV492" t="str">
            <v>Y</v>
          </cell>
          <cell r="BW492">
            <v>0</v>
          </cell>
          <cell r="BX492">
            <v>0</v>
          </cell>
          <cell r="BY492">
            <v>2026</v>
          </cell>
          <cell r="BZ492" t="str">
            <v>-</v>
          </cell>
          <cell r="CA492" t="str">
            <v>-</v>
          </cell>
        </row>
        <row r="493">
          <cell r="A493" t="str">
            <v>Lucknow</v>
          </cell>
          <cell r="B493" t="str">
            <v>Mavericks</v>
          </cell>
          <cell r="C493" t="str">
            <v>Mid Level</v>
          </cell>
          <cell r="D493" t="str">
            <v>Akbar Ibrahim</v>
          </cell>
          <cell r="E493" t="str">
            <v>-</v>
          </cell>
          <cell r="F493" t="str">
            <v>MSP</v>
          </cell>
          <cell r="H493" t="str">
            <v>Pass Through</v>
          </cell>
          <cell r="L493" t="str">
            <v>New</v>
          </cell>
          <cell r="M493">
            <v>46028</v>
          </cell>
          <cell r="N493">
            <v>174</v>
          </cell>
          <cell r="P493">
            <v>46393</v>
          </cell>
          <cell r="Q493" t="str">
            <v>PLC-Passthrough</v>
          </cell>
          <cell r="R493" t="str">
            <v>Rahul Kondaparthi</v>
          </cell>
          <cell r="S493" t="str">
            <v>Individual</v>
          </cell>
          <cell r="T493" t="str">
            <v>C2C</v>
          </cell>
          <cell r="U493" t="str">
            <v>CoForge</v>
          </cell>
          <cell r="V493">
            <v>66</v>
          </cell>
          <cell r="W493">
            <v>0</v>
          </cell>
          <cell r="X493" t="str">
            <v>USD</v>
          </cell>
          <cell r="Y493">
            <v>68</v>
          </cell>
          <cell r="Z493">
            <v>0</v>
          </cell>
          <cell r="AA493">
            <v>0</v>
          </cell>
          <cell r="AB493">
            <v>0</v>
          </cell>
          <cell r="AC493">
            <v>46037</v>
          </cell>
          <cell r="AD493">
            <v>19</v>
          </cell>
          <cell r="AE493">
            <v>46387</v>
          </cell>
          <cell r="AF493">
            <v>66</v>
          </cell>
          <cell r="AG493">
            <v>0</v>
          </cell>
          <cell r="AH493">
            <v>66</v>
          </cell>
          <cell r="AI493">
            <v>68</v>
          </cell>
          <cell r="AJ493">
            <v>0</v>
          </cell>
          <cell r="AK493">
            <v>0</v>
          </cell>
          <cell r="AL493">
            <v>2</v>
          </cell>
          <cell r="AM493">
            <v>0</v>
          </cell>
          <cell r="AN493">
            <v>2</v>
          </cell>
          <cell r="AO493">
            <v>0</v>
          </cell>
          <cell r="AP493">
            <v>2</v>
          </cell>
          <cell r="AQ493" t="str">
            <v>US_CMSP_00317</v>
          </cell>
          <cell r="AR493">
            <v>0</v>
          </cell>
          <cell r="AS493">
            <v>144</v>
          </cell>
          <cell r="AU493">
            <v>144</v>
          </cell>
          <cell r="AV493">
            <v>0</v>
          </cell>
          <cell r="AW493">
            <v>288</v>
          </cell>
          <cell r="AX493">
            <v>288</v>
          </cell>
          <cell r="AY493">
            <v>0</v>
          </cell>
          <cell r="AZ493">
            <v>288</v>
          </cell>
          <cell r="BA493">
            <v>288</v>
          </cell>
          <cell r="BB493">
            <v>288</v>
          </cell>
          <cell r="BC493">
            <v>0</v>
          </cell>
          <cell r="BD493">
            <v>0</v>
          </cell>
          <cell r="BE493">
            <v>0</v>
          </cell>
          <cell r="BG493">
            <v>288</v>
          </cell>
          <cell r="BI493">
            <v>288</v>
          </cell>
          <cell r="BJ493">
            <v>9792</v>
          </cell>
          <cell r="BK493">
            <v>9792</v>
          </cell>
          <cell r="BL493">
            <v>9504</v>
          </cell>
          <cell r="BM493">
            <v>0</v>
          </cell>
          <cell r="BN493">
            <v>0</v>
          </cell>
          <cell r="BO493">
            <v>0</v>
          </cell>
          <cell r="BP493">
            <v>9504</v>
          </cell>
          <cell r="BQ493">
            <v>0</v>
          </cell>
          <cell r="BR493">
            <v>288</v>
          </cell>
          <cell r="BS493" t="str">
            <v>Y</v>
          </cell>
          <cell r="BT493">
            <v>1</v>
          </cell>
          <cell r="BU493">
            <v>1</v>
          </cell>
          <cell r="BV493" t="str">
            <v>Y</v>
          </cell>
          <cell r="BW493">
            <v>0</v>
          </cell>
          <cell r="BX493">
            <v>0</v>
          </cell>
          <cell r="BY493">
            <v>2026</v>
          </cell>
          <cell r="BZ493" t="str">
            <v>-</v>
          </cell>
          <cell r="CA493" t="str">
            <v>-</v>
          </cell>
        </row>
        <row r="494">
          <cell r="A494" t="str">
            <v>Lucknow</v>
          </cell>
          <cell r="B494" t="str">
            <v>Mavericks</v>
          </cell>
          <cell r="C494" t="str">
            <v>Mid Level</v>
          </cell>
          <cell r="D494" t="str">
            <v>Akbar Ibrahim</v>
          </cell>
          <cell r="E494" t="str">
            <v>-</v>
          </cell>
          <cell r="F494" t="str">
            <v>MSP</v>
          </cell>
          <cell r="H494" t="str">
            <v>Pass Through</v>
          </cell>
          <cell r="L494" t="str">
            <v>New</v>
          </cell>
          <cell r="M494">
            <v>46028</v>
          </cell>
          <cell r="N494">
            <v>174</v>
          </cell>
          <cell r="P494">
            <v>46393</v>
          </cell>
          <cell r="Q494" t="str">
            <v>PLC-Passthrough</v>
          </cell>
          <cell r="R494" t="str">
            <v>Rahul Kondaparthi</v>
          </cell>
          <cell r="S494" t="str">
            <v>Individual</v>
          </cell>
          <cell r="T494" t="str">
            <v>C2C</v>
          </cell>
          <cell r="U494" t="str">
            <v>CoForge</v>
          </cell>
          <cell r="V494">
            <v>66</v>
          </cell>
          <cell r="W494">
            <v>0</v>
          </cell>
          <cell r="X494" t="str">
            <v>USD</v>
          </cell>
          <cell r="Y494">
            <v>68</v>
          </cell>
          <cell r="Z494">
            <v>0</v>
          </cell>
          <cell r="AA494">
            <v>0</v>
          </cell>
          <cell r="AB494">
            <v>0</v>
          </cell>
          <cell r="AC494">
            <v>46068</v>
          </cell>
          <cell r="AD494">
            <v>20</v>
          </cell>
          <cell r="AE494">
            <v>46387</v>
          </cell>
          <cell r="AF494">
            <v>66</v>
          </cell>
          <cell r="AG494">
            <v>0</v>
          </cell>
          <cell r="AH494">
            <v>66</v>
          </cell>
          <cell r="AI494">
            <v>68</v>
          </cell>
          <cell r="AJ494">
            <v>0</v>
          </cell>
          <cell r="AK494">
            <v>0</v>
          </cell>
          <cell r="AL494">
            <v>2</v>
          </cell>
          <cell r="AM494">
            <v>0</v>
          </cell>
          <cell r="AN494">
            <v>2</v>
          </cell>
          <cell r="AO494">
            <v>0</v>
          </cell>
          <cell r="AP494">
            <v>2</v>
          </cell>
          <cell r="AQ494" t="str">
            <v>US_CMSP_00430</v>
          </cell>
          <cell r="AR494">
            <v>0</v>
          </cell>
          <cell r="AS494">
            <v>152</v>
          </cell>
          <cell r="AU494">
            <v>152</v>
          </cell>
          <cell r="AV494">
            <v>0</v>
          </cell>
          <cell r="AW494">
            <v>304</v>
          </cell>
          <cell r="AX494">
            <v>304</v>
          </cell>
          <cell r="AY494">
            <v>0</v>
          </cell>
          <cell r="AZ494">
            <v>304</v>
          </cell>
          <cell r="BA494">
            <v>304</v>
          </cell>
          <cell r="BB494">
            <v>304</v>
          </cell>
          <cell r="BC494">
            <v>0</v>
          </cell>
          <cell r="BD494">
            <v>0</v>
          </cell>
          <cell r="BE494">
            <v>0</v>
          </cell>
          <cell r="BG494">
            <v>304</v>
          </cell>
          <cell r="BI494">
            <v>304</v>
          </cell>
          <cell r="BJ494">
            <v>10336</v>
          </cell>
          <cell r="BK494">
            <v>10336</v>
          </cell>
          <cell r="BL494">
            <v>10032</v>
          </cell>
          <cell r="BM494">
            <v>0</v>
          </cell>
          <cell r="BN494">
            <v>0</v>
          </cell>
          <cell r="BO494">
            <v>0</v>
          </cell>
          <cell r="BP494">
            <v>10032</v>
          </cell>
          <cell r="BQ494">
            <v>0</v>
          </cell>
          <cell r="BR494">
            <v>304</v>
          </cell>
          <cell r="BS494" t="str">
            <v>Y</v>
          </cell>
          <cell r="BT494">
            <v>1</v>
          </cell>
          <cell r="BU494">
            <v>1</v>
          </cell>
          <cell r="BV494" t="str">
            <v>Y</v>
          </cell>
          <cell r="BW494">
            <v>0</v>
          </cell>
          <cell r="BX494">
            <v>0</v>
          </cell>
          <cell r="BY494">
            <v>2026</v>
          </cell>
          <cell r="BZ494" t="str">
            <v>-</v>
          </cell>
          <cell r="CA494" t="str">
            <v>-</v>
          </cell>
        </row>
        <row r="495">
          <cell r="A495" t="str">
            <v>Lucknow</v>
          </cell>
          <cell r="B495" t="str">
            <v>Mavericks</v>
          </cell>
          <cell r="C495" t="str">
            <v>Mid Level</v>
          </cell>
          <cell r="D495" t="str">
            <v>Akbar Ibrahim</v>
          </cell>
          <cell r="E495" t="str">
            <v>-</v>
          </cell>
          <cell r="F495" t="str">
            <v>MSP</v>
          </cell>
          <cell r="H495" t="str">
            <v>Pass Through</v>
          </cell>
          <cell r="L495" t="str">
            <v>New</v>
          </cell>
          <cell r="M495">
            <v>46028</v>
          </cell>
          <cell r="N495">
            <v>174</v>
          </cell>
          <cell r="P495">
            <v>46393</v>
          </cell>
          <cell r="Q495" t="str">
            <v>PLC-Passthrough</v>
          </cell>
          <cell r="R495" t="str">
            <v>Rahul Kondaparthi</v>
          </cell>
          <cell r="S495" t="str">
            <v>Individual</v>
          </cell>
          <cell r="T495" t="str">
            <v>C2C</v>
          </cell>
          <cell r="U495" t="str">
            <v>CoForge</v>
          </cell>
          <cell r="V495">
            <v>66</v>
          </cell>
          <cell r="W495">
            <v>0</v>
          </cell>
          <cell r="X495" t="str">
            <v>USD</v>
          </cell>
          <cell r="Y495">
            <v>68</v>
          </cell>
          <cell r="Z495">
            <v>0</v>
          </cell>
          <cell r="AA495">
            <v>0</v>
          </cell>
          <cell r="AB495">
            <v>0</v>
          </cell>
          <cell r="AC495">
            <v>46096</v>
          </cell>
          <cell r="AD495">
            <v>22</v>
          </cell>
          <cell r="AE495">
            <v>46387</v>
          </cell>
          <cell r="AF495">
            <v>66</v>
          </cell>
          <cell r="AG495">
            <v>0</v>
          </cell>
          <cell r="AH495">
            <v>66</v>
          </cell>
          <cell r="AI495">
            <v>68</v>
          </cell>
          <cell r="AJ495">
            <v>0</v>
          </cell>
          <cell r="AK495">
            <v>0</v>
          </cell>
          <cell r="AL495">
            <v>2</v>
          </cell>
          <cell r="AM495">
            <v>0</v>
          </cell>
          <cell r="AN495">
            <v>2</v>
          </cell>
          <cell r="AO495">
            <v>0</v>
          </cell>
          <cell r="AP495">
            <v>2</v>
          </cell>
          <cell r="AQ495" t="str">
            <v>US_CMSP_00538</v>
          </cell>
          <cell r="AR495">
            <v>0</v>
          </cell>
          <cell r="AS495">
            <v>176</v>
          </cell>
          <cell r="AU495">
            <v>176</v>
          </cell>
          <cell r="AV495">
            <v>0</v>
          </cell>
          <cell r="AW495">
            <v>352</v>
          </cell>
          <cell r="AX495">
            <v>352</v>
          </cell>
          <cell r="AY495">
            <v>0</v>
          </cell>
          <cell r="AZ495">
            <v>352</v>
          </cell>
          <cell r="BA495">
            <v>352</v>
          </cell>
          <cell r="BB495">
            <v>352</v>
          </cell>
          <cell r="BC495">
            <v>0</v>
          </cell>
          <cell r="BD495">
            <v>0</v>
          </cell>
          <cell r="BE495">
            <v>0</v>
          </cell>
          <cell r="BG495">
            <v>352</v>
          </cell>
          <cell r="BI495">
            <v>352</v>
          </cell>
          <cell r="BJ495">
            <v>11968</v>
          </cell>
          <cell r="BK495">
            <v>11968</v>
          </cell>
          <cell r="BL495">
            <v>11616</v>
          </cell>
          <cell r="BM495">
            <v>0</v>
          </cell>
          <cell r="BN495">
            <v>0</v>
          </cell>
          <cell r="BO495">
            <v>0</v>
          </cell>
          <cell r="BP495">
            <v>11616</v>
          </cell>
          <cell r="BQ495">
            <v>0</v>
          </cell>
          <cell r="BR495">
            <v>352</v>
          </cell>
          <cell r="BS495" t="str">
            <v>Y</v>
          </cell>
          <cell r="BT495">
            <v>1</v>
          </cell>
          <cell r="BU495">
            <v>1</v>
          </cell>
          <cell r="BV495" t="str">
            <v>Y</v>
          </cell>
          <cell r="BW495">
            <v>0</v>
          </cell>
          <cell r="BX495">
            <v>0</v>
          </cell>
          <cell r="BY495">
            <v>2026</v>
          </cell>
          <cell r="BZ495" t="str">
            <v>-</v>
          </cell>
          <cell r="CA495" t="str">
            <v>-</v>
          </cell>
        </row>
        <row r="496">
          <cell r="A496" t="str">
            <v>Lucknow</v>
          </cell>
          <cell r="B496" t="str">
            <v>Mavericks</v>
          </cell>
          <cell r="C496" t="str">
            <v>Mid Level</v>
          </cell>
          <cell r="D496" t="str">
            <v>Akbar Ibrahim</v>
          </cell>
          <cell r="E496" t="str">
            <v>-</v>
          </cell>
          <cell r="F496" t="str">
            <v>MSP</v>
          </cell>
          <cell r="H496" t="str">
            <v>Pass Through</v>
          </cell>
          <cell r="J496" t="str">
            <v>ACH</v>
          </cell>
          <cell r="L496" t="str">
            <v>New</v>
          </cell>
          <cell r="M496">
            <v>46028</v>
          </cell>
          <cell r="N496">
            <v>174</v>
          </cell>
          <cell r="P496">
            <v>46393</v>
          </cell>
          <cell r="Q496" t="str">
            <v>PLC-Passthrough</v>
          </cell>
          <cell r="R496" t="str">
            <v>Rahul Kondaparthi</v>
          </cell>
          <cell r="S496" t="str">
            <v>Individual</v>
          </cell>
          <cell r="T496" t="str">
            <v>C2C</v>
          </cell>
          <cell r="U496" t="str">
            <v>CoForge</v>
          </cell>
          <cell r="V496">
            <v>66</v>
          </cell>
          <cell r="W496">
            <v>0</v>
          </cell>
          <cell r="X496" t="str">
            <v>USD</v>
          </cell>
          <cell r="Y496">
            <v>68</v>
          </cell>
          <cell r="Z496">
            <v>0</v>
          </cell>
          <cell r="AA496">
            <v>0</v>
          </cell>
          <cell r="AB496">
            <v>0</v>
          </cell>
          <cell r="AC496">
            <v>46127</v>
          </cell>
          <cell r="AD496">
            <v>22</v>
          </cell>
          <cell r="AE496">
            <v>46387</v>
          </cell>
          <cell r="AF496">
            <v>66</v>
          </cell>
          <cell r="AG496">
            <v>0</v>
          </cell>
          <cell r="AH496">
            <v>66</v>
          </cell>
          <cell r="AI496">
            <v>68</v>
          </cell>
          <cell r="AJ496">
            <v>0</v>
          </cell>
          <cell r="AK496">
            <v>0</v>
          </cell>
          <cell r="AL496">
            <v>2</v>
          </cell>
          <cell r="AM496">
            <v>0</v>
          </cell>
          <cell r="AN496">
            <v>2</v>
          </cell>
          <cell r="AO496">
            <v>0</v>
          </cell>
          <cell r="AP496">
            <v>2</v>
          </cell>
          <cell r="AQ496" t="str">
            <v>US_CMSP_00685</v>
          </cell>
          <cell r="AR496">
            <v>0</v>
          </cell>
          <cell r="AS496">
            <v>176</v>
          </cell>
          <cell r="AU496">
            <v>176</v>
          </cell>
          <cell r="AV496">
            <v>0</v>
          </cell>
          <cell r="AW496">
            <v>352</v>
          </cell>
          <cell r="AX496">
            <v>348.48</v>
          </cell>
          <cell r="AY496">
            <v>0</v>
          </cell>
          <cell r="AZ496">
            <v>352</v>
          </cell>
          <cell r="BA496">
            <v>348.48</v>
          </cell>
          <cell r="BB496">
            <v>352</v>
          </cell>
          <cell r="BC496">
            <v>0</v>
          </cell>
          <cell r="BD496">
            <v>0</v>
          </cell>
          <cell r="BE496">
            <v>0</v>
          </cell>
          <cell r="BG496">
            <v>348.48</v>
          </cell>
          <cell r="BI496">
            <v>348.48</v>
          </cell>
          <cell r="BJ496">
            <v>11968</v>
          </cell>
          <cell r="BK496">
            <v>11968</v>
          </cell>
          <cell r="BL496">
            <v>11616</v>
          </cell>
          <cell r="BM496">
            <v>0</v>
          </cell>
          <cell r="BN496">
            <v>0</v>
          </cell>
          <cell r="BO496">
            <v>0</v>
          </cell>
          <cell r="BP496">
            <v>11616</v>
          </cell>
          <cell r="BQ496">
            <v>0</v>
          </cell>
          <cell r="BR496">
            <v>352</v>
          </cell>
          <cell r="BT496">
            <v>2</v>
          </cell>
          <cell r="BU496">
            <v>1</v>
          </cell>
          <cell r="BV496" t="str">
            <v>Y</v>
          </cell>
          <cell r="BW496">
            <v>0</v>
          </cell>
          <cell r="BX496">
            <v>0</v>
          </cell>
          <cell r="BY496">
            <v>2026</v>
          </cell>
          <cell r="BZ496" t="str">
            <v>-</v>
          </cell>
          <cell r="CA496" t="str">
            <v>-</v>
          </cell>
        </row>
        <row r="497">
          <cell r="A497" t="str">
            <v>Lucknow</v>
          </cell>
          <cell r="B497" t="str">
            <v>Mavericks</v>
          </cell>
          <cell r="C497" t="str">
            <v>Mid Level</v>
          </cell>
          <cell r="D497" t="str">
            <v>Akbar Ibrahim</v>
          </cell>
          <cell r="E497" t="str">
            <v>-</v>
          </cell>
          <cell r="F497" t="str">
            <v>MSP</v>
          </cell>
          <cell r="H497" t="str">
            <v>Pass Through</v>
          </cell>
          <cell r="J497" t="str">
            <v>ACH</v>
          </cell>
          <cell r="L497" t="str">
            <v>New</v>
          </cell>
          <cell r="M497">
            <v>46028</v>
          </cell>
          <cell r="N497">
            <v>174</v>
          </cell>
          <cell r="P497">
            <v>46393</v>
          </cell>
          <cell r="Q497" t="str">
            <v>PLC-Passthrough</v>
          </cell>
          <cell r="R497" t="str">
            <v>Rahul Kondaparthi</v>
          </cell>
          <cell r="S497" t="str">
            <v>Individual</v>
          </cell>
          <cell r="T497" t="str">
            <v>C2C</v>
          </cell>
          <cell r="U497" t="str">
            <v>CoForge</v>
          </cell>
          <cell r="V497">
            <v>66</v>
          </cell>
          <cell r="W497">
            <v>0</v>
          </cell>
          <cell r="X497" t="str">
            <v>USD</v>
          </cell>
          <cell r="Y497">
            <v>68</v>
          </cell>
          <cell r="Z497">
            <v>0</v>
          </cell>
          <cell r="AA497">
            <v>0</v>
          </cell>
          <cell r="AB497">
            <v>0</v>
          </cell>
          <cell r="AC497">
            <v>46157</v>
          </cell>
          <cell r="AD497">
            <v>22</v>
          </cell>
          <cell r="AE497">
            <v>46387</v>
          </cell>
          <cell r="AF497">
            <v>66</v>
          </cell>
          <cell r="AG497">
            <v>0</v>
          </cell>
          <cell r="AH497">
            <v>66</v>
          </cell>
          <cell r="AI497">
            <v>68</v>
          </cell>
          <cell r="AJ497">
            <v>0</v>
          </cell>
          <cell r="AK497">
            <v>0</v>
          </cell>
          <cell r="AL497">
            <v>2</v>
          </cell>
          <cell r="AM497">
            <v>0</v>
          </cell>
          <cell r="AN497">
            <v>2</v>
          </cell>
          <cell r="AO497">
            <v>0</v>
          </cell>
          <cell r="AP497">
            <v>2</v>
          </cell>
          <cell r="AQ497" t="str">
            <v>US_CMSP_00792</v>
          </cell>
          <cell r="AR497">
            <v>0</v>
          </cell>
          <cell r="AS497">
            <v>160</v>
          </cell>
          <cell r="AU497">
            <v>160</v>
          </cell>
          <cell r="AV497">
            <v>0</v>
          </cell>
          <cell r="AW497">
            <v>320</v>
          </cell>
          <cell r="AX497">
            <v>316.8</v>
          </cell>
          <cell r="AY497">
            <v>0</v>
          </cell>
          <cell r="AZ497">
            <v>320</v>
          </cell>
          <cell r="BA497">
            <v>316.8</v>
          </cell>
          <cell r="BB497">
            <v>320</v>
          </cell>
          <cell r="BC497">
            <v>0</v>
          </cell>
          <cell r="BD497">
            <v>0</v>
          </cell>
          <cell r="BE497">
            <v>0</v>
          </cell>
          <cell r="BG497">
            <v>316.8</v>
          </cell>
          <cell r="BI497">
            <v>316.8</v>
          </cell>
          <cell r="BJ497">
            <v>10880</v>
          </cell>
          <cell r="BK497">
            <v>10880</v>
          </cell>
          <cell r="BL497">
            <v>10560</v>
          </cell>
          <cell r="BM497">
            <v>0</v>
          </cell>
          <cell r="BN497">
            <v>0</v>
          </cell>
          <cell r="BO497">
            <v>0</v>
          </cell>
          <cell r="BP497">
            <v>10560</v>
          </cell>
          <cell r="BQ497">
            <v>0</v>
          </cell>
          <cell r="BR497">
            <v>320</v>
          </cell>
          <cell r="BT497">
            <v>2</v>
          </cell>
          <cell r="BU497">
            <v>1</v>
          </cell>
          <cell r="BV497" t="str">
            <v>Y</v>
          </cell>
          <cell r="BW497">
            <v>0</v>
          </cell>
          <cell r="BX497">
            <v>0</v>
          </cell>
          <cell r="BY497">
            <v>2026</v>
          </cell>
          <cell r="BZ497" t="str">
            <v>-</v>
          </cell>
          <cell r="CA497" t="str">
            <v>-</v>
          </cell>
        </row>
        <row r="498">
          <cell r="A498" t="str">
            <v>Lucknow</v>
          </cell>
          <cell r="B498" t="str">
            <v>Mavericks</v>
          </cell>
          <cell r="C498" t="str">
            <v>Mid Level</v>
          </cell>
          <cell r="D498" t="str">
            <v>Mohammad Fakhrul</v>
          </cell>
          <cell r="E498" t="str">
            <v>-</v>
          </cell>
          <cell r="F498" t="str">
            <v>MSP</v>
          </cell>
          <cell r="H498" t="str">
            <v>Pass Through/MSP</v>
          </cell>
          <cell r="L498" t="str">
            <v>New</v>
          </cell>
          <cell r="M498">
            <v>46072</v>
          </cell>
          <cell r="N498">
            <v>130</v>
          </cell>
          <cell r="P498">
            <v>46437</v>
          </cell>
          <cell r="Q498" t="str">
            <v>PLC-Passthrough</v>
          </cell>
          <cell r="R498" t="str">
            <v>Rahul Yadav Dhanajaya</v>
          </cell>
          <cell r="S498" t="str">
            <v>Individual</v>
          </cell>
          <cell r="T498" t="str">
            <v>C2C</v>
          </cell>
          <cell r="U498" t="str">
            <v>CoForge</v>
          </cell>
          <cell r="V498">
            <v>84</v>
          </cell>
          <cell r="W498">
            <v>0</v>
          </cell>
          <cell r="X498" t="str">
            <v>USD</v>
          </cell>
          <cell r="Y498">
            <v>86</v>
          </cell>
          <cell r="Z498">
            <v>0</v>
          </cell>
          <cell r="AA498">
            <v>0</v>
          </cell>
          <cell r="AB498">
            <v>0</v>
          </cell>
          <cell r="AC498">
            <v>46068</v>
          </cell>
          <cell r="AD498">
            <v>7</v>
          </cell>
          <cell r="AE498">
            <v>46387</v>
          </cell>
          <cell r="AF498">
            <v>84</v>
          </cell>
          <cell r="AG498">
            <v>0</v>
          </cell>
          <cell r="AH498">
            <v>84</v>
          </cell>
          <cell r="AI498">
            <v>86</v>
          </cell>
          <cell r="AJ498">
            <v>0</v>
          </cell>
          <cell r="AK498">
            <v>0</v>
          </cell>
          <cell r="AL498">
            <v>2</v>
          </cell>
          <cell r="AM498">
            <v>0</v>
          </cell>
          <cell r="AN498">
            <v>2</v>
          </cell>
          <cell r="AO498">
            <v>0</v>
          </cell>
          <cell r="AP498">
            <v>2</v>
          </cell>
          <cell r="AQ498" t="str">
            <v>US_CMSP_00437</v>
          </cell>
          <cell r="AR498">
            <v>0</v>
          </cell>
          <cell r="AS498">
            <v>56</v>
          </cell>
          <cell r="AU498">
            <v>56</v>
          </cell>
          <cell r="AV498">
            <v>0</v>
          </cell>
          <cell r="AW498">
            <v>112</v>
          </cell>
          <cell r="AX498">
            <v>112</v>
          </cell>
          <cell r="AY498">
            <v>0</v>
          </cell>
          <cell r="AZ498">
            <v>112</v>
          </cell>
          <cell r="BA498">
            <v>112</v>
          </cell>
          <cell r="BB498">
            <v>112</v>
          </cell>
          <cell r="BC498">
            <v>0</v>
          </cell>
          <cell r="BD498">
            <v>0</v>
          </cell>
          <cell r="BE498">
            <v>0</v>
          </cell>
          <cell r="BG498">
            <v>112</v>
          </cell>
          <cell r="BI498">
            <v>112</v>
          </cell>
          <cell r="BJ498">
            <v>4816</v>
          </cell>
          <cell r="BK498">
            <v>4816</v>
          </cell>
          <cell r="BL498">
            <v>4704</v>
          </cell>
          <cell r="BM498">
            <v>0</v>
          </cell>
          <cell r="BN498">
            <v>0</v>
          </cell>
          <cell r="BO498">
            <v>0</v>
          </cell>
          <cell r="BP498">
            <v>4704</v>
          </cell>
          <cell r="BQ498">
            <v>0</v>
          </cell>
          <cell r="BR498">
            <v>112</v>
          </cell>
          <cell r="BS498" t="str">
            <v>Y</v>
          </cell>
          <cell r="BT498">
            <v>1</v>
          </cell>
          <cell r="BU498">
            <v>1</v>
          </cell>
          <cell r="BV498" t="str">
            <v>N</v>
          </cell>
          <cell r="BW498">
            <v>0</v>
          </cell>
          <cell r="BX498">
            <v>0</v>
          </cell>
          <cell r="BY498">
            <v>2026</v>
          </cell>
          <cell r="BZ498" t="str">
            <v>-</v>
          </cell>
          <cell r="CA498" t="str">
            <v>-</v>
          </cell>
        </row>
        <row r="499">
          <cell r="A499" t="str">
            <v>Lucknow</v>
          </cell>
          <cell r="B499" t="str">
            <v>Mavericks</v>
          </cell>
          <cell r="C499" t="str">
            <v>Mid Level</v>
          </cell>
          <cell r="D499" t="str">
            <v>Mohammad Fakhrul</v>
          </cell>
          <cell r="E499" t="str">
            <v>-</v>
          </cell>
          <cell r="F499" t="str">
            <v>MSP</v>
          </cell>
          <cell r="H499" t="str">
            <v>Pass Through/MSP</v>
          </cell>
          <cell r="L499" t="str">
            <v>New</v>
          </cell>
          <cell r="M499">
            <v>46072</v>
          </cell>
          <cell r="N499">
            <v>130</v>
          </cell>
          <cell r="P499">
            <v>46437</v>
          </cell>
          <cell r="Q499" t="str">
            <v>PLC-Passthrough</v>
          </cell>
          <cell r="R499" t="str">
            <v>Rahul Yadav Dhanajaya</v>
          </cell>
          <cell r="S499" t="str">
            <v>Individual</v>
          </cell>
          <cell r="T499" t="str">
            <v>C2C</v>
          </cell>
          <cell r="U499" t="str">
            <v>CoForge</v>
          </cell>
          <cell r="V499">
            <v>84</v>
          </cell>
          <cell r="W499">
            <v>0</v>
          </cell>
          <cell r="X499" t="str">
            <v>USD</v>
          </cell>
          <cell r="Y499">
            <v>86</v>
          </cell>
          <cell r="Z499">
            <v>0</v>
          </cell>
          <cell r="AA499">
            <v>0</v>
          </cell>
          <cell r="AB499">
            <v>0</v>
          </cell>
          <cell r="AC499">
            <v>46096</v>
          </cell>
          <cell r="AD499">
            <v>22</v>
          </cell>
          <cell r="AE499">
            <v>46387</v>
          </cell>
          <cell r="AF499">
            <v>84</v>
          </cell>
          <cell r="AG499">
            <v>0</v>
          </cell>
          <cell r="AH499">
            <v>84</v>
          </cell>
          <cell r="AI499">
            <v>86</v>
          </cell>
          <cell r="AJ499">
            <v>0</v>
          </cell>
          <cell r="AK499">
            <v>0</v>
          </cell>
          <cell r="AL499">
            <v>2</v>
          </cell>
          <cell r="AM499">
            <v>0</v>
          </cell>
          <cell r="AN499">
            <v>2</v>
          </cell>
          <cell r="AO499">
            <v>0</v>
          </cell>
          <cell r="AP499">
            <v>2</v>
          </cell>
          <cell r="AQ499" t="str">
            <v>US_CMSP_00545</v>
          </cell>
          <cell r="AR499">
            <v>0</v>
          </cell>
          <cell r="AS499">
            <v>176</v>
          </cell>
          <cell r="AU499">
            <v>176</v>
          </cell>
          <cell r="AV499">
            <v>0</v>
          </cell>
          <cell r="AW499">
            <v>352</v>
          </cell>
          <cell r="AX499">
            <v>352</v>
          </cell>
          <cell r="AY499">
            <v>0</v>
          </cell>
          <cell r="AZ499">
            <v>352</v>
          </cell>
          <cell r="BA499">
            <v>352</v>
          </cell>
          <cell r="BB499">
            <v>352</v>
          </cell>
          <cell r="BC499">
            <v>0</v>
          </cell>
          <cell r="BD499">
            <v>0</v>
          </cell>
          <cell r="BE499">
            <v>0</v>
          </cell>
          <cell r="BG499">
            <v>352</v>
          </cell>
          <cell r="BI499">
            <v>352</v>
          </cell>
          <cell r="BJ499">
            <v>15136</v>
          </cell>
          <cell r="BK499">
            <v>15136</v>
          </cell>
          <cell r="BL499">
            <v>14784</v>
          </cell>
          <cell r="BM499">
            <v>0</v>
          </cell>
          <cell r="BN499">
            <v>0</v>
          </cell>
          <cell r="BO499">
            <v>0</v>
          </cell>
          <cell r="BP499">
            <v>14784</v>
          </cell>
          <cell r="BQ499">
            <v>0</v>
          </cell>
          <cell r="BR499">
            <v>352</v>
          </cell>
          <cell r="BS499" t="str">
            <v>Y</v>
          </cell>
          <cell r="BT499">
            <v>1</v>
          </cell>
          <cell r="BU499">
            <v>1</v>
          </cell>
          <cell r="BV499" t="str">
            <v>N</v>
          </cell>
          <cell r="BW499">
            <v>0</v>
          </cell>
          <cell r="BX499">
            <v>0</v>
          </cell>
          <cell r="BY499">
            <v>2026</v>
          </cell>
          <cell r="BZ499" t="str">
            <v>-</v>
          </cell>
          <cell r="CA499" t="str">
            <v>-</v>
          </cell>
        </row>
        <row r="500">
          <cell r="A500" t="str">
            <v>Lucknow</v>
          </cell>
          <cell r="B500" t="str">
            <v>Mavericks</v>
          </cell>
          <cell r="C500" t="str">
            <v>Mid Level</v>
          </cell>
          <cell r="D500" t="str">
            <v>Mohammad Fakhrul</v>
          </cell>
          <cell r="E500" t="str">
            <v>-</v>
          </cell>
          <cell r="F500" t="str">
            <v>MSP</v>
          </cell>
          <cell r="H500" t="str">
            <v>Pass Through/MSP</v>
          </cell>
          <cell r="J500" t="str">
            <v>ACH</v>
          </cell>
          <cell r="L500" t="str">
            <v>New</v>
          </cell>
          <cell r="M500">
            <v>46072</v>
          </cell>
          <cell r="N500">
            <v>130</v>
          </cell>
          <cell r="P500">
            <v>46437</v>
          </cell>
          <cell r="Q500" t="str">
            <v>PLC-Passthrough</v>
          </cell>
          <cell r="R500" t="str">
            <v>Rahul Yadav Dhanajaya</v>
          </cell>
          <cell r="S500" t="str">
            <v>Individual</v>
          </cell>
          <cell r="T500" t="str">
            <v>C2C</v>
          </cell>
          <cell r="U500" t="str">
            <v>CoForge</v>
          </cell>
          <cell r="V500">
            <v>84</v>
          </cell>
          <cell r="W500">
            <v>0</v>
          </cell>
          <cell r="X500" t="str">
            <v>USD</v>
          </cell>
          <cell r="Y500">
            <v>86</v>
          </cell>
          <cell r="Z500">
            <v>0</v>
          </cell>
          <cell r="AA500">
            <v>0</v>
          </cell>
          <cell r="AB500">
            <v>0</v>
          </cell>
          <cell r="AC500">
            <v>46127</v>
          </cell>
          <cell r="AD500">
            <v>22</v>
          </cell>
          <cell r="AE500">
            <v>46387</v>
          </cell>
          <cell r="AF500">
            <v>84</v>
          </cell>
          <cell r="AG500">
            <v>0</v>
          </cell>
          <cell r="AH500">
            <v>84</v>
          </cell>
          <cell r="AI500">
            <v>86</v>
          </cell>
          <cell r="AJ500">
            <v>0</v>
          </cell>
          <cell r="AK500">
            <v>0</v>
          </cell>
          <cell r="AL500">
            <v>2</v>
          </cell>
          <cell r="AM500">
            <v>0</v>
          </cell>
          <cell r="AN500">
            <v>2</v>
          </cell>
          <cell r="AO500">
            <v>0</v>
          </cell>
          <cell r="AP500">
            <v>2</v>
          </cell>
          <cell r="AQ500" t="str">
            <v>US_CMSP_00692</v>
          </cell>
          <cell r="AR500">
            <v>0</v>
          </cell>
          <cell r="AS500">
            <v>168</v>
          </cell>
          <cell r="AU500">
            <v>168</v>
          </cell>
          <cell r="AV500">
            <v>0</v>
          </cell>
          <cell r="AW500">
            <v>336</v>
          </cell>
          <cell r="AX500">
            <v>332.64</v>
          </cell>
          <cell r="AY500">
            <v>0</v>
          </cell>
          <cell r="AZ500">
            <v>336</v>
          </cell>
          <cell r="BA500">
            <v>332.64</v>
          </cell>
          <cell r="BB500">
            <v>336</v>
          </cell>
          <cell r="BC500">
            <v>0</v>
          </cell>
          <cell r="BD500">
            <v>0</v>
          </cell>
          <cell r="BE500">
            <v>0</v>
          </cell>
          <cell r="BG500">
            <v>332.64</v>
          </cell>
          <cell r="BI500">
            <v>332.64</v>
          </cell>
          <cell r="BJ500">
            <v>14448</v>
          </cell>
          <cell r="BK500">
            <v>14448</v>
          </cell>
          <cell r="BL500">
            <v>14112</v>
          </cell>
          <cell r="BM500">
            <v>0</v>
          </cell>
          <cell r="BN500">
            <v>0</v>
          </cell>
          <cell r="BO500">
            <v>0</v>
          </cell>
          <cell r="BP500">
            <v>14112</v>
          </cell>
          <cell r="BQ500">
            <v>0</v>
          </cell>
          <cell r="BR500">
            <v>336</v>
          </cell>
          <cell r="BT500">
            <v>2</v>
          </cell>
          <cell r="BU500">
            <v>1</v>
          </cell>
          <cell r="BV500" t="str">
            <v>N</v>
          </cell>
          <cell r="BW500">
            <v>0</v>
          </cell>
          <cell r="BX500">
            <v>0</v>
          </cell>
          <cell r="BY500">
            <v>2026</v>
          </cell>
          <cell r="BZ500" t="str">
            <v>-</v>
          </cell>
          <cell r="CA500" t="str">
            <v>-</v>
          </cell>
        </row>
        <row r="501">
          <cell r="A501" t="str">
            <v>Lucknow</v>
          </cell>
          <cell r="B501" t="str">
            <v>Mavericks</v>
          </cell>
          <cell r="C501" t="str">
            <v>Mid Level</v>
          </cell>
          <cell r="D501" t="str">
            <v>Mohammad Fakhrul</v>
          </cell>
          <cell r="E501" t="str">
            <v>-</v>
          </cell>
          <cell r="F501" t="str">
            <v>MSP</v>
          </cell>
          <cell r="H501" t="str">
            <v>Pass Through/MSP</v>
          </cell>
          <cell r="J501" t="str">
            <v>ACH</v>
          </cell>
          <cell r="L501" t="str">
            <v>New</v>
          </cell>
          <cell r="M501">
            <v>46072</v>
          </cell>
          <cell r="N501">
            <v>130</v>
          </cell>
          <cell r="P501">
            <v>46437</v>
          </cell>
          <cell r="Q501" t="str">
            <v>PLC-Passthrough</v>
          </cell>
          <cell r="R501" t="str">
            <v>Rahul Yadav Dhanajaya</v>
          </cell>
          <cell r="S501" t="str">
            <v>Individual</v>
          </cell>
          <cell r="T501" t="str">
            <v>C2C</v>
          </cell>
          <cell r="U501" t="str">
            <v>CoForge</v>
          </cell>
          <cell r="V501">
            <v>84</v>
          </cell>
          <cell r="W501">
            <v>0</v>
          </cell>
          <cell r="X501" t="str">
            <v>USD</v>
          </cell>
          <cell r="Y501">
            <v>86</v>
          </cell>
          <cell r="Z501">
            <v>0</v>
          </cell>
          <cell r="AA501">
            <v>0</v>
          </cell>
          <cell r="AB501">
            <v>0</v>
          </cell>
          <cell r="AC501">
            <v>46157</v>
          </cell>
          <cell r="AD501">
            <v>22</v>
          </cell>
          <cell r="AE501">
            <v>46387</v>
          </cell>
          <cell r="AF501">
            <v>84</v>
          </cell>
          <cell r="AG501">
            <v>0</v>
          </cell>
          <cell r="AH501">
            <v>84</v>
          </cell>
          <cell r="AI501">
            <v>86</v>
          </cell>
          <cell r="AJ501">
            <v>0</v>
          </cell>
          <cell r="AK501">
            <v>0</v>
          </cell>
          <cell r="AL501">
            <v>2</v>
          </cell>
          <cell r="AM501">
            <v>0</v>
          </cell>
          <cell r="AN501">
            <v>2</v>
          </cell>
          <cell r="AO501">
            <v>0</v>
          </cell>
          <cell r="AP501">
            <v>2</v>
          </cell>
          <cell r="AQ501" t="str">
            <v>US_CMSP_00749</v>
          </cell>
          <cell r="AR501">
            <v>0</v>
          </cell>
          <cell r="AS501">
            <v>160</v>
          </cell>
          <cell r="AU501">
            <v>160</v>
          </cell>
          <cell r="AV501">
            <v>0</v>
          </cell>
          <cell r="AW501">
            <v>320</v>
          </cell>
          <cell r="AX501">
            <v>316.8</v>
          </cell>
          <cell r="AY501">
            <v>0</v>
          </cell>
          <cell r="AZ501">
            <v>320</v>
          </cell>
          <cell r="BA501">
            <v>316.8</v>
          </cell>
          <cell r="BB501">
            <v>320</v>
          </cell>
          <cell r="BC501">
            <v>0</v>
          </cell>
          <cell r="BD501">
            <v>0</v>
          </cell>
          <cell r="BE501">
            <v>0</v>
          </cell>
          <cell r="BG501">
            <v>316.8</v>
          </cell>
          <cell r="BI501">
            <v>316.8</v>
          </cell>
          <cell r="BJ501">
            <v>13760</v>
          </cell>
          <cell r="BK501">
            <v>13760</v>
          </cell>
          <cell r="BL501">
            <v>13440</v>
          </cell>
          <cell r="BM501">
            <v>0</v>
          </cell>
          <cell r="BN501">
            <v>0</v>
          </cell>
          <cell r="BO501">
            <v>0</v>
          </cell>
          <cell r="BP501">
            <v>13440</v>
          </cell>
          <cell r="BQ501">
            <v>0</v>
          </cell>
          <cell r="BR501">
            <v>320</v>
          </cell>
          <cell r="BT501">
            <v>2</v>
          </cell>
          <cell r="BU501">
            <v>1</v>
          </cell>
          <cell r="BV501" t="str">
            <v>N</v>
          </cell>
          <cell r="BW501">
            <v>0</v>
          </cell>
          <cell r="BX501">
            <v>0</v>
          </cell>
          <cell r="BY501">
            <v>2026</v>
          </cell>
          <cell r="BZ501" t="str">
            <v>-</v>
          </cell>
          <cell r="CA501" t="str">
            <v>-</v>
          </cell>
        </row>
        <row r="502">
          <cell r="A502" t="str">
            <v>Lucknow</v>
          </cell>
          <cell r="B502" t="str">
            <v>Mavericks</v>
          </cell>
          <cell r="C502" t="str">
            <v>Mid Level</v>
          </cell>
          <cell r="D502" t="str">
            <v>Mohammad Fakhrul</v>
          </cell>
          <cell r="E502" t="str">
            <v>-</v>
          </cell>
          <cell r="F502" t="str">
            <v>MSP</v>
          </cell>
          <cell r="H502" t="str">
            <v>Pass Through/MSP</v>
          </cell>
          <cell r="L502" t="str">
            <v>New</v>
          </cell>
          <cell r="M502">
            <v>46112</v>
          </cell>
          <cell r="N502">
            <v>90</v>
          </cell>
          <cell r="O502">
            <v>46129</v>
          </cell>
          <cell r="P502">
            <v>46477</v>
          </cell>
          <cell r="Q502" t="str">
            <v>PLC-Passthrough</v>
          </cell>
          <cell r="R502" t="str">
            <v>Rajasekhar Alanguntaa</v>
          </cell>
          <cell r="S502" t="str">
            <v>Individual</v>
          </cell>
          <cell r="T502" t="str">
            <v>C2C</v>
          </cell>
          <cell r="U502" t="str">
            <v>CoForge</v>
          </cell>
          <cell r="V502">
            <v>79</v>
          </cell>
          <cell r="W502">
            <v>0</v>
          </cell>
          <cell r="X502" t="str">
            <v>USD</v>
          </cell>
          <cell r="Y502">
            <v>80</v>
          </cell>
          <cell r="Z502">
            <v>0</v>
          </cell>
          <cell r="AA502">
            <v>0</v>
          </cell>
          <cell r="AB502">
            <v>0</v>
          </cell>
          <cell r="AC502">
            <v>46096</v>
          </cell>
          <cell r="AD502">
            <v>1</v>
          </cell>
          <cell r="AE502">
            <v>46387</v>
          </cell>
          <cell r="AF502">
            <v>79</v>
          </cell>
          <cell r="AG502">
            <v>0</v>
          </cell>
          <cell r="AH502">
            <v>79</v>
          </cell>
          <cell r="AI502">
            <v>80</v>
          </cell>
          <cell r="AJ502">
            <v>0</v>
          </cell>
          <cell r="AK502">
            <v>0</v>
          </cell>
          <cell r="AL502">
            <v>1</v>
          </cell>
          <cell r="AM502">
            <v>0</v>
          </cell>
          <cell r="AN502">
            <v>1</v>
          </cell>
          <cell r="AO502">
            <v>0</v>
          </cell>
          <cell r="AP502">
            <v>1</v>
          </cell>
          <cell r="AQ502" t="str">
            <v>US_CMSP_00573</v>
          </cell>
          <cell r="AR502">
            <v>0</v>
          </cell>
          <cell r="AS502">
            <v>8</v>
          </cell>
          <cell r="AU502">
            <v>8</v>
          </cell>
          <cell r="AV502">
            <v>0</v>
          </cell>
          <cell r="AW502">
            <v>8</v>
          </cell>
          <cell r="AX502">
            <v>8</v>
          </cell>
          <cell r="AY502">
            <v>0</v>
          </cell>
          <cell r="AZ502">
            <v>8</v>
          </cell>
          <cell r="BA502">
            <v>8</v>
          </cell>
          <cell r="BB502">
            <v>8</v>
          </cell>
          <cell r="BC502">
            <v>0</v>
          </cell>
          <cell r="BD502">
            <v>0</v>
          </cell>
          <cell r="BE502">
            <v>0</v>
          </cell>
          <cell r="BG502">
            <v>8</v>
          </cell>
          <cell r="BI502">
            <v>0</v>
          </cell>
          <cell r="BJ502">
            <v>640</v>
          </cell>
          <cell r="BK502">
            <v>640</v>
          </cell>
          <cell r="BL502">
            <v>632</v>
          </cell>
          <cell r="BM502">
            <v>0</v>
          </cell>
          <cell r="BN502">
            <v>0</v>
          </cell>
          <cell r="BO502">
            <v>0</v>
          </cell>
          <cell r="BP502">
            <v>632</v>
          </cell>
          <cell r="BQ502">
            <v>0</v>
          </cell>
          <cell r="BR502">
            <v>8</v>
          </cell>
          <cell r="BS502" t="str">
            <v>Y</v>
          </cell>
          <cell r="BT502">
            <v>1</v>
          </cell>
          <cell r="BU502">
            <v>1</v>
          </cell>
          <cell r="BV502" t="str">
            <v>N</v>
          </cell>
          <cell r="BW502">
            <v>0</v>
          </cell>
          <cell r="BX502">
            <v>0</v>
          </cell>
          <cell r="BY502">
            <v>2026</v>
          </cell>
          <cell r="BZ502" t="str">
            <v>-</v>
          </cell>
          <cell r="CA502" t="str">
            <v>-</v>
          </cell>
        </row>
        <row r="503">
          <cell r="A503" t="str">
            <v>Lucknow</v>
          </cell>
          <cell r="B503" t="str">
            <v>Mavericks</v>
          </cell>
          <cell r="C503" t="str">
            <v>Mid Level</v>
          </cell>
          <cell r="D503" t="str">
            <v>Mohammad Fakhrul</v>
          </cell>
          <cell r="E503" t="str">
            <v>-</v>
          </cell>
          <cell r="F503" t="str">
            <v>MSP</v>
          </cell>
          <cell r="H503" t="str">
            <v>Pass Through/MSP</v>
          </cell>
          <cell r="J503" t="str">
            <v>ACH</v>
          </cell>
          <cell r="L503" t="str">
            <v>New</v>
          </cell>
          <cell r="M503">
            <v>46112</v>
          </cell>
          <cell r="N503">
            <v>90</v>
          </cell>
          <cell r="O503">
            <v>46129</v>
          </cell>
          <cell r="P503">
            <v>46477</v>
          </cell>
          <cell r="Q503" t="str">
            <v>PLC-Passthrough</v>
          </cell>
          <cell r="R503" t="str">
            <v>Rajasekhar Alanguntaa</v>
          </cell>
          <cell r="S503" t="str">
            <v>Individual</v>
          </cell>
          <cell r="T503" t="str">
            <v>C2C</v>
          </cell>
          <cell r="U503" t="str">
            <v>CoForge</v>
          </cell>
          <cell r="V503">
            <v>79</v>
          </cell>
          <cell r="W503">
            <v>0</v>
          </cell>
          <cell r="X503" t="str">
            <v>USD</v>
          </cell>
          <cell r="Y503">
            <v>80</v>
          </cell>
          <cell r="Z503">
            <v>0</v>
          </cell>
          <cell r="AA503">
            <v>0</v>
          </cell>
          <cell r="AB503">
            <v>0</v>
          </cell>
          <cell r="AC503">
            <v>46127</v>
          </cell>
          <cell r="AD503">
            <v>22</v>
          </cell>
          <cell r="AE503">
            <v>46387</v>
          </cell>
          <cell r="AF503">
            <v>79</v>
          </cell>
          <cell r="AG503">
            <v>0</v>
          </cell>
          <cell r="AH503">
            <v>79</v>
          </cell>
          <cell r="AI503">
            <v>80</v>
          </cell>
          <cell r="AJ503">
            <v>0</v>
          </cell>
          <cell r="AK503">
            <v>0</v>
          </cell>
          <cell r="AL503">
            <v>1</v>
          </cell>
          <cell r="AM503">
            <v>0</v>
          </cell>
          <cell r="AN503">
            <v>1</v>
          </cell>
          <cell r="AO503">
            <v>0</v>
          </cell>
          <cell r="AP503">
            <v>1</v>
          </cell>
          <cell r="AQ503" t="str">
            <v>US_CMSP_00714</v>
          </cell>
          <cell r="AR503">
            <v>0</v>
          </cell>
          <cell r="AS503">
            <v>96</v>
          </cell>
          <cell r="AU503">
            <v>96</v>
          </cell>
          <cell r="AV503">
            <v>0</v>
          </cell>
          <cell r="AW503">
            <v>96</v>
          </cell>
          <cell r="AX503">
            <v>95.039999999999992</v>
          </cell>
          <cell r="AY503">
            <v>0</v>
          </cell>
          <cell r="AZ503">
            <v>96</v>
          </cell>
          <cell r="BA503">
            <v>95.039999999999992</v>
          </cell>
          <cell r="BB503">
            <v>96</v>
          </cell>
          <cell r="BC503">
            <v>0</v>
          </cell>
          <cell r="BD503">
            <v>0</v>
          </cell>
          <cell r="BE503">
            <v>0</v>
          </cell>
          <cell r="BG503">
            <v>95.039999999999992</v>
          </cell>
          <cell r="BI503">
            <v>0</v>
          </cell>
          <cell r="BJ503">
            <v>7680</v>
          </cell>
          <cell r="BK503">
            <v>7680</v>
          </cell>
          <cell r="BL503">
            <v>7584</v>
          </cell>
          <cell r="BM503">
            <v>0</v>
          </cell>
          <cell r="BN503">
            <v>0</v>
          </cell>
          <cell r="BO503">
            <v>0</v>
          </cell>
          <cell r="BP503">
            <v>7584</v>
          </cell>
          <cell r="BQ503">
            <v>0</v>
          </cell>
          <cell r="BR503">
            <v>96</v>
          </cell>
          <cell r="BS503" t="str">
            <v>Y</v>
          </cell>
          <cell r="BT503">
            <v>2</v>
          </cell>
          <cell r="BU503">
            <v>1</v>
          </cell>
          <cell r="BV503" t="str">
            <v>N</v>
          </cell>
          <cell r="BW503">
            <v>0</v>
          </cell>
          <cell r="BX503">
            <v>0</v>
          </cell>
          <cell r="BY503">
            <v>2026</v>
          </cell>
          <cell r="BZ503" t="str">
            <v>-</v>
          </cell>
          <cell r="CA503" t="str">
            <v>-</v>
          </cell>
        </row>
        <row r="504">
          <cell r="A504" t="str">
            <v>Lucknow</v>
          </cell>
          <cell r="B504" t="str">
            <v>Chennai</v>
          </cell>
          <cell r="C504" t="str">
            <v>Mid Level</v>
          </cell>
          <cell r="D504" t="str">
            <v>Akbar Ibrahim</v>
          </cell>
          <cell r="E504" t="str">
            <v>-</v>
          </cell>
          <cell r="F504" t="str">
            <v>Non-MSP</v>
          </cell>
          <cell r="H504" t="str">
            <v>Kishore Gopi</v>
          </cell>
          <cell r="L504" t="str">
            <v>New</v>
          </cell>
          <cell r="M504">
            <v>46083</v>
          </cell>
          <cell r="N504">
            <v>119</v>
          </cell>
          <cell r="P504">
            <v>46448</v>
          </cell>
          <cell r="Q504" t="str">
            <v>PLC-4732</v>
          </cell>
          <cell r="R504" t="str">
            <v>Rajashekar Sudula Venkata</v>
          </cell>
          <cell r="S504" t="str">
            <v>Individual</v>
          </cell>
          <cell r="T504" t="str">
            <v>C2C</v>
          </cell>
          <cell r="U504" t="str">
            <v>Citius Tech</v>
          </cell>
          <cell r="V504">
            <v>64</v>
          </cell>
          <cell r="W504">
            <v>0</v>
          </cell>
          <cell r="X504" t="str">
            <v>USD</v>
          </cell>
          <cell r="Y504">
            <v>71</v>
          </cell>
          <cell r="Z504">
            <v>0</v>
          </cell>
          <cell r="AA504">
            <v>0</v>
          </cell>
          <cell r="AB504">
            <v>0</v>
          </cell>
          <cell r="AC504">
            <v>46096</v>
          </cell>
          <cell r="AD504">
            <v>22</v>
          </cell>
          <cell r="AE504">
            <v>46387</v>
          </cell>
          <cell r="AF504">
            <v>64</v>
          </cell>
          <cell r="AG504">
            <v>0</v>
          </cell>
          <cell r="AH504">
            <v>64</v>
          </cell>
          <cell r="AI504">
            <v>71</v>
          </cell>
          <cell r="AJ504">
            <v>0</v>
          </cell>
          <cell r="AK504">
            <v>0</v>
          </cell>
          <cell r="AL504">
            <v>7</v>
          </cell>
          <cell r="AM504">
            <v>0</v>
          </cell>
          <cell r="AN504">
            <v>7</v>
          </cell>
          <cell r="AO504">
            <v>0</v>
          </cell>
          <cell r="AP504">
            <v>7</v>
          </cell>
          <cell r="AQ504" t="str">
            <v>US_27418</v>
          </cell>
          <cell r="AR504">
            <v>0</v>
          </cell>
          <cell r="AS504">
            <v>176</v>
          </cell>
          <cell r="AU504">
            <v>176</v>
          </cell>
          <cell r="AV504">
            <v>0</v>
          </cell>
          <cell r="AW504">
            <v>1232</v>
          </cell>
          <cell r="AX504">
            <v>1232</v>
          </cell>
          <cell r="AY504">
            <v>0</v>
          </cell>
          <cell r="AZ504">
            <v>1232</v>
          </cell>
          <cell r="BA504">
            <v>1232</v>
          </cell>
          <cell r="BB504">
            <v>1232</v>
          </cell>
          <cell r="BC504">
            <v>66.666666666666657</v>
          </cell>
          <cell r="BD504">
            <v>1626.24</v>
          </cell>
          <cell r="BE504">
            <v>1626.24</v>
          </cell>
          <cell r="BG504">
            <v>1232</v>
          </cell>
          <cell r="BI504">
            <v>1232</v>
          </cell>
          <cell r="BJ504">
            <v>12496</v>
          </cell>
          <cell r="BK504">
            <v>12496</v>
          </cell>
          <cell r="BL504">
            <v>11264</v>
          </cell>
          <cell r="BM504">
            <v>0</v>
          </cell>
          <cell r="BN504">
            <v>0</v>
          </cell>
          <cell r="BO504">
            <v>0</v>
          </cell>
          <cell r="BP504">
            <v>11264</v>
          </cell>
          <cell r="BQ504">
            <v>0</v>
          </cell>
          <cell r="BR504">
            <v>1232</v>
          </cell>
          <cell r="BS504" t="str">
            <v>Y</v>
          </cell>
          <cell r="BT504">
            <v>1</v>
          </cell>
          <cell r="BU504">
            <v>1</v>
          </cell>
          <cell r="BV504" t="str">
            <v>N</v>
          </cell>
          <cell r="BW504">
            <v>3252.48</v>
          </cell>
          <cell r="BX504">
            <v>3252.48</v>
          </cell>
          <cell r="BY504">
            <v>2026</v>
          </cell>
          <cell r="BZ504" t="str">
            <v>-</v>
          </cell>
          <cell r="CA504" t="str">
            <v>-</v>
          </cell>
        </row>
        <row r="505">
          <cell r="A505" t="str">
            <v>Lucknow</v>
          </cell>
          <cell r="B505" t="str">
            <v>Chennai</v>
          </cell>
          <cell r="C505" t="str">
            <v>Mid Level</v>
          </cell>
          <cell r="D505" t="str">
            <v>Akbar Ibrahim</v>
          </cell>
          <cell r="E505" t="str">
            <v>-</v>
          </cell>
          <cell r="F505" t="str">
            <v>Non-MSP</v>
          </cell>
          <cell r="H505" t="str">
            <v>Kishore Gopi</v>
          </cell>
          <cell r="J505" t="str">
            <v>ACH</v>
          </cell>
          <cell r="L505" t="str">
            <v>New</v>
          </cell>
          <cell r="M505">
            <v>46083</v>
          </cell>
          <cell r="N505">
            <v>119</v>
          </cell>
          <cell r="P505">
            <v>46448</v>
          </cell>
          <cell r="Q505" t="str">
            <v>PLC-4732</v>
          </cell>
          <cell r="R505" t="str">
            <v>Rajashekar Sudula Venkata</v>
          </cell>
          <cell r="S505" t="str">
            <v>Individual</v>
          </cell>
          <cell r="T505" t="str">
            <v>C2C</v>
          </cell>
          <cell r="U505" t="str">
            <v>Citius Tech</v>
          </cell>
          <cell r="V505">
            <v>64</v>
          </cell>
          <cell r="W505">
            <v>0</v>
          </cell>
          <cell r="X505" t="str">
            <v>USD</v>
          </cell>
          <cell r="Y505">
            <v>71</v>
          </cell>
          <cell r="Z505">
            <v>0</v>
          </cell>
          <cell r="AA505">
            <v>0</v>
          </cell>
          <cell r="AB505">
            <v>0</v>
          </cell>
          <cell r="AC505">
            <v>46127</v>
          </cell>
          <cell r="AD505">
            <v>22</v>
          </cell>
          <cell r="AE505">
            <v>46387</v>
          </cell>
          <cell r="AF505">
            <v>64</v>
          </cell>
          <cell r="AG505">
            <v>0</v>
          </cell>
          <cell r="AH505">
            <v>64</v>
          </cell>
          <cell r="AI505">
            <v>71</v>
          </cell>
          <cell r="AJ505">
            <v>0</v>
          </cell>
          <cell r="AK505">
            <v>0</v>
          </cell>
          <cell r="AL505">
            <v>7</v>
          </cell>
          <cell r="AM505">
            <v>0</v>
          </cell>
          <cell r="AN505">
            <v>7</v>
          </cell>
          <cell r="AO505">
            <v>0</v>
          </cell>
          <cell r="AP505">
            <v>7</v>
          </cell>
          <cell r="AQ505" t="str">
            <v>US_27649</v>
          </cell>
          <cell r="AR505">
            <v>0</v>
          </cell>
          <cell r="AS505">
            <v>168</v>
          </cell>
          <cell r="AU505">
            <v>168</v>
          </cell>
          <cell r="AV505">
            <v>0</v>
          </cell>
          <cell r="AW505">
            <v>1176</v>
          </cell>
          <cell r="AX505">
            <v>1164.24</v>
          </cell>
          <cell r="AY505">
            <v>0</v>
          </cell>
          <cell r="AZ505">
            <v>1176</v>
          </cell>
          <cell r="BA505">
            <v>1164.24</v>
          </cell>
          <cell r="BB505">
            <v>1176</v>
          </cell>
          <cell r="BC505">
            <v>66.666666666666657</v>
          </cell>
          <cell r="BD505">
            <v>1536.7967999999998</v>
          </cell>
          <cell r="BE505">
            <v>1536.7967999999998</v>
          </cell>
          <cell r="BG505">
            <v>1164.24</v>
          </cell>
          <cell r="BI505">
            <v>1164.24</v>
          </cell>
          <cell r="BJ505">
            <v>11928</v>
          </cell>
          <cell r="BK505">
            <v>11928</v>
          </cell>
          <cell r="BL505">
            <v>10752</v>
          </cell>
          <cell r="BM505">
            <v>0</v>
          </cell>
          <cell r="BN505">
            <v>0</v>
          </cell>
          <cell r="BO505">
            <v>0</v>
          </cell>
          <cell r="BP505">
            <v>10752</v>
          </cell>
          <cell r="BQ505">
            <v>0</v>
          </cell>
          <cell r="BR505">
            <v>1176</v>
          </cell>
          <cell r="BS505" t="str">
            <v>Y</v>
          </cell>
          <cell r="BT505">
            <v>2</v>
          </cell>
          <cell r="BU505">
            <v>1</v>
          </cell>
          <cell r="BV505" t="str">
            <v>N</v>
          </cell>
          <cell r="BW505">
            <v>3073.5935999999997</v>
          </cell>
          <cell r="BX505">
            <v>3073.5935999999997</v>
          </cell>
          <cell r="BY505">
            <v>2026</v>
          </cell>
          <cell r="BZ505" t="str">
            <v>-</v>
          </cell>
          <cell r="CA505" t="str">
            <v>-</v>
          </cell>
        </row>
        <row r="506">
          <cell r="A506" t="str">
            <v>Lucknow</v>
          </cell>
          <cell r="B506" t="str">
            <v>Chennai</v>
          </cell>
          <cell r="C506" t="str">
            <v>Mid Level</v>
          </cell>
          <cell r="D506" t="str">
            <v>Akbar Ibrahim</v>
          </cell>
          <cell r="E506" t="str">
            <v>-</v>
          </cell>
          <cell r="F506" t="str">
            <v>Non-MSP</v>
          </cell>
          <cell r="H506" t="str">
            <v>Kishore Gopi</v>
          </cell>
          <cell r="J506" t="str">
            <v>ACH</v>
          </cell>
          <cell r="L506" t="str">
            <v>New</v>
          </cell>
          <cell r="M506">
            <v>46083</v>
          </cell>
          <cell r="N506">
            <v>119</v>
          </cell>
          <cell r="P506">
            <v>46448</v>
          </cell>
          <cell r="Q506" t="str">
            <v>PLC-4732</v>
          </cell>
          <cell r="R506" t="str">
            <v>Rajashekar Sudula Venkata</v>
          </cell>
          <cell r="S506" t="str">
            <v>Individual</v>
          </cell>
          <cell r="T506" t="str">
            <v>C2C</v>
          </cell>
          <cell r="U506" t="str">
            <v>Citius Tech</v>
          </cell>
          <cell r="V506">
            <v>64</v>
          </cell>
          <cell r="W506">
            <v>0</v>
          </cell>
          <cell r="X506" t="str">
            <v>USD</v>
          </cell>
          <cell r="Y506">
            <v>71</v>
          </cell>
          <cell r="Z506">
            <v>0</v>
          </cell>
          <cell r="AA506">
            <v>0</v>
          </cell>
          <cell r="AB506">
            <v>0</v>
          </cell>
          <cell r="AC506">
            <v>46157</v>
          </cell>
          <cell r="AD506">
            <v>22</v>
          </cell>
          <cell r="AE506">
            <v>46387</v>
          </cell>
          <cell r="AF506">
            <v>64</v>
          </cell>
          <cell r="AG506">
            <v>0</v>
          </cell>
          <cell r="AH506">
            <v>64</v>
          </cell>
          <cell r="AI506">
            <v>71</v>
          </cell>
          <cell r="AJ506">
            <v>0</v>
          </cell>
          <cell r="AK506">
            <v>0</v>
          </cell>
          <cell r="AL506">
            <v>7</v>
          </cell>
          <cell r="AM506">
            <v>0</v>
          </cell>
          <cell r="AN506">
            <v>7</v>
          </cell>
          <cell r="AO506">
            <v>0</v>
          </cell>
          <cell r="AP506">
            <v>7</v>
          </cell>
          <cell r="AU506">
            <v>176</v>
          </cell>
          <cell r="BB506">
            <v>1232</v>
          </cell>
          <cell r="BC506">
            <v>66.666666666666657</v>
          </cell>
          <cell r="BK506">
            <v>12496</v>
          </cell>
          <cell r="BL506">
            <v>11264</v>
          </cell>
          <cell r="BM506">
            <v>0</v>
          </cell>
          <cell r="BN506">
            <v>0</v>
          </cell>
          <cell r="BO506">
            <v>0</v>
          </cell>
          <cell r="BP506">
            <v>11264</v>
          </cell>
          <cell r="BQ506">
            <v>0</v>
          </cell>
          <cell r="BR506">
            <v>1232</v>
          </cell>
          <cell r="BT506">
            <v>2</v>
          </cell>
          <cell r="BU506">
            <v>1</v>
          </cell>
          <cell r="BV506" t="str">
            <v>N</v>
          </cell>
          <cell r="BY506">
            <v>2026</v>
          </cell>
          <cell r="BZ506" t="str">
            <v>-</v>
          </cell>
          <cell r="CA506" t="str">
            <v>-</v>
          </cell>
        </row>
        <row r="507">
          <cell r="A507" t="str">
            <v>Lucknow</v>
          </cell>
          <cell r="B507" t="str">
            <v>Mavericks</v>
          </cell>
          <cell r="C507" t="str">
            <v>Mid Level</v>
          </cell>
          <cell r="D507" t="str">
            <v>Mohammad Fakhrul</v>
          </cell>
          <cell r="E507" t="str">
            <v>-</v>
          </cell>
          <cell r="F507" t="str">
            <v>MSP</v>
          </cell>
          <cell r="H507" t="str">
            <v>Pass Through/MSP</v>
          </cell>
          <cell r="J507" t="str">
            <v>ACH</v>
          </cell>
          <cell r="L507" t="str">
            <v>New</v>
          </cell>
          <cell r="M507">
            <v>46125</v>
          </cell>
          <cell r="N507">
            <v>77</v>
          </cell>
          <cell r="P507">
            <v>46490</v>
          </cell>
          <cell r="Q507" t="str">
            <v>PLC-Passthrough</v>
          </cell>
          <cell r="R507" t="str">
            <v>Rajesh Kanna</v>
          </cell>
          <cell r="S507" t="str">
            <v>Individual</v>
          </cell>
          <cell r="T507" t="str">
            <v>C2C</v>
          </cell>
          <cell r="U507" t="str">
            <v>Cigniti</v>
          </cell>
          <cell r="V507">
            <v>84</v>
          </cell>
          <cell r="W507">
            <v>0</v>
          </cell>
          <cell r="X507" t="str">
            <v>USD</v>
          </cell>
          <cell r="Y507">
            <v>85</v>
          </cell>
          <cell r="Z507">
            <v>0</v>
          </cell>
          <cell r="AA507">
            <v>0</v>
          </cell>
          <cell r="AB507">
            <v>0</v>
          </cell>
          <cell r="AC507">
            <v>46127</v>
          </cell>
          <cell r="AD507">
            <v>14</v>
          </cell>
          <cell r="AE507">
            <v>46387</v>
          </cell>
          <cell r="AF507">
            <v>84</v>
          </cell>
          <cell r="AG507">
            <v>0</v>
          </cell>
          <cell r="AH507">
            <v>84</v>
          </cell>
          <cell r="AI507">
            <v>85</v>
          </cell>
          <cell r="AJ507">
            <v>0</v>
          </cell>
          <cell r="AK507">
            <v>0</v>
          </cell>
          <cell r="AL507">
            <v>1</v>
          </cell>
          <cell r="AM507">
            <v>0</v>
          </cell>
          <cell r="AN507">
            <v>1</v>
          </cell>
          <cell r="AO507">
            <v>0</v>
          </cell>
          <cell r="AP507">
            <v>1</v>
          </cell>
          <cell r="AU507">
            <v>112</v>
          </cell>
          <cell r="BB507">
            <v>112</v>
          </cell>
          <cell r="BC507">
            <v>0</v>
          </cell>
          <cell r="BD507">
            <v>0</v>
          </cell>
          <cell r="BE507">
            <v>0</v>
          </cell>
          <cell r="BI507">
            <v>0</v>
          </cell>
          <cell r="BK507">
            <v>9520</v>
          </cell>
          <cell r="BL507">
            <v>9408</v>
          </cell>
          <cell r="BM507">
            <v>0</v>
          </cell>
          <cell r="BN507">
            <v>0</v>
          </cell>
          <cell r="BO507">
            <v>0</v>
          </cell>
          <cell r="BP507">
            <v>9408</v>
          </cell>
          <cell r="BQ507">
            <v>0</v>
          </cell>
          <cell r="BR507">
            <v>112</v>
          </cell>
          <cell r="BT507">
            <v>2</v>
          </cell>
          <cell r="BU507">
            <v>2</v>
          </cell>
          <cell r="BV507" t="str">
            <v>N</v>
          </cell>
          <cell r="BW507">
            <v>0</v>
          </cell>
          <cell r="BX507">
            <v>0</v>
          </cell>
          <cell r="BY507">
            <v>2026</v>
          </cell>
          <cell r="BZ507" t="str">
            <v>-</v>
          </cell>
          <cell r="CA507" t="str">
            <v>-</v>
          </cell>
        </row>
        <row r="508">
          <cell r="A508" t="str">
            <v>Lucknow</v>
          </cell>
          <cell r="B508" t="str">
            <v>Mavericks</v>
          </cell>
          <cell r="C508" t="str">
            <v>Mid Level</v>
          </cell>
          <cell r="D508" t="str">
            <v>Mohammad Fakhrul</v>
          </cell>
          <cell r="E508" t="str">
            <v>-</v>
          </cell>
          <cell r="F508" t="str">
            <v>MSP</v>
          </cell>
          <cell r="H508" t="str">
            <v>Pass Through/MSP</v>
          </cell>
          <cell r="J508" t="str">
            <v>ACH</v>
          </cell>
          <cell r="L508" t="str">
            <v>New</v>
          </cell>
          <cell r="M508">
            <v>46125</v>
          </cell>
          <cell r="N508">
            <v>77</v>
          </cell>
          <cell r="P508">
            <v>46490</v>
          </cell>
          <cell r="Q508" t="str">
            <v>PLC-Passthrough</v>
          </cell>
          <cell r="R508" t="str">
            <v>Rajesh Kanna</v>
          </cell>
          <cell r="S508" t="str">
            <v>Individual</v>
          </cell>
          <cell r="T508" t="str">
            <v>C2C</v>
          </cell>
          <cell r="U508" t="str">
            <v>Cigniti</v>
          </cell>
          <cell r="V508">
            <v>84</v>
          </cell>
          <cell r="W508">
            <v>0</v>
          </cell>
          <cell r="X508" t="str">
            <v>USD</v>
          </cell>
          <cell r="Y508">
            <v>85</v>
          </cell>
          <cell r="Z508">
            <v>0</v>
          </cell>
          <cell r="AA508">
            <v>0</v>
          </cell>
          <cell r="AB508">
            <v>0</v>
          </cell>
          <cell r="AC508">
            <v>46157</v>
          </cell>
          <cell r="AD508">
            <v>14</v>
          </cell>
          <cell r="AE508">
            <v>46387</v>
          </cell>
          <cell r="AF508">
            <v>84</v>
          </cell>
          <cell r="AG508">
            <v>0</v>
          </cell>
          <cell r="AH508">
            <v>84</v>
          </cell>
          <cell r="AI508">
            <v>85</v>
          </cell>
          <cell r="AJ508">
            <v>0</v>
          </cell>
          <cell r="AK508">
            <v>0</v>
          </cell>
          <cell r="AL508">
            <v>1</v>
          </cell>
          <cell r="AM508">
            <v>0</v>
          </cell>
          <cell r="AN508">
            <v>1</v>
          </cell>
          <cell r="AO508">
            <v>0</v>
          </cell>
          <cell r="AP508">
            <v>1</v>
          </cell>
          <cell r="AU508">
            <v>112</v>
          </cell>
          <cell r="BB508">
            <v>112</v>
          </cell>
          <cell r="BC508">
            <v>0</v>
          </cell>
          <cell r="BD508">
            <v>0</v>
          </cell>
          <cell r="BE508">
            <v>0</v>
          </cell>
          <cell r="BI508">
            <v>0</v>
          </cell>
          <cell r="BK508">
            <v>9520</v>
          </cell>
          <cell r="BL508">
            <v>9408</v>
          </cell>
          <cell r="BM508">
            <v>0</v>
          </cell>
          <cell r="BN508">
            <v>0</v>
          </cell>
          <cell r="BO508">
            <v>0</v>
          </cell>
          <cell r="BP508">
            <v>9408</v>
          </cell>
          <cell r="BQ508">
            <v>0</v>
          </cell>
          <cell r="BR508">
            <v>112</v>
          </cell>
          <cell r="BT508">
            <v>2</v>
          </cell>
          <cell r="BU508">
            <v>2</v>
          </cell>
          <cell r="BV508" t="str">
            <v>N</v>
          </cell>
          <cell r="BW508">
            <v>0</v>
          </cell>
          <cell r="BX508">
            <v>0</v>
          </cell>
          <cell r="BY508">
            <v>2026</v>
          </cell>
          <cell r="BZ508" t="str">
            <v>-</v>
          </cell>
          <cell r="CA508" t="str">
            <v>-</v>
          </cell>
        </row>
        <row r="509">
          <cell r="A509" t="str">
            <v>Noida</v>
          </cell>
          <cell r="B509" t="str">
            <v>Noida IT</v>
          </cell>
          <cell r="C509" t="str">
            <v>Mid Level</v>
          </cell>
          <cell r="D509" t="str">
            <v>Abdul Rahman</v>
          </cell>
          <cell r="E509" t="str">
            <v>-</v>
          </cell>
          <cell r="F509" t="str">
            <v>Non-MSP</v>
          </cell>
          <cell r="H509" t="str">
            <v>Mohd Ateeq</v>
          </cell>
          <cell r="L509" t="str">
            <v>New</v>
          </cell>
          <cell r="M509">
            <v>46034</v>
          </cell>
          <cell r="N509">
            <v>168</v>
          </cell>
          <cell r="O509">
            <v>46115</v>
          </cell>
          <cell r="P509">
            <v>46399</v>
          </cell>
          <cell r="Q509" t="str">
            <v>PLC-4674</v>
          </cell>
          <cell r="R509" t="str">
            <v>Rajeshwar Dukuntla</v>
          </cell>
          <cell r="S509" t="str">
            <v>Individual</v>
          </cell>
          <cell r="T509" t="str">
            <v>C2C</v>
          </cell>
          <cell r="U509" t="str">
            <v>Xebia</v>
          </cell>
          <cell r="V509">
            <v>73</v>
          </cell>
          <cell r="W509">
            <v>0</v>
          </cell>
          <cell r="X509" t="str">
            <v>USD</v>
          </cell>
          <cell r="Y509">
            <v>85</v>
          </cell>
          <cell r="Z509">
            <v>0</v>
          </cell>
          <cell r="AA509">
            <v>0</v>
          </cell>
          <cell r="AB509">
            <v>0</v>
          </cell>
          <cell r="AC509">
            <v>46037</v>
          </cell>
          <cell r="AD509">
            <v>15</v>
          </cell>
          <cell r="AE509">
            <v>46387</v>
          </cell>
          <cell r="AF509">
            <v>73</v>
          </cell>
          <cell r="AG509">
            <v>0</v>
          </cell>
          <cell r="AH509">
            <v>73</v>
          </cell>
          <cell r="AI509">
            <v>85</v>
          </cell>
          <cell r="AJ509">
            <v>0</v>
          </cell>
          <cell r="AK509">
            <v>0</v>
          </cell>
          <cell r="AL509">
            <v>12</v>
          </cell>
          <cell r="AM509">
            <v>0</v>
          </cell>
          <cell r="AN509">
            <v>12</v>
          </cell>
          <cell r="AO509">
            <v>0</v>
          </cell>
          <cell r="AP509">
            <v>12</v>
          </cell>
          <cell r="AQ509" t="str">
            <v>US_26965</v>
          </cell>
          <cell r="AR509">
            <v>0</v>
          </cell>
          <cell r="AS509">
            <v>112</v>
          </cell>
          <cell r="AU509">
            <v>112</v>
          </cell>
          <cell r="AV509">
            <v>0</v>
          </cell>
          <cell r="AW509">
            <v>1344</v>
          </cell>
          <cell r="AX509">
            <v>1344</v>
          </cell>
          <cell r="AY509">
            <v>0</v>
          </cell>
          <cell r="AZ509">
            <v>1344</v>
          </cell>
          <cell r="BA509">
            <v>1344</v>
          </cell>
          <cell r="BB509">
            <v>1344</v>
          </cell>
          <cell r="BC509">
            <v>57.142857142857139</v>
          </cell>
          <cell r="BD509">
            <v>1774.08</v>
          </cell>
          <cell r="BE509">
            <v>1774.08</v>
          </cell>
          <cell r="BG509">
            <v>1344</v>
          </cell>
          <cell r="BI509">
            <v>1344</v>
          </cell>
          <cell r="BJ509">
            <v>9520</v>
          </cell>
          <cell r="BK509">
            <v>9520</v>
          </cell>
          <cell r="BL509">
            <v>8176</v>
          </cell>
          <cell r="BM509">
            <v>0</v>
          </cell>
          <cell r="BN509">
            <v>0</v>
          </cell>
          <cell r="BO509">
            <v>0</v>
          </cell>
          <cell r="BP509">
            <v>8176</v>
          </cell>
          <cell r="BQ509">
            <v>0</v>
          </cell>
          <cell r="BR509">
            <v>1344</v>
          </cell>
          <cell r="BS509" t="str">
            <v>Y</v>
          </cell>
          <cell r="BT509">
            <v>1</v>
          </cell>
          <cell r="BU509">
            <v>1</v>
          </cell>
          <cell r="BV509" t="str">
            <v>N</v>
          </cell>
          <cell r="BW509">
            <v>3548.16</v>
          </cell>
          <cell r="BX509">
            <v>3548.16</v>
          </cell>
          <cell r="BY509">
            <v>2026</v>
          </cell>
          <cell r="BZ509" t="str">
            <v>-</v>
          </cell>
          <cell r="CA509" t="str">
            <v>-</v>
          </cell>
        </row>
        <row r="510">
          <cell r="A510" t="str">
            <v>Noida</v>
          </cell>
          <cell r="B510" t="str">
            <v>Noida IT</v>
          </cell>
          <cell r="C510" t="str">
            <v>Mid Level</v>
          </cell>
          <cell r="D510" t="str">
            <v>Abdul Rahman</v>
          </cell>
          <cell r="E510" t="str">
            <v>-</v>
          </cell>
          <cell r="F510" t="str">
            <v>Non-MSP</v>
          </cell>
          <cell r="H510" t="str">
            <v>Mohd Ateeq</v>
          </cell>
          <cell r="L510" t="str">
            <v>New</v>
          </cell>
          <cell r="M510">
            <v>46034</v>
          </cell>
          <cell r="N510">
            <v>168</v>
          </cell>
          <cell r="O510">
            <v>46115</v>
          </cell>
          <cell r="P510">
            <v>46399</v>
          </cell>
          <cell r="Q510" t="str">
            <v>PLC-4674</v>
          </cell>
          <cell r="R510" t="str">
            <v>Rajeshwar Dukuntla</v>
          </cell>
          <cell r="S510" t="str">
            <v>Individual</v>
          </cell>
          <cell r="T510" t="str">
            <v>C2C</v>
          </cell>
          <cell r="U510" t="str">
            <v>Xebia</v>
          </cell>
          <cell r="V510">
            <v>73</v>
          </cell>
          <cell r="W510">
            <v>0</v>
          </cell>
          <cell r="X510" t="str">
            <v>USD</v>
          </cell>
          <cell r="Y510">
            <v>85</v>
          </cell>
          <cell r="Z510">
            <v>0</v>
          </cell>
          <cell r="AA510">
            <v>0</v>
          </cell>
          <cell r="AB510">
            <v>0</v>
          </cell>
          <cell r="AC510">
            <v>46068</v>
          </cell>
          <cell r="AD510">
            <v>20</v>
          </cell>
          <cell r="AE510">
            <v>46387</v>
          </cell>
          <cell r="AF510">
            <v>73</v>
          </cell>
          <cell r="AG510">
            <v>0</v>
          </cell>
          <cell r="AH510">
            <v>73</v>
          </cell>
          <cell r="AI510">
            <v>85</v>
          </cell>
          <cell r="AJ510">
            <v>0</v>
          </cell>
          <cell r="AK510">
            <v>0</v>
          </cell>
          <cell r="AL510">
            <v>12</v>
          </cell>
          <cell r="AM510">
            <v>0</v>
          </cell>
          <cell r="AN510">
            <v>12</v>
          </cell>
          <cell r="AO510">
            <v>0</v>
          </cell>
          <cell r="AP510">
            <v>12</v>
          </cell>
          <cell r="AQ510" t="str">
            <v>US_27159</v>
          </cell>
          <cell r="AR510">
            <v>0</v>
          </cell>
          <cell r="AS510">
            <v>160</v>
          </cell>
          <cell r="AU510">
            <v>160</v>
          </cell>
          <cell r="AV510">
            <v>0</v>
          </cell>
          <cell r="AW510">
            <v>1920</v>
          </cell>
          <cell r="AX510">
            <v>1920</v>
          </cell>
          <cell r="AY510">
            <v>0</v>
          </cell>
          <cell r="AZ510">
            <v>1920</v>
          </cell>
          <cell r="BA510">
            <v>1920</v>
          </cell>
          <cell r="BB510">
            <v>1920</v>
          </cell>
          <cell r="BC510">
            <v>57.142857142857139</v>
          </cell>
          <cell r="BD510">
            <v>2534.4</v>
          </cell>
          <cell r="BE510">
            <v>2534.4</v>
          </cell>
          <cell r="BG510">
            <v>1920</v>
          </cell>
          <cell r="BI510">
            <v>1920</v>
          </cell>
          <cell r="BJ510">
            <v>13600</v>
          </cell>
          <cell r="BK510">
            <v>13600</v>
          </cell>
          <cell r="BL510">
            <v>11680</v>
          </cell>
          <cell r="BM510">
            <v>0</v>
          </cell>
          <cell r="BN510">
            <v>0</v>
          </cell>
          <cell r="BO510">
            <v>0</v>
          </cell>
          <cell r="BP510">
            <v>11680</v>
          </cell>
          <cell r="BQ510">
            <v>0</v>
          </cell>
          <cell r="BR510">
            <v>1920</v>
          </cell>
          <cell r="BS510" t="str">
            <v>Y</v>
          </cell>
          <cell r="BT510">
            <v>1</v>
          </cell>
          <cell r="BU510">
            <v>1</v>
          </cell>
          <cell r="BV510" t="str">
            <v>N</v>
          </cell>
          <cell r="BW510">
            <v>5068.8</v>
          </cell>
          <cell r="BX510">
            <v>5068.8</v>
          </cell>
          <cell r="BY510">
            <v>2026</v>
          </cell>
          <cell r="BZ510" t="str">
            <v>-</v>
          </cell>
          <cell r="CA510" t="str">
            <v>-</v>
          </cell>
        </row>
        <row r="511">
          <cell r="A511" t="str">
            <v>Noida</v>
          </cell>
          <cell r="B511" t="str">
            <v>Noida IT</v>
          </cell>
          <cell r="C511" t="str">
            <v>Mid Level</v>
          </cell>
          <cell r="D511" t="str">
            <v>Abdul Rahman</v>
          </cell>
          <cell r="E511" t="str">
            <v>-</v>
          </cell>
          <cell r="F511" t="str">
            <v>Non-MSP</v>
          </cell>
          <cell r="H511" t="str">
            <v>Mohd Ateeq</v>
          </cell>
          <cell r="L511" t="str">
            <v>New</v>
          </cell>
          <cell r="M511">
            <v>46034</v>
          </cell>
          <cell r="N511">
            <v>168</v>
          </cell>
          <cell r="O511">
            <v>46115</v>
          </cell>
          <cell r="P511">
            <v>46399</v>
          </cell>
          <cell r="Q511" t="str">
            <v>PLC-4674</v>
          </cell>
          <cell r="R511" t="str">
            <v>Rajeshwar Dukuntla</v>
          </cell>
          <cell r="S511" t="str">
            <v>Individual</v>
          </cell>
          <cell r="T511" t="str">
            <v>C2C</v>
          </cell>
          <cell r="U511" t="str">
            <v>Xebia</v>
          </cell>
          <cell r="V511">
            <v>73</v>
          </cell>
          <cell r="W511">
            <v>0</v>
          </cell>
          <cell r="X511" t="str">
            <v>USD</v>
          </cell>
          <cell r="Y511">
            <v>85</v>
          </cell>
          <cell r="Z511">
            <v>0</v>
          </cell>
          <cell r="AA511">
            <v>0</v>
          </cell>
          <cell r="AB511">
            <v>0</v>
          </cell>
          <cell r="AC511">
            <v>46096</v>
          </cell>
          <cell r="AD511">
            <v>22</v>
          </cell>
          <cell r="AE511">
            <v>46387</v>
          </cell>
          <cell r="AF511">
            <v>73</v>
          </cell>
          <cell r="AG511">
            <v>0</v>
          </cell>
          <cell r="AH511">
            <v>73</v>
          </cell>
          <cell r="AI511">
            <v>85</v>
          </cell>
          <cell r="AJ511">
            <v>0</v>
          </cell>
          <cell r="AK511">
            <v>0</v>
          </cell>
          <cell r="AL511">
            <v>12</v>
          </cell>
          <cell r="AM511">
            <v>0</v>
          </cell>
          <cell r="AN511">
            <v>12</v>
          </cell>
          <cell r="AO511">
            <v>0</v>
          </cell>
          <cell r="AP511">
            <v>12</v>
          </cell>
          <cell r="AQ511" t="str">
            <v>US_27374</v>
          </cell>
          <cell r="AR511">
            <v>0</v>
          </cell>
          <cell r="AS511">
            <v>176</v>
          </cell>
          <cell r="AU511">
            <v>176</v>
          </cell>
          <cell r="AV511">
            <v>0</v>
          </cell>
          <cell r="AW511">
            <v>2112</v>
          </cell>
          <cell r="AX511">
            <v>2112</v>
          </cell>
          <cell r="AY511">
            <v>0</v>
          </cell>
          <cell r="AZ511">
            <v>2112</v>
          </cell>
          <cell r="BA511">
            <v>2112</v>
          </cell>
          <cell r="BB511">
            <v>2112</v>
          </cell>
          <cell r="BC511">
            <v>57.142857142857139</v>
          </cell>
          <cell r="BD511">
            <v>2787.84</v>
          </cell>
          <cell r="BE511">
            <v>2787.84</v>
          </cell>
          <cell r="BG511">
            <v>2112</v>
          </cell>
          <cell r="BI511">
            <v>2112</v>
          </cell>
          <cell r="BJ511">
            <v>14960</v>
          </cell>
          <cell r="BK511">
            <v>14960</v>
          </cell>
          <cell r="BL511">
            <v>12848</v>
          </cell>
          <cell r="BM511">
            <v>0</v>
          </cell>
          <cell r="BN511">
            <v>0</v>
          </cell>
          <cell r="BO511">
            <v>0</v>
          </cell>
          <cell r="BP511">
            <v>12848</v>
          </cell>
          <cell r="BQ511">
            <v>0</v>
          </cell>
          <cell r="BR511">
            <v>2112</v>
          </cell>
          <cell r="BS511" t="str">
            <v>Y</v>
          </cell>
          <cell r="BT511">
            <v>1</v>
          </cell>
          <cell r="BU511">
            <v>1</v>
          </cell>
          <cell r="BV511" t="str">
            <v>N</v>
          </cell>
          <cell r="BW511">
            <v>5575.68</v>
          </cell>
          <cell r="BX511">
            <v>5575.68</v>
          </cell>
          <cell r="BY511">
            <v>2026</v>
          </cell>
          <cell r="BZ511" t="str">
            <v>-</v>
          </cell>
          <cell r="CA511" t="str">
            <v>-</v>
          </cell>
        </row>
        <row r="512">
          <cell r="A512" t="str">
            <v>Noida</v>
          </cell>
          <cell r="B512" t="str">
            <v>Noida IT</v>
          </cell>
          <cell r="C512" t="str">
            <v>Mid Level</v>
          </cell>
          <cell r="D512" t="str">
            <v>Abdul Rahman</v>
          </cell>
          <cell r="E512" t="str">
            <v>-</v>
          </cell>
          <cell r="F512" t="str">
            <v>Non-MSP</v>
          </cell>
          <cell r="H512" t="str">
            <v>Mohd Ateeq</v>
          </cell>
          <cell r="J512" t="str">
            <v>ACH</v>
          </cell>
          <cell r="L512" t="str">
            <v>New</v>
          </cell>
          <cell r="M512">
            <v>46034</v>
          </cell>
          <cell r="N512">
            <v>168</v>
          </cell>
          <cell r="O512">
            <v>46115</v>
          </cell>
          <cell r="P512">
            <v>46399</v>
          </cell>
          <cell r="Q512" t="str">
            <v>PLC-4674</v>
          </cell>
          <cell r="R512" t="str">
            <v>Rajeshwar Dukuntla</v>
          </cell>
          <cell r="S512" t="str">
            <v>Individual</v>
          </cell>
          <cell r="T512" t="str">
            <v>C2C</v>
          </cell>
          <cell r="U512" t="str">
            <v>Xebia</v>
          </cell>
          <cell r="V512">
            <v>73</v>
          </cell>
          <cell r="W512">
            <v>0</v>
          </cell>
          <cell r="X512" t="str">
            <v>USD</v>
          </cell>
          <cell r="Y512">
            <v>85</v>
          </cell>
          <cell r="Z512">
            <v>0</v>
          </cell>
          <cell r="AA512">
            <v>0</v>
          </cell>
          <cell r="AB512">
            <v>0</v>
          </cell>
          <cell r="AC512">
            <v>46127</v>
          </cell>
          <cell r="AD512">
            <v>22</v>
          </cell>
          <cell r="AE512">
            <v>46387</v>
          </cell>
          <cell r="AF512">
            <v>73</v>
          </cell>
          <cell r="AG512">
            <v>0</v>
          </cell>
          <cell r="AH512">
            <v>73</v>
          </cell>
          <cell r="AI512">
            <v>85</v>
          </cell>
          <cell r="AJ512">
            <v>0</v>
          </cell>
          <cell r="AK512">
            <v>0</v>
          </cell>
          <cell r="AL512">
            <v>12</v>
          </cell>
          <cell r="AM512">
            <v>0</v>
          </cell>
          <cell r="AN512">
            <v>12</v>
          </cell>
          <cell r="AO512">
            <v>0</v>
          </cell>
          <cell r="AP512">
            <v>12</v>
          </cell>
          <cell r="AQ512" t="str">
            <v>US_27611</v>
          </cell>
          <cell r="AR512">
            <v>0</v>
          </cell>
          <cell r="AS512">
            <v>24</v>
          </cell>
          <cell r="AU512">
            <v>24</v>
          </cell>
          <cell r="AV512">
            <v>0</v>
          </cell>
          <cell r="AW512">
            <v>288</v>
          </cell>
          <cell r="AX512">
            <v>285.12</v>
          </cell>
          <cell r="AY512">
            <v>0</v>
          </cell>
          <cell r="AZ512">
            <v>288</v>
          </cell>
          <cell r="BA512">
            <v>285.12</v>
          </cell>
          <cell r="BB512">
            <v>288</v>
          </cell>
          <cell r="BC512">
            <v>57.142857142857139</v>
          </cell>
          <cell r="BD512">
            <v>376.35840000000002</v>
          </cell>
          <cell r="BE512">
            <v>376.35840000000002</v>
          </cell>
          <cell r="BG512">
            <v>285.12</v>
          </cell>
          <cell r="BI512">
            <v>285.12</v>
          </cell>
          <cell r="BJ512">
            <v>2040</v>
          </cell>
          <cell r="BK512">
            <v>2040</v>
          </cell>
          <cell r="BL512">
            <v>1752</v>
          </cell>
          <cell r="BM512">
            <v>0</v>
          </cell>
          <cell r="BN512">
            <v>0</v>
          </cell>
          <cell r="BO512">
            <v>0</v>
          </cell>
          <cell r="BP512">
            <v>1752</v>
          </cell>
          <cell r="BQ512">
            <v>0</v>
          </cell>
          <cell r="BR512">
            <v>288</v>
          </cell>
          <cell r="BT512">
            <v>2</v>
          </cell>
          <cell r="BU512">
            <v>1</v>
          </cell>
          <cell r="BV512" t="str">
            <v>N</v>
          </cell>
          <cell r="BW512">
            <v>752.71680000000003</v>
          </cell>
          <cell r="BX512">
            <v>752.71680000000003</v>
          </cell>
          <cell r="BY512">
            <v>2026</v>
          </cell>
          <cell r="BZ512" t="str">
            <v>-</v>
          </cell>
          <cell r="CA512" t="str">
            <v>-</v>
          </cell>
        </row>
        <row r="513">
          <cell r="A513" t="str">
            <v>Noida</v>
          </cell>
          <cell r="B513" t="str">
            <v>Mavericks</v>
          </cell>
          <cell r="C513" t="str">
            <v>Mid Level</v>
          </cell>
          <cell r="D513" t="str">
            <v>Akash Saxena</v>
          </cell>
          <cell r="F513" t="str">
            <v>Non-MSP</v>
          </cell>
          <cell r="H513" t="str">
            <v>Pass through</v>
          </cell>
          <cell r="J513" t="str">
            <v>ACH</v>
          </cell>
          <cell r="L513" t="str">
            <v>New</v>
          </cell>
          <cell r="M513">
            <v>46149</v>
          </cell>
          <cell r="N513">
            <v>53</v>
          </cell>
          <cell r="P513">
            <v>46514</v>
          </cell>
          <cell r="R513" t="str">
            <v>Rakesh Cholleti</v>
          </cell>
          <cell r="S513" t="str">
            <v>Individual</v>
          </cell>
          <cell r="T513" t="str">
            <v>C2C</v>
          </cell>
          <cell r="U513" t="str">
            <v>Citius Tech</v>
          </cell>
          <cell r="V513">
            <v>66</v>
          </cell>
          <cell r="W513">
            <v>0</v>
          </cell>
          <cell r="X513" t="str">
            <v>USD</v>
          </cell>
          <cell r="Y513">
            <v>68</v>
          </cell>
          <cell r="Z513">
            <v>0</v>
          </cell>
          <cell r="AA513">
            <v>0</v>
          </cell>
          <cell r="AB513">
            <v>0</v>
          </cell>
          <cell r="AC513">
            <v>46157</v>
          </cell>
          <cell r="AD513">
            <v>17</v>
          </cell>
          <cell r="AE513">
            <v>46387</v>
          </cell>
          <cell r="AF513">
            <v>66</v>
          </cell>
          <cell r="AG513">
            <v>0</v>
          </cell>
          <cell r="AH513">
            <v>66</v>
          </cell>
          <cell r="AI513">
            <v>68</v>
          </cell>
          <cell r="AJ513">
            <v>0</v>
          </cell>
          <cell r="AK513">
            <v>0</v>
          </cell>
          <cell r="AL513">
            <v>2</v>
          </cell>
          <cell r="AM513">
            <v>0</v>
          </cell>
          <cell r="AN513">
            <v>2</v>
          </cell>
          <cell r="AO513">
            <v>0</v>
          </cell>
          <cell r="AP513">
            <v>2</v>
          </cell>
          <cell r="AU513">
            <v>136</v>
          </cell>
          <cell r="BB513">
            <v>272</v>
          </cell>
          <cell r="BC513">
            <v>0</v>
          </cell>
          <cell r="BD513">
            <v>0</v>
          </cell>
          <cell r="BE513">
            <v>0</v>
          </cell>
          <cell r="BI513">
            <v>0</v>
          </cell>
          <cell r="BK513">
            <v>9248</v>
          </cell>
          <cell r="BL513">
            <v>8976</v>
          </cell>
          <cell r="BM513">
            <v>0</v>
          </cell>
          <cell r="BN513">
            <v>0</v>
          </cell>
          <cell r="BO513">
            <v>0</v>
          </cell>
          <cell r="BP513">
            <v>8976</v>
          </cell>
          <cell r="BQ513">
            <v>0</v>
          </cell>
          <cell r="BR513">
            <v>272</v>
          </cell>
          <cell r="BT513">
            <v>2</v>
          </cell>
          <cell r="BU513">
            <v>2</v>
          </cell>
          <cell r="BV513" t="str">
            <v>N</v>
          </cell>
          <cell r="BW513">
            <v>0</v>
          </cell>
          <cell r="BX513">
            <v>0</v>
          </cell>
          <cell r="BY513">
            <v>2026</v>
          </cell>
          <cell r="BZ513" t="str">
            <v>-</v>
          </cell>
          <cell r="CA513" t="str">
            <v>-</v>
          </cell>
        </row>
        <row r="514">
          <cell r="A514" t="str">
            <v>Lucknow</v>
          </cell>
          <cell r="B514" t="str">
            <v>Mavericks</v>
          </cell>
          <cell r="C514" t="str">
            <v>Mid Level</v>
          </cell>
          <cell r="D514" t="str">
            <v>Mohammad Fakhrul</v>
          </cell>
          <cell r="F514" t="str">
            <v>MSP</v>
          </cell>
          <cell r="H514" t="str">
            <v>Pass Through</v>
          </cell>
          <cell r="J514" t="str">
            <v>ACH</v>
          </cell>
          <cell r="L514" t="str">
            <v>New</v>
          </cell>
          <cell r="M514">
            <v>46162</v>
          </cell>
          <cell r="N514">
            <v>40</v>
          </cell>
          <cell r="P514">
            <v>46527</v>
          </cell>
          <cell r="R514" t="str">
            <v>Ram Babu Emani</v>
          </cell>
          <cell r="S514" t="str">
            <v>Individual</v>
          </cell>
          <cell r="T514" t="str">
            <v>C2C</v>
          </cell>
          <cell r="U514" t="str">
            <v>CoForge</v>
          </cell>
          <cell r="V514">
            <v>73</v>
          </cell>
          <cell r="W514">
            <v>0</v>
          </cell>
          <cell r="X514" t="str">
            <v>USD</v>
          </cell>
          <cell r="Y514">
            <v>74</v>
          </cell>
          <cell r="Z514">
            <v>0</v>
          </cell>
          <cell r="AA514">
            <v>0</v>
          </cell>
          <cell r="AB514">
            <v>0</v>
          </cell>
          <cell r="AC514">
            <v>46157</v>
          </cell>
          <cell r="AD514">
            <v>8</v>
          </cell>
          <cell r="AE514">
            <v>46387</v>
          </cell>
          <cell r="AF514">
            <v>73</v>
          </cell>
          <cell r="AG514">
            <v>0</v>
          </cell>
          <cell r="AH514">
            <v>73</v>
          </cell>
          <cell r="AI514">
            <v>74</v>
          </cell>
          <cell r="AJ514">
            <v>0</v>
          </cell>
          <cell r="AK514">
            <v>0</v>
          </cell>
          <cell r="AL514">
            <v>1</v>
          </cell>
          <cell r="AM514">
            <v>0</v>
          </cell>
          <cell r="AN514">
            <v>1</v>
          </cell>
          <cell r="AO514">
            <v>0</v>
          </cell>
          <cell r="AP514">
            <v>1</v>
          </cell>
          <cell r="AU514">
            <v>64</v>
          </cell>
          <cell r="BB514">
            <v>64</v>
          </cell>
          <cell r="BC514">
            <v>0</v>
          </cell>
          <cell r="BD514">
            <v>0</v>
          </cell>
          <cell r="BE514">
            <v>0</v>
          </cell>
          <cell r="BI514">
            <v>0</v>
          </cell>
          <cell r="BK514">
            <v>4736</v>
          </cell>
          <cell r="BL514">
            <v>4672</v>
          </cell>
          <cell r="BM514">
            <v>0</v>
          </cell>
          <cell r="BN514">
            <v>0</v>
          </cell>
          <cell r="BO514">
            <v>0</v>
          </cell>
          <cell r="BP514">
            <v>4672</v>
          </cell>
          <cell r="BQ514">
            <v>0</v>
          </cell>
          <cell r="BR514">
            <v>64</v>
          </cell>
          <cell r="BT514">
            <v>2</v>
          </cell>
          <cell r="BU514">
            <v>2</v>
          </cell>
          <cell r="BV514" t="str">
            <v>Y</v>
          </cell>
          <cell r="BW514">
            <v>0</v>
          </cell>
          <cell r="BX514">
            <v>0</v>
          </cell>
          <cell r="BY514">
            <v>2026</v>
          </cell>
          <cell r="BZ514" t="str">
            <v>-</v>
          </cell>
          <cell r="CA514" t="str">
            <v>-</v>
          </cell>
        </row>
        <row r="515">
          <cell r="A515" t="str">
            <v>Lucknow</v>
          </cell>
          <cell r="B515" t="str">
            <v>Chennai</v>
          </cell>
          <cell r="C515" t="str">
            <v>Mid Level</v>
          </cell>
          <cell r="D515" t="str">
            <v>Akbar Ibrahim</v>
          </cell>
          <cell r="E515" t="str">
            <v>-</v>
          </cell>
          <cell r="F515" t="str">
            <v>Non-MSP</v>
          </cell>
          <cell r="H515" t="str">
            <v>Sophia R</v>
          </cell>
          <cell r="L515" t="str">
            <v>New</v>
          </cell>
          <cell r="M515">
            <v>46071</v>
          </cell>
          <cell r="N515">
            <v>131</v>
          </cell>
          <cell r="P515">
            <v>46436</v>
          </cell>
          <cell r="Q515" t="str">
            <v>PLC-4706</v>
          </cell>
          <cell r="R515" t="str">
            <v>Ramchander Muddu</v>
          </cell>
          <cell r="S515" t="str">
            <v>Individual</v>
          </cell>
          <cell r="T515" t="str">
            <v>Referral</v>
          </cell>
          <cell r="U515" t="str">
            <v>Altimetrik</v>
          </cell>
          <cell r="V515">
            <v>0</v>
          </cell>
          <cell r="W515">
            <v>0</v>
          </cell>
          <cell r="X515" t="str">
            <v>USD</v>
          </cell>
          <cell r="Y515">
            <v>6</v>
          </cell>
          <cell r="Z515">
            <v>0</v>
          </cell>
          <cell r="AA515">
            <v>0</v>
          </cell>
          <cell r="AB515">
            <v>0</v>
          </cell>
          <cell r="AC515">
            <v>46068</v>
          </cell>
          <cell r="AD515">
            <v>8</v>
          </cell>
          <cell r="AE515">
            <v>46387</v>
          </cell>
          <cell r="AF515">
            <v>0</v>
          </cell>
          <cell r="AG515">
            <v>0</v>
          </cell>
          <cell r="AH515">
            <v>0</v>
          </cell>
          <cell r="AI515">
            <v>6</v>
          </cell>
          <cell r="AJ515">
            <v>0</v>
          </cell>
          <cell r="AK515">
            <v>0</v>
          </cell>
          <cell r="AL515">
            <v>6</v>
          </cell>
          <cell r="AM515">
            <v>0</v>
          </cell>
          <cell r="AN515">
            <v>6</v>
          </cell>
          <cell r="AO515">
            <v>0</v>
          </cell>
          <cell r="AP515">
            <v>6</v>
          </cell>
          <cell r="AQ515" t="str">
            <v>US_27183</v>
          </cell>
          <cell r="AR515">
            <v>0</v>
          </cell>
          <cell r="AS515">
            <v>48</v>
          </cell>
          <cell r="AU515">
            <v>48</v>
          </cell>
          <cell r="AV515">
            <v>0</v>
          </cell>
          <cell r="AW515">
            <v>288</v>
          </cell>
          <cell r="AX515">
            <v>288</v>
          </cell>
          <cell r="AY515">
            <v>0</v>
          </cell>
          <cell r="AZ515">
            <v>288</v>
          </cell>
          <cell r="BA515">
            <v>288</v>
          </cell>
          <cell r="BB515">
            <v>288</v>
          </cell>
          <cell r="BC515">
            <v>66.666666666666657</v>
          </cell>
          <cell r="BD515">
            <v>380.16</v>
          </cell>
          <cell r="BE515">
            <v>380.16</v>
          </cell>
          <cell r="BG515">
            <v>288</v>
          </cell>
          <cell r="BI515">
            <v>288</v>
          </cell>
          <cell r="BJ515">
            <v>288</v>
          </cell>
          <cell r="BK515">
            <v>288</v>
          </cell>
          <cell r="BL515">
            <v>0</v>
          </cell>
          <cell r="BM515">
            <v>0</v>
          </cell>
          <cell r="BN515">
            <v>0</v>
          </cell>
          <cell r="BO515">
            <v>0</v>
          </cell>
          <cell r="BP515">
            <v>0</v>
          </cell>
          <cell r="BQ515">
            <v>0</v>
          </cell>
          <cell r="BR515">
            <v>288</v>
          </cell>
          <cell r="BS515" t="str">
            <v>Y</v>
          </cell>
          <cell r="BT515">
            <v>1</v>
          </cell>
          <cell r="BU515">
            <v>1</v>
          </cell>
          <cell r="BV515" t="str">
            <v>N</v>
          </cell>
          <cell r="BW515">
            <v>760.32</v>
          </cell>
          <cell r="BX515">
            <v>760.32</v>
          </cell>
          <cell r="BY515">
            <v>2026</v>
          </cell>
          <cell r="BZ515" t="str">
            <v>-</v>
          </cell>
          <cell r="CA515" t="str">
            <v>-</v>
          </cell>
        </row>
        <row r="516">
          <cell r="A516" t="str">
            <v>Lucknow</v>
          </cell>
          <cell r="B516" t="str">
            <v>Chennai</v>
          </cell>
          <cell r="C516" t="str">
            <v>Mid Level</v>
          </cell>
          <cell r="D516" t="str">
            <v>Akbar Ibrahim</v>
          </cell>
          <cell r="E516" t="str">
            <v>-</v>
          </cell>
          <cell r="F516" t="str">
            <v>Non-MSP</v>
          </cell>
          <cell r="H516" t="str">
            <v>Sophia R</v>
          </cell>
          <cell r="L516" t="str">
            <v>New</v>
          </cell>
          <cell r="M516">
            <v>46071</v>
          </cell>
          <cell r="N516">
            <v>131</v>
          </cell>
          <cell r="P516">
            <v>46436</v>
          </cell>
          <cell r="Q516" t="str">
            <v>PLC-4706</v>
          </cell>
          <cell r="R516" t="str">
            <v>Ramchander Muddu</v>
          </cell>
          <cell r="S516" t="str">
            <v>Individual</v>
          </cell>
          <cell r="T516" t="str">
            <v>Referral</v>
          </cell>
          <cell r="U516" t="str">
            <v>Altimetrik</v>
          </cell>
          <cell r="V516">
            <v>0</v>
          </cell>
          <cell r="W516">
            <v>0</v>
          </cell>
          <cell r="X516" t="str">
            <v>USD</v>
          </cell>
          <cell r="Y516">
            <v>6</v>
          </cell>
          <cell r="Z516">
            <v>0</v>
          </cell>
          <cell r="AA516">
            <v>0</v>
          </cell>
          <cell r="AB516">
            <v>0</v>
          </cell>
          <cell r="AC516">
            <v>46096</v>
          </cell>
          <cell r="AD516">
            <v>22</v>
          </cell>
          <cell r="AE516">
            <v>46387</v>
          </cell>
          <cell r="AF516">
            <v>0</v>
          </cell>
          <cell r="AG516">
            <v>0</v>
          </cell>
          <cell r="AH516">
            <v>0</v>
          </cell>
          <cell r="AI516">
            <v>6</v>
          </cell>
          <cell r="AJ516">
            <v>0</v>
          </cell>
          <cell r="AK516">
            <v>0</v>
          </cell>
          <cell r="AL516">
            <v>6</v>
          </cell>
          <cell r="AM516">
            <v>0</v>
          </cell>
          <cell r="AN516">
            <v>6</v>
          </cell>
          <cell r="AO516">
            <v>0</v>
          </cell>
          <cell r="AP516">
            <v>6</v>
          </cell>
          <cell r="AQ516" t="str">
            <v>US_27396</v>
          </cell>
          <cell r="AR516">
            <v>0</v>
          </cell>
          <cell r="AS516">
            <v>176</v>
          </cell>
          <cell r="AU516">
            <v>176</v>
          </cell>
          <cell r="AV516">
            <v>0</v>
          </cell>
          <cell r="AW516">
            <v>1056</v>
          </cell>
          <cell r="AX516">
            <v>1056</v>
          </cell>
          <cell r="AY516">
            <v>0</v>
          </cell>
          <cell r="AZ516">
            <v>1056</v>
          </cell>
          <cell r="BA516">
            <v>1056</v>
          </cell>
          <cell r="BB516">
            <v>1056</v>
          </cell>
          <cell r="BC516">
            <v>66.666666666666657</v>
          </cell>
          <cell r="BD516">
            <v>1393.92</v>
          </cell>
          <cell r="BE516">
            <v>1393.92</v>
          </cell>
          <cell r="BG516">
            <v>1056</v>
          </cell>
          <cell r="BI516">
            <v>1056</v>
          </cell>
          <cell r="BJ516">
            <v>1056</v>
          </cell>
          <cell r="BK516">
            <v>1056</v>
          </cell>
          <cell r="BL516">
            <v>0</v>
          </cell>
          <cell r="BM516">
            <v>0</v>
          </cell>
          <cell r="BN516">
            <v>0</v>
          </cell>
          <cell r="BO516">
            <v>0</v>
          </cell>
          <cell r="BP516">
            <v>0</v>
          </cell>
          <cell r="BQ516">
            <v>0</v>
          </cell>
          <cell r="BR516">
            <v>1056</v>
          </cell>
          <cell r="BS516" t="str">
            <v>Y</v>
          </cell>
          <cell r="BT516">
            <v>1</v>
          </cell>
          <cell r="BU516">
            <v>1</v>
          </cell>
          <cell r="BV516" t="str">
            <v>N</v>
          </cell>
          <cell r="BW516">
            <v>2787.84</v>
          </cell>
          <cell r="BX516">
            <v>2787.84</v>
          </cell>
          <cell r="BY516">
            <v>2026</v>
          </cell>
          <cell r="BZ516" t="str">
            <v>-</v>
          </cell>
          <cell r="CA516" t="str">
            <v>-</v>
          </cell>
        </row>
        <row r="517">
          <cell r="A517" t="str">
            <v>Lucknow</v>
          </cell>
          <cell r="B517" t="str">
            <v>Chennai</v>
          </cell>
          <cell r="C517" t="str">
            <v>Mid Level</v>
          </cell>
          <cell r="D517" t="str">
            <v>Akbar Ibrahim</v>
          </cell>
          <cell r="E517" t="str">
            <v>-</v>
          </cell>
          <cell r="F517" t="str">
            <v>Non-MSP</v>
          </cell>
          <cell r="H517" t="str">
            <v>Sophia R</v>
          </cell>
          <cell r="J517" t="str">
            <v>ACH</v>
          </cell>
          <cell r="L517" t="str">
            <v>New</v>
          </cell>
          <cell r="M517">
            <v>46071</v>
          </cell>
          <cell r="N517">
            <v>131</v>
          </cell>
          <cell r="P517">
            <v>46436</v>
          </cell>
          <cell r="Q517" t="str">
            <v>PLC-4706</v>
          </cell>
          <cell r="R517" t="str">
            <v>Ramchander Muddu</v>
          </cell>
          <cell r="S517" t="str">
            <v>Individual</v>
          </cell>
          <cell r="T517" t="str">
            <v>Referral</v>
          </cell>
          <cell r="U517" t="str">
            <v>Altimetrik</v>
          </cell>
          <cell r="V517">
            <v>0</v>
          </cell>
          <cell r="W517">
            <v>0</v>
          </cell>
          <cell r="X517" t="str">
            <v>USD</v>
          </cell>
          <cell r="Y517">
            <v>6</v>
          </cell>
          <cell r="Z517">
            <v>0</v>
          </cell>
          <cell r="AA517">
            <v>0</v>
          </cell>
          <cell r="AB517">
            <v>0</v>
          </cell>
          <cell r="AC517">
            <v>46127</v>
          </cell>
          <cell r="AD517">
            <v>22</v>
          </cell>
          <cell r="AE517">
            <v>46387</v>
          </cell>
          <cell r="AF517">
            <v>0</v>
          </cell>
          <cell r="AG517">
            <v>0</v>
          </cell>
          <cell r="AH517">
            <v>0</v>
          </cell>
          <cell r="AI517">
            <v>6</v>
          </cell>
          <cell r="AJ517">
            <v>0</v>
          </cell>
          <cell r="AK517">
            <v>0</v>
          </cell>
          <cell r="AL517">
            <v>6</v>
          </cell>
          <cell r="AM517">
            <v>0</v>
          </cell>
          <cell r="AN517">
            <v>6</v>
          </cell>
          <cell r="AO517">
            <v>0</v>
          </cell>
          <cell r="AP517">
            <v>6</v>
          </cell>
          <cell r="AQ517" t="str">
            <v>US_27629</v>
          </cell>
          <cell r="AR517">
            <v>0</v>
          </cell>
          <cell r="AS517">
            <v>176</v>
          </cell>
          <cell r="AU517">
            <v>176</v>
          </cell>
          <cell r="AV517">
            <v>0</v>
          </cell>
          <cell r="AW517">
            <v>1056</v>
          </cell>
          <cell r="AX517">
            <v>1045.44</v>
          </cell>
          <cell r="AY517">
            <v>0</v>
          </cell>
          <cell r="AZ517">
            <v>1056</v>
          </cell>
          <cell r="BA517">
            <v>1045.44</v>
          </cell>
          <cell r="BB517">
            <v>1056</v>
          </cell>
          <cell r="BC517">
            <v>66.666666666666657</v>
          </cell>
          <cell r="BD517">
            <v>1379.9808000000003</v>
          </cell>
          <cell r="BE517">
            <v>1379.9808000000003</v>
          </cell>
          <cell r="BG517">
            <v>1045.44</v>
          </cell>
          <cell r="BI517">
            <v>1045.44</v>
          </cell>
          <cell r="BJ517">
            <v>1056</v>
          </cell>
          <cell r="BK517">
            <v>1056</v>
          </cell>
          <cell r="BL517">
            <v>0</v>
          </cell>
          <cell r="BM517">
            <v>0</v>
          </cell>
          <cell r="BN517">
            <v>0</v>
          </cell>
          <cell r="BO517">
            <v>0</v>
          </cell>
          <cell r="BP517">
            <v>0</v>
          </cell>
          <cell r="BQ517">
            <v>0</v>
          </cell>
          <cell r="BR517">
            <v>1056</v>
          </cell>
          <cell r="BS517" t="str">
            <v>Y</v>
          </cell>
          <cell r="BT517">
            <v>2</v>
          </cell>
          <cell r="BU517">
            <v>1</v>
          </cell>
          <cell r="BV517" t="str">
            <v>N</v>
          </cell>
          <cell r="BW517">
            <v>2759.9616000000005</v>
          </cell>
          <cell r="BX517">
            <v>2759.9616000000005</v>
          </cell>
          <cell r="BY517">
            <v>2026</v>
          </cell>
          <cell r="BZ517" t="str">
            <v>-</v>
          </cell>
          <cell r="CA517" t="str">
            <v>-</v>
          </cell>
        </row>
        <row r="518">
          <cell r="A518" t="str">
            <v>Lucknow</v>
          </cell>
          <cell r="B518" t="str">
            <v>Chennai</v>
          </cell>
          <cell r="C518" t="str">
            <v>Mid Level</v>
          </cell>
          <cell r="D518" t="str">
            <v>Akbar Ibrahim</v>
          </cell>
          <cell r="E518" t="str">
            <v>-</v>
          </cell>
          <cell r="F518" t="str">
            <v>Non-MSP</v>
          </cell>
          <cell r="H518" t="str">
            <v>Sophia R</v>
          </cell>
          <cell r="J518" t="str">
            <v>ACH</v>
          </cell>
          <cell r="L518" t="str">
            <v>New</v>
          </cell>
          <cell r="M518">
            <v>46071</v>
          </cell>
          <cell r="N518">
            <v>131</v>
          </cell>
          <cell r="P518">
            <v>46436</v>
          </cell>
          <cell r="Q518" t="str">
            <v>PLC-4706</v>
          </cell>
          <cell r="R518" t="str">
            <v>Ramchander Muddu</v>
          </cell>
          <cell r="S518" t="str">
            <v>Individual</v>
          </cell>
          <cell r="T518" t="str">
            <v>Referral</v>
          </cell>
          <cell r="U518" t="str">
            <v>Altimetrik</v>
          </cell>
          <cell r="V518">
            <v>0</v>
          </cell>
          <cell r="W518">
            <v>0</v>
          </cell>
          <cell r="X518" t="str">
            <v>USD</v>
          </cell>
          <cell r="Y518">
            <v>6</v>
          </cell>
          <cell r="Z518">
            <v>0</v>
          </cell>
          <cell r="AA518">
            <v>0</v>
          </cell>
          <cell r="AB518">
            <v>0</v>
          </cell>
          <cell r="AC518">
            <v>46157</v>
          </cell>
          <cell r="AD518">
            <v>22</v>
          </cell>
          <cell r="AE518">
            <v>46387</v>
          </cell>
          <cell r="AF518">
            <v>0</v>
          </cell>
          <cell r="AG518">
            <v>0</v>
          </cell>
          <cell r="AH518">
            <v>0</v>
          </cell>
          <cell r="AI518">
            <v>6</v>
          </cell>
          <cell r="AJ518">
            <v>0</v>
          </cell>
          <cell r="AK518">
            <v>0</v>
          </cell>
          <cell r="AL518">
            <v>6</v>
          </cell>
          <cell r="AM518">
            <v>0</v>
          </cell>
          <cell r="AN518">
            <v>6</v>
          </cell>
          <cell r="AO518">
            <v>0</v>
          </cell>
          <cell r="AP518">
            <v>6</v>
          </cell>
          <cell r="AQ518" t="str">
            <v>US_27916</v>
          </cell>
          <cell r="AR518">
            <v>0</v>
          </cell>
          <cell r="AS518">
            <v>152</v>
          </cell>
          <cell r="AU518">
            <v>152</v>
          </cell>
          <cell r="AV518">
            <v>0</v>
          </cell>
          <cell r="AW518">
            <v>912</v>
          </cell>
          <cell r="AX518">
            <v>902.88</v>
          </cell>
          <cell r="AY518">
            <v>0</v>
          </cell>
          <cell r="AZ518">
            <v>912</v>
          </cell>
          <cell r="BA518">
            <v>902.88</v>
          </cell>
          <cell r="BB518">
            <v>912</v>
          </cell>
          <cell r="BC518">
            <v>66.666666666666657</v>
          </cell>
          <cell r="BD518">
            <v>1191.8016</v>
          </cell>
          <cell r="BE518">
            <v>1191.8016</v>
          </cell>
          <cell r="BG518">
            <v>902.88</v>
          </cell>
          <cell r="BI518">
            <v>902.88</v>
          </cell>
          <cell r="BJ518">
            <v>912</v>
          </cell>
          <cell r="BK518">
            <v>912</v>
          </cell>
          <cell r="BL518">
            <v>0</v>
          </cell>
          <cell r="BM518">
            <v>0</v>
          </cell>
          <cell r="BN518">
            <v>0</v>
          </cell>
          <cell r="BO518">
            <v>0</v>
          </cell>
          <cell r="BP518">
            <v>0</v>
          </cell>
          <cell r="BQ518">
            <v>0</v>
          </cell>
          <cell r="BR518">
            <v>912</v>
          </cell>
          <cell r="BT518">
            <v>2</v>
          </cell>
          <cell r="BU518">
            <v>1</v>
          </cell>
          <cell r="BV518" t="str">
            <v>N</v>
          </cell>
          <cell r="BW518">
            <v>2383.6032</v>
          </cell>
          <cell r="BX518">
            <v>2383.6032</v>
          </cell>
          <cell r="BY518">
            <v>2026</v>
          </cell>
          <cell r="BZ518" t="str">
            <v>-</v>
          </cell>
          <cell r="CA518" t="str">
            <v>-</v>
          </cell>
        </row>
        <row r="519">
          <cell r="A519" t="str">
            <v>Lucknow</v>
          </cell>
          <cell r="B519" t="str">
            <v>Vantedge</v>
          </cell>
          <cell r="C519" t="str">
            <v>Mid Level</v>
          </cell>
          <cell r="D519" t="str">
            <v>Mayank Saxena</v>
          </cell>
          <cell r="E519" t="str">
            <v>-</v>
          </cell>
          <cell r="F519" t="str">
            <v>Non-MSP</v>
          </cell>
          <cell r="G519" t="str">
            <v>Vinoth L</v>
          </cell>
          <cell r="H519" t="str">
            <v>Dinesh Kumar Veluchamy</v>
          </cell>
          <cell r="L519" t="str">
            <v>New</v>
          </cell>
          <cell r="M519">
            <v>46097</v>
          </cell>
          <cell r="N519">
            <v>105</v>
          </cell>
          <cell r="P519">
            <v>46462</v>
          </cell>
          <cell r="Q519" t="str">
            <v>PLC-4791</v>
          </cell>
          <cell r="R519" t="str">
            <v>Ramesh Bollu</v>
          </cell>
          <cell r="S519" t="str">
            <v>Split</v>
          </cell>
          <cell r="T519" t="str">
            <v>FTE</v>
          </cell>
          <cell r="U519" t="str">
            <v>Tredence</v>
          </cell>
          <cell r="V519">
            <v>0</v>
          </cell>
          <cell r="W519">
            <v>0</v>
          </cell>
          <cell r="X519" t="str">
            <v>USD</v>
          </cell>
          <cell r="Y519">
            <v>13200</v>
          </cell>
          <cell r="Z519">
            <v>0</v>
          </cell>
          <cell r="AA519">
            <v>0</v>
          </cell>
          <cell r="AB519">
            <v>0</v>
          </cell>
          <cell r="AC519">
            <v>46096</v>
          </cell>
          <cell r="AD519">
            <v>1</v>
          </cell>
          <cell r="AE519">
            <v>46387</v>
          </cell>
          <cell r="AF519">
            <v>0</v>
          </cell>
          <cell r="AG519">
            <v>0</v>
          </cell>
          <cell r="AH519">
            <v>0</v>
          </cell>
          <cell r="AI519">
            <v>13200</v>
          </cell>
          <cell r="AJ519">
            <v>0</v>
          </cell>
          <cell r="AK519">
            <v>0</v>
          </cell>
          <cell r="AL519">
            <v>13200</v>
          </cell>
          <cell r="AM519">
            <v>0</v>
          </cell>
          <cell r="AN519">
            <v>6600</v>
          </cell>
          <cell r="AO519">
            <v>0</v>
          </cell>
          <cell r="AP519">
            <v>6600</v>
          </cell>
          <cell r="AQ519" t="str">
            <v>US_27453</v>
          </cell>
          <cell r="AR519">
            <v>0</v>
          </cell>
          <cell r="AS519">
            <v>1</v>
          </cell>
          <cell r="AU519">
            <v>1</v>
          </cell>
          <cell r="AV519">
            <v>0</v>
          </cell>
          <cell r="AW519">
            <v>6600</v>
          </cell>
          <cell r="AX519">
            <v>6600</v>
          </cell>
          <cell r="AY519">
            <v>0</v>
          </cell>
          <cell r="AZ519">
            <v>6600</v>
          </cell>
          <cell r="BA519">
            <v>6600</v>
          </cell>
          <cell r="BB519">
            <v>6600</v>
          </cell>
          <cell r="BC519">
            <v>116.66666666666667</v>
          </cell>
          <cell r="BD519">
            <v>11616</v>
          </cell>
          <cell r="BE519">
            <v>11616</v>
          </cell>
          <cell r="BG519">
            <v>6600</v>
          </cell>
          <cell r="BI519">
            <v>6600</v>
          </cell>
          <cell r="BJ519">
            <v>6600</v>
          </cell>
          <cell r="BK519">
            <v>6600</v>
          </cell>
          <cell r="BL519">
            <v>0</v>
          </cell>
          <cell r="BM519">
            <v>0</v>
          </cell>
          <cell r="BN519">
            <v>0</v>
          </cell>
          <cell r="BO519">
            <v>0</v>
          </cell>
          <cell r="BP519">
            <v>0</v>
          </cell>
          <cell r="BQ519">
            <v>0</v>
          </cell>
          <cell r="BR519">
            <v>6600</v>
          </cell>
          <cell r="BS519" t="str">
            <v>Y</v>
          </cell>
          <cell r="BT519">
            <v>1</v>
          </cell>
          <cell r="BU519">
            <v>1</v>
          </cell>
          <cell r="BV519" t="str">
            <v>Y</v>
          </cell>
          <cell r="BW519">
            <v>23232</v>
          </cell>
          <cell r="BX519">
            <v>23232</v>
          </cell>
          <cell r="BY519">
            <v>2026</v>
          </cell>
          <cell r="BZ519" t="str">
            <v>-</v>
          </cell>
          <cell r="CA519" t="str">
            <v>-</v>
          </cell>
        </row>
        <row r="520">
          <cell r="A520" t="str">
            <v>Lucknow</v>
          </cell>
          <cell r="B520" t="str">
            <v>Chennai</v>
          </cell>
          <cell r="C520" t="str">
            <v>Mid Level</v>
          </cell>
          <cell r="D520" t="str">
            <v>Vinoth L</v>
          </cell>
          <cell r="E520" t="str">
            <v>-</v>
          </cell>
          <cell r="F520" t="str">
            <v>Non-MSP</v>
          </cell>
          <cell r="G520" t="str">
            <v>Mayank Saxena</v>
          </cell>
          <cell r="H520" t="str">
            <v>Dinesh Kumar Veluchamy</v>
          </cell>
          <cell r="L520" t="str">
            <v>New</v>
          </cell>
          <cell r="M520">
            <v>46097</v>
          </cell>
          <cell r="N520">
            <v>105</v>
          </cell>
          <cell r="P520">
            <v>46462</v>
          </cell>
          <cell r="Q520" t="str">
            <v>PLC-4791</v>
          </cell>
          <cell r="R520" t="str">
            <v>Ramesh Bollu</v>
          </cell>
          <cell r="S520" t="str">
            <v>Split</v>
          </cell>
          <cell r="T520" t="str">
            <v>FTE</v>
          </cell>
          <cell r="U520" t="str">
            <v>Tredence</v>
          </cell>
          <cell r="V520">
            <v>0</v>
          </cell>
          <cell r="W520">
            <v>0</v>
          </cell>
          <cell r="X520" t="str">
            <v>USD</v>
          </cell>
          <cell r="Y520">
            <v>13200</v>
          </cell>
          <cell r="Z520">
            <v>0</v>
          </cell>
          <cell r="AA520">
            <v>0</v>
          </cell>
          <cell r="AB520">
            <v>0</v>
          </cell>
          <cell r="AC520">
            <v>46096</v>
          </cell>
          <cell r="AD520">
            <v>1</v>
          </cell>
          <cell r="AE520">
            <v>46387</v>
          </cell>
          <cell r="AF520">
            <v>0</v>
          </cell>
          <cell r="AG520">
            <v>0</v>
          </cell>
          <cell r="AH520">
            <v>0</v>
          </cell>
          <cell r="AI520">
            <v>13200</v>
          </cell>
          <cell r="AJ520">
            <v>0</v>
          </cell>
          <cell r="AK520">
            <v>0</v>
          </cell>
          <cell r="AL520">
            <v>13200</v>
          </cell>
          <cell r="AM520">
            <v>0</v>
          </cell>
          <cell r="AN520">
            <v>6600</v>
          </cell>
          <cell r="AO520">
            <v>0</v>
          </cell>
          <cell r="AP520">
            <v>6600</v>
          </cell>
          <cell r="AQ520" t="str">
            <v>US_27453</v>
          </cell>
          <cell r="AR520">
            <v>0</v>
          </cell>
          <cell r="AS520">
            <v>1</v>
          </cell>
          <cell r="AU520">
            <v>1</v>
          </cell>
          <cell r="AV520">
            <v>0</v>
          </cell>
          <cell r="AW520">
            <v>6600</v>
          </cell>
          <cell r="AX520">
            <v>6600</v>
          </cell>
          <cell r="AY520">
            <v>0</v>
          </cell>
          <cell r="AZ520">
            <v>6600</v>
          </cell>
          <cell r="BA520">
            <v>6600</v>
          </cell>
          <cell r="BB520">
            <v>6600</v>
          </cell>
          <cell r="BC520">
            <v>116.66666666666667</v>
          </cell>
          <cell r="BD520">
            <v>11616</v>
          </cell>
          <cell r="BE520">
            <v>11616</v>
          </cell>
          <cell r="BG520">
            <v>6600</v>
          </cell>
          <cell r="BI520">
            <v>6600</v>
          </cell>
          <cell r="BJ520">
            <v>6600</v>
          </cell>
          <cell r="BK520">
            <v>6600</v>
          </cell>
          <cell r="BL520">
            <v>0</v>
          </cell>
          <cell r="BM520">
            <v>0</v>
          </cell>
          <cell r="BN520">
            <v>0</v>
          </cell>
          <cell r="BO520">
            <v>0</v>
          </cell>
          <cell r="BP520">
            <v>0</v>
          </cell>
          <cell r="BQ520">
            <v>0</v>
          </cell>
          <cell r="BR520">
            <v>6600</v>
          </cell>
          <cell r="BS520" t="str">
            <v>Y</v>
          </cell>
          <cell r="BT520">
            <v>1</v>
          </cell>
          <cell r="BU520">
            <v>1</v>
          </cell>
          <cell r="BV520" t="str">
            <v>Y</v>
          </cell>
          <cell r="BW520">
            <v>23232</v>
          </cell>
          <cell r="BX520">
            <v>23232</v>
          </cell>
          <cell r="BY520">
            <v>2026</v>
          </cell>
          <cell r="BZ520" t="str">
            <v>-</v>
          </cell>
          <cell r="CA520" t="str">
            <v>-</v>
          </cell>
        </row>
        <row r="521">
          <cell r="A521" t="str">
            <v>Lucknow</v>
          </cell>
          <cell r="B521" t="str">
            <v>Mavericks</v>
          </cell>
          <cell r="C521" t="str">
            <v>Mid Level</v>
          </cell>
          <cell r="D521" t="str">
            <v>Rohit Gupta</v>
          </cell>
          <cell r="E521" t="str">
            <v>-</v>
          </cell>
          <cell r="F521" t="str">
            <v>Non-MSP</v>
          </cell>
          <cell r="H521" t="str">
            <v>Ekta Singh</v>
          </cell>
          <cell r="L521" t="str">
            <v>New</v>
          </cell>
          <cell r="M521">
            <v>46093</v>
          </cell>
          <cell r="N521">
            <v>109</v>
          </cell>
          <cell r="P521">
            <v>46458</v>
          </cell>
          <cell r="Q521" t="str">
            <v>PLC-4724</v>
          </cell>
          <cell r="R521" t="str">
            <v>Ramya Sudha Muttavarapu</v>
          </cell>
          <cell r="S521" t="str">
            <v>Individual</v>
          </cell>
          <cell r="T521" t="str">
            <v>C2C</v>
          </cell>
          <cell r="U521" t="str">
            <v>CoForge</v>
          </cell>
          <cell r="V521">
            <v>72</v>
          </cell>
          <cell r="W521">
            <v>0</v>
          </cell>
          <cell r="X521" t="str">
            <v>USD</v>
          </cell>
          <cell r="Y521">
            <v>75</v>
          </cell>
          <cell r="Z521">
            <v>0</v>
          </cell>
          <cell r="AA521">
            <v>0</v>
          </cell>
          <cell r="AB521">
            <v>0</v>
          </cell>
          <cell r="AC521">
            <v>46096</v>
          </cell>
          <cell r="AD521">
            <v>14</v>
          </cell>
          <cell r="AE521">
            <v>46387</v>
          </cell>
          <cell r="AF521">
            <v>72</v>
          </cell>
          <cell r="AG521">
            <v>0</v>
          </cell>
          <cell r="AH521">
            <v>72</v>
          </cell>
          <cell r="AI521">
            <v>75</v>
          </cell>
          <cell r="AJ521">
            <v>0</v>
          </cell>
          <cell r="AK521">
            <v>0</v>
          </cell>
          <cell r="AL521">
            <v>3</v>
          </cell>
          <cell r="AM521">
            <v>0</v>
          </cell>
          <cell r="AN521">
            <v>3</v>
          </cell>
          <cell r="AO521">
            <v>0</v>
          </cell>
          <cell r="AP521">
            <v>3</v>
          </cell>
          <cell r="AQ521" t="str">
            <v>US_27422</v>
          </cell>
          <cell r="AR521">
            <v>0</v>
          </cell>
          <cell r="AS521">
            <v>96</v>
          </cell>
          <cell r="AU521">
            <v>96</v>
          </cell>
          <cell r="AV521">
            <v>0</v>
          </cell>
          <cell r="AW521">
            <v>288</v>
          </cell>
          <cell r="AX521">
            <v>288</v>
          </cell>
          <cell r="AY521">
            <v>0</v>
          </cell>
          <cell r="AZ521">
            <v>288</v>
          </cell>
          <cell r="BA521">
            <v>288</v>
          </cell>
          <cell r="BB521">
            <v>288</v>
          </cell>
          <cell r="BC521">
            <v>0</v>
          </cell>
          <cell r="BD521">
            <v>0</v>
          </cell>
          <cell r="BE521">
            <v>0</v>
          </cell>
          <cell r="BG521">
            <v>288</v>
          </cell>
          <cell r="BI521">
            <v>288</v>
          </cell>
          <cell r="BJ521">
            <v>7200</v>
          </cell>
          <cell r="BK521">
            <v>7200</v>
          </cell>
          <cell r="BL521">
            <v>6912</v>
          </cell>
          <cell r="BM521">
            <v>0</v>
          </cell>
          <cell r="BN521">
            <v>0</v>
          </cell>
          <cell r="BO521">
            <v>0</v>
          </cell>
          <cell r="BP521">
            <v>6912</v>
          </cell>
          <cell r="BQ521">
            <v>0</v>
          </cell>
          <cell r="BR521">
            <v>288</v>
          </cell>
          <cell r="BS521" t="str">
            <v>Y</v>
          </cell>
          <cell r="BT521">
            <v>1</v>
          </cell>
          <cell r="BU521">
            <v>1</v>
          </cell>
          <cell r="BV521" t="str">
            <v>Y</v>
          </cell>
          <cell r="BW521">
            <v>0</v>
          </cell>
          <cell r="BX521">
            <v>0</v>
          </cell>
          <cell r="BY521">
            <v>2026</v>
          </cell>
          <cell r="BZ521" t="str">
            <v>-</v>
          </cell>
          <cell r="CA521" t="str">
            <v>-</v>
          </cell>
        </row>
        <row r="522">
          <cell r="A522" t="str">
            <v>Lucknow</v>
          </cell>
          <cell r="B522" t="str">
            <v>Mavericks</v>
          </cell>
          <cell r="C522" t="str">
            <v>Mid Level</v>
          </cell>
          <cell r="D522" t="str">
            <v>Rohit Gupta</v>
          </cell>
          <cell r="E522" t="str">
            <v>-</v>
          </cell>
          <cell r="F522" t="str">
            <v>Non-MSP</v>
          </cell>
          <cell r="H522" t="str">
            <v>Ekta Singh</v>
          </cell>
          <cell r="J522" t="str">
            <v>ACH</v>
          </cell>
          <cell r="L522" t="str">
            <v>New</v>
          </cell>
          <cell r="M522">
            <v>46093</v>
          </cell>
          <cell r="N522">
            <v>109</v>
          </cell>
          <cell r="P522">
            <v>46458</v>
          </cell>
          <cell r="Q522" t="str">
            <v>PLC-4724</v>
          </cell>
          <cell r="R522" t="str">
            <v>Ramya Sudha Muttavarapu</v>
          </cell>
          <cell r="S522" t="str">
            <v>Individual</v>
          </cell>
          <cell r="T522" t="str">
            <v>C2C</v>
          </cell>
          <cell r="U522" t="str">
            <v>CoForge</v>
          </cell>
          <cell r="V522">
            <v>72</v>
          </cell>
          <cell r="W522">
            <v>0</v>
          </cell>
          <cell r="X522" t="str">
            <v>USD</v>
          </cell>
          <cell r="Y522">
            <v>75</v>
          </cell>
          <cell r="Z522">
            <v>0</v>
          </cell>
          <cell r="AA522">
            <v>0</v>
          </cell>
          <cell r="AB522">
            <v>0</v>
          </cell>
          <cell r="AC522">
            <v>46127</v>
          </cell>
          <cell r="AD522">
            <v>22</v>
          </cell>
          <cell r="AE522">
            <v>46387</v>
          </cell>
          <cell r="AF522">
            <v>72</v>
          </cell>
          <cell r="AG522">
            <v>0</v>
          </cell>
          <cell r="AH522">
            <v>72</v>
          </cell>
          <cell r="AI522">
            <v>75</v>
          </cell>
          <cell r="AJ522">
            <v>0</v>
          </cell>
          <cell r="AK522">
            <v>0</v>
          </cell>
          <cell r="AL522">
            <v>3</v>
          </cell>
          <cell r="AM522">
            <v>0</v>
          </cell>
          <cell r="AN522">
            <v>3</v>
          </cell>
          <cell r="AO522">
            <v>0</v>
          </cell>
          <cell r="AP522">
            <v>3</v>
          </cell>
          <cell r="AQ522" t="str">
            <v>US_27653</v>
          </cell>
          <cell r="AR522">
            <v>0</v>
          </cell>
          <cell r="AS522">
            <v>168</v>
          </cell>
          <cell r="AU522">
            <v>168</v>
          </cell>
          <cell r="AV522">
            <v>0</v>
          </cell>
          <cell r="AW522">
            <v>504</v>
          </cell>
          <cell r="AX522">
            <v>498.96</v>
          </cell>
          <cell r="AY522">
            <v>0</v>
          </cell>
          <cell r="AZ522">
            <v>504</v>
          </cell>
          <cell r="BA522">
            <v>498.96</v>
          </cell>
          <cell r="BB522">
            <v>504</v>
          </cell>
          <cell r="BC522">
            <v>0</v>
          </cell>
          <cell r="BD522">
            <v>0</v>
          </cell>
          <cell r="BE522">
            <v>0</v>
          </cell>
          <cell r="BG522">
            <v>498.96</v>
          </cell>
          <cell r="BI522">
            <v>498.96</v>
          </cell>
          <cell r="BJ522">
            <v>12600</v>
          </cell>
          <cell r="BK522">
            <v>12600</v>
          </cell>
          <cell r="BL522">
            <v>12096</v>
          </cell>
          <cell r="BM522">
            <v>0</v>
          </cell>
          <cell r="BN522">
            <v>0</v>
          </cell>
          <cell r="BO522">
            <v>0</v>
          </cell>
          <cell r="BP522">
            <v>12096</v>
          </cell>
          <cell r="BQ522">
            <v>0</v>
          </cell>
          <cell r="BR522">
            <v>504</v>
          </cell>
          <cell r="BS522" t="str">
            <v>Y</v>
          </cell>
          <cell r="BT522">
            <v>2</v>
          </cell>
          <cell r="BU522">
            <v>1</v>
          </cell>
          <cell r="BV522" t="str">
            <v>N</v>
          </cell>
          <cell r="BW522">
            <v>0</v>
          </cell>
          <cell r="BX522">
            <v>0</v>
          </cell>
          <cell r="BY522">
            <v>2026</v>
          </cell>
          <cell r="BZ522" t="str">
            <v>-</v>
          </cell>
          <cell r="CA522" t="str">
            <v>-</v>
          </cell>
        </row>
        <row r="523">
          <cell r="A523" t="str">
            <v>Lucknow</v>
          </cell>
          <cell r="B523" t="str">
            <v>Mavericks</v>
          </cell>
          <cell r="C523" t="str">
            <v>Mid Level</v>
          </cell>
          <cell r="D523" t="str">
            <v>Rohit Gupta</v>
          </cell>
          <cell r="E523" t="str">
            <v>-</v>
          </cell>
          <cell r="F523" t="str">
            <v>Non-MSP</v>
          </cell>
          <cell r="H523" t="str">
            <v>Ekta Singh</v>
          </cell>
          <cell r="J523" t="str">
            <v>ACH</v>
          </cell>
          <cell r="L523" t="str">
            <v>New</v>
          </cell>
          <cell r="M523">
            <v>46093</v>
          </cell>
          <cell r="N523">
            <v>109</v>
          </cell>
          <cell r="P523">
            <v>46458</v>
          </cell>
          <cell r="Q523" t="str">
            <v>PLC-4724</v>
          </cell>
          <cell r="R523" t="str">
            <v>Ramya Sudha Muttavarapu</v>
          </cell>
          <cell r="S523" t="str">
            <v>Individual</v>
          </cell>
          <cell r="T523" t="str">
            <v>C2C</v>
          </cell>
          <cell r="U523" t="str">
            <v>CoForge</v>
          </cell>
          <cell r="V523">
            <v>72</v>
          </cell>
          <cell r="W523">
            <v>0</v>
          </cell>
          <cell r="X523" t="str">
            <v>USD</v>
          </cell>
          <cell r="Y523">
            <v>75</v>
          </cell>
          <cell r="Z523">
            <v>0</v>
          </cell>
          <cell r="AA523">
            <v>0</v>
          </cell>
          <cell r="AB523">
            <v>0</v>
          </cell>
          <cell r="AC523">
            <v>46157</v>
          </cell>
          <cell r="AD523">
            <v>22</v>
          </cell>
          <cell r="AE523">
            <v>46387</v>
          </cell>
          <cell r="AF523">
            <v>72</v>
          </cell>
          <cell r="AG523">
            <v>0</v>
          </cell>
          <cell r="AH523">
            <v>72</v>
          </cell>
          <cell r="AI523">
            <v>75</v>
          </cell>
          <cell r="AJ523">
            <v>0</v>
          </cell>
          <cell r="AK523">
            <v>0</v>
          </cell>
          <cell r="AL523">
            <v>3</v>
          </cell>
          <cell r="AM523">
            <v>0</v>
          </cell>
          <cell r="AN523">
            <v>3</v>
          </cell>
          <cell r="AO523">
            <v>0</v>
          </cell>
          <cell r="AP523">
            <v>3</v>
          </cell>
          <cell r="AQ523" t="str">
            <v>US_27770</v>
          </cell>
          <cell r="AR523">
            <v>0</v>
          </cell>
          <cell r="AS523">
            <v>160</v>
          </cell>
          <cell r="AU523">
            <v>160</v>
          </cell>
          <cell r="AV523">
            <v>0</v>
          </cell>
          <cell r="AW523">
            <v>480</v>
          </cell>
          <cell r="AX523">
            <v>475.2</v>
          </cell>
          <cell r="AY523">
            <v>0</v>
          </cell>
          <cell r="AZ523">
            <v>480</v>
          </cell>
          <cell r="BA523">
            <v>475.2</v>
          </cell>
          <cell r="BB523">
            <v>480</v>
          </cell>
          <cell r="BC523">
            <v>0</v>
          </cell>
          <cell r="BD523">
            <v>0</v>
          </cell>
          <cell r="BE523">
            <v>0</v>
          </cell>
          <cell r="BG523">
            <v>475.2</v>
          </cell>
          <cell r="BI523">
            <v>475.2</v>
          </cell>
          <cell r="BJ523">
            <v>12000</v>
          </cell>
          <cell r="BK523">
            <v>12000</v>
          </cell>
          <cell r="BL523">
            <v>11520</v>
          </cell>
          <cell r="BM523">
            <v>0</v>
          </cell>
          <cell r="BN523">
            <v>0</v>
          </cell>
          <cell r="BO523">
            <v>0</v>
          </cell>
          <cell r="BP523">
            <v>11520</v>
          </cell>
          <cell r="BQ523">
            <v>0</v>
          </cell>
          <cell r="BR523">
            <v>480</v>
          </cell>
          <cell r="BT523">
            <v>2</v>
          </cell>
          <cell r="BU523">
            <v>1</v>
          </cell>
          <cell r="BV523" t="str">
            <v>N</v>
          </cell>
          <cell r="BW523">
            <v>0</v>
          </cell>
          <cell r="BX523">
            <v>0</v>
          </cell>
          <cell r="BY523">
            <v>2026</v>
          </cell>
          <cell r="BZ523" t="str">
            <v>-</v>
          </cell>
          <cell r="CA523" t="str">
            <v>-</v>
          </cell>
        </row>
        <row r="524">
          <cell r="A524" t="str">
            <v>Lucknow</v>
          </cell>
          <cell r="B524" t="str">
            <v>Trust</v>
          </cell>
          <cell r="C524" t="str">
            <v>Mid Level</v>
          </cell>
          <cell r="D524" t="str">
            <v>Abhinay Singh</v>
          </cell>
          <cell r="E524" t="str">
            <v>-</v>
          </cell>
          <cell r="F524" t="str">
            <v>Non-MSP</v>
          </cell>
          <cell r="H524" t="str">
            <v>Rahul Srivastava</v>
          </cell>
          <cell r="L524" t="str">
            <v>New</v>
          </cell>
          <cell r="M524">
            <v>46050</v>
          </cell>
          <cell r="N524">
            <v>152</v>
          </cell>
          <cell r="P524">
            <v>46415</v>
          </cell>
          <cell r="Q524" t="str">
            <v>PLC-4694</v>
          </cell>
          <cell r="R524" t="str">
            <v>Ravikant Sharma 2</v>
          </cell>
          <cell r="S524" t="str">
            <v>Individual</v>
          </cell>
          <cell r="T524" t="str">
            <v>C2C Canada</v>
          </cell>
          <cell r="U524" t="str">
            <v>Government of Alberta</v>
          </cell>
          <cell r="V524">
            <v>80</v>
          </cell>
          <cell r="W524">
            <v>0</v>
          </cell>
          <cell r="X524" t="str">
            <v>CAD</v>
          </cell>
          <cell r="Y524">
            <v>88.41</v>
          </cell>
          <cell r="Z524">
            <v>0</v>
          </cell>
          <cell r="AA524">
            <v>0</v>
          </cell>
          <cell r="AB524">
            <v>0</v>
          </cell>
          <cell r="AC524">
            <v>46037</v>
          </cell>
          <cell r="AD524">
            <v>19</v>
          </cell>
          <cell r="AE524">
            <v>46387</v>
          </cell>
          <cell r="AF524">
            <v>56.8</v>
          </cell>
          <cell r="AG524">
            <v>0</v>
          </cell>
          <cell r="AH524">
            <v>56.8</v>
          </cell>
          <cell r="AI524">
            <v>62.771099999999997</v>
          </cell>
          <cell r="AJ524">
            <v>0</v>
          </cell>
          <cell r="AK524">
            <v>0</v>
          </cell>
          <cell r="AL524">
            <v>5.9710999999999999</v>
          </cell>
          <cell r="AM524">
            <v>0</v>
          </cell>
          <cell r="AN524">
            <v>5.9710999999999999</v>
          </cell>
          <cell r="AO524">
            <v>0</v>
          </cell>
          <cell r="AP524">
            <v>5.9710999999999999</v>
          </cell>
          <cell r="AQ524" t="str">
            <v>CAD_1883</v>
          </cell>
          <cell r="AR524">
            <v>0</v>
          </cell>
          <cell r="AS524">
            <v>21.75</v>
          </cell>
          <cell r="AU524">
            <v>21.75</v>
          </cell>
          <cell r="AV524">
            <v>0</v>
          </cell>
          <cell r="AW524">
            <v>129.87142499999999</v>
          </cell>
          <cell r="AX524">
            <v>129.87142499999999</v>
          </cell>
          <cell r="AY524">
            <v>0</v>
          </cell>
          <cell r="AZ524">
            <v>129.87142499999999</v>
          </cell>
          <cell r="BA524">
            <v>129.87142499999999</v>
          </cell>
          <cell r="BB524">
            <v>129.87142499999999</v>
          </cell>
          <cell r="BC524">
            <v>0</v>
          </cell>
          <cell r="BD524">
            <v>0</v>
          </cell>
          <cell r="BE524">
            <v>0</v>
          </cell>
          <cell r="BG524">
            <v>129.87142499999999</v>
          </cell>
          <cell r="BI524">
            <v>129.87142499999999</v>
          </cell>
          <cell r="BJ524">
            <v>1922.9175</v>
          </cell>
          <cell r="BK524">
            <v>1365.2714249999999</v>
          </cell>
          <cell r="BL524">
            <v>1289.1659999999999</v>
          </cell>
          <cell r="BM524">
            <v>0</v>
          </cell>
          <cell r="BN524">
            <v>0</v>
          </cell>
          <cell r="BO524">
            <v>0</v>
          </cell>
          <cell r="BP524">
            <v>1289.1659999999999</v>
          </cell>
          <cell r="BQ524">
            <v>0</v>
          </cell>
          <cell r="BR524">
            <v>76.105424999999968</v>
          </cell>
          <cell r="BS524" t="str">
            <v>Y</v>
          </cell>
          <cell r="BT524">
            <v>1</v>
          </cell>
          <cell r="BU524">
            <v>1</v>
          </cell>
          <cell r="BV524" t="str">
            <v>Y</v>
          </cell>
          <cell r="BW524">
            <v>0</v>
          </cell>
          <cell r="BX524">
            <v>0</v>
          </cell>
          <cell r="BY524">
            <v>2026</v>
          </cell>
          <cell r="BZ524" t="str">
            <v>-</v>
          </cell>
          <cell r="CA524" t="str">
            <v>-</v>
          </cell>
        </row>
        <row r="525">
          <cell r="A525" t="str">
            <v>Lucknow</v>
          </cell>
          <cell r="B525" t="str">
            <v>Trust</v>
          </cell>
          <cell r="C525" t="str">
            <v>Mid Level</v>
          </cell>
          <cell r="D525" t="str">
            <v>Abhinay Singh</v>
          </cell>
          <cell r="E525" t="str">
            <v>-</v>
          </cell>
          <cell r="F525" t="str">
            <v>Non-MSP</v>
          </cell>
          <cell r="H525" t="str">
            <v>Rahul Srivastava</v>
          </cell>
          <cell r="L525" t="str">
            <v>New</v>
          </cell>
          <cell r="M525">
            <v>46050</v>
          </cell>
          <cell r="N525">
            <v>152</v>
          </cell>
          <cell r="P525">
            <v>46415</v>
          </cell>
          <cell r="Q525" t="str">
            <v>PLC-4694</v>
          </cell>
          <cell r="R525" t="str">
            <v>Ravikant Sharma 2</v>
          </cell>
          <cell r="S525" t="str">
            <v>Individual</v>
          </cell>
          <cell r="T525" t="str">
            <v>C2C Canada</v>
          </cell>
          <cell r="U525" t="str">
            <v>Government of Alberta</v>
          </cell>
          <cell r="V525">
            <v>80</v>
          </cell>
          <cell r="W525">
            <v>0</v>
          </cell>
          <cell r="X525" t="str">
            <v>CAD</v>
          </cell>
          <cell r="Y525">
            <v>88.41</v>
          </cell>
          <cell r="Z525">
            <v>0</v>
          </cell>
          <cell r="AA525">
            <v>0</v>
          </cell>
          <cell r="AB525">
            <v>0</v>
          </cell>
          <cell r="AC525">
            <v>46068</v>
          </cell>
          <cell r="AD525">
            <v>19</v>
          </cell>
          <cell r="AE525">
            <v>46387</v>
          </cell>
          <cell r="AF525">
            <v>56.8</v>
          </cell>
          <cell r="AG525">
            <v>0</v>
          </cell>
          <cell r="AH525">
            <v>56.8</v>
          </cell>
          <cell r="AI525">
            <v>62.771099999999997</v>
          </cell>
          <cell r="AJ525">
            <v>0</v>
          </cell>
          <cell r="AK525">
            <v>0</v>
          </cell>
          <cell r="AL525">
            <v>5.9710999999999999</v>
          </cell>
          <cell r="AM525">
            <v>0</v>
          </cell>
          <cell r="AN525">
            <v>5.9710999999999999</v>
          </cell>
          <cell r="AO525">
            <v>0</v>
          </cell>
          <cell r="AP525">
            <v>5.9710999999999999</v>
          </cell>
          <cell r="AQ525" t="str">
            <v>CAD_1957</v>
          </cell>
          <cell r="AR525">
            <v>0</v>
          </cell>
          <cell r="AS525">
            <v>137.75</v>
          </cell>
          <cell r="AU525">
            <v>137.75</v>
          </cell>
          <cell r="AV525">
            <v>0</v>
          </cell>
          <cell r="AW525">
            <v>822.51902499999994</v>
          </cell>
          <cell r="AX525">
            <v>822.51902499999994</v>
          </cell>
          <cell r="AY525">
            <v>0</v>
          </cell>
          <cell r="AZ525">
            <v>822.51902499999994</v>
          </cell>
          <cell r="BA525">
            <v>822.51902499999994</v>
          </cell>
          <cell r="BB525">
            <v>822.51902499999994</v>
          </cell>
          <cell r="BC525">
            <v>0</v>
          </cell>
          <cell r="BD525">
            <v>0</v>
          </cell>
          <cell r="BE525">
            <v>0</v>
          </cell>
          <cell r="BG525">
            <v>822.51902499999994</v>
          </cell>
          <cell r="BI525">
            <v>822.51902499999994</v>
          </cell>
          <cell r="BJ525">
            <v>12178.477499999999</v>
          </cell>
          <cell r="BK525">
            <v>8646.7190250000003</v>
          </cell>
          <cell r="BL525">
            <v>8164.7179999999998</v>
          </cell>
          <cell r="BM525">
            <v>0</v>
          </cell>
          <cell r="BN525">
            <v>0</v>
          </cell>
          <cell r="BO525">
            <v>0</v>
          </cell>
          <cell r="BP525">
            <v>8164.7179999999998</v>
          </cell>
          <cell r="BQ525">
            <v>0</v>
          </cell>
          <cell r="BR525">
            <v>482.00102500000048</v>
          </cell>
          <cell r="BS525" t="str">
            <v>Y</v>
          </cell>
          <cell r="BT525">
            <v>1</v>
          </cell>
          <cell r="BU525">
            <v>1</v>
          </cell>
          <cell r="BV525" t="str">
            <v>Y</v>
          </cell>
          <cell r="BW525">
            <v>0</v>
          </cell>
          <cell r="BX525">
            <v>0</v>
          </cell>
          <cell r="BY525">
            <v>2026</v>
          </cell>
          <cell r="BZ525" t="str">
            <v>-</v>
          </cell>
          <cell r="CA525" t="str">
            <v>-</v>
          </cell>
        </row>
        <row r="526">
          <cell r="A526" t="str">
            <v>Lucknow</v>
          </cell>
          <cell r="B526" t="str">
            <v>Trust</v>
          </cell>
          <cell r="C526" t="str">
            <v>Mid Level</v>
          </cell>
          <cell r="D526" t="str">
            <v>Abhinay Singh</v>
          </cell>
          <cell r="E526" t="str">
            <v>-</v>
          </cell>
          <cell r="F526" t="str">
            <v>Non-MSP</v>
          </cell>
          <cell r="H526" t="str">
            <v>Rahul Srivastava</v>
          </cell>
          <cell r="L526" t="str">
            <v>New</v>
          </cell>
          <cell r="M526">
            <v>46050</v>
          </cell>
          <cell r="N526">
            <v>152</v>
          </cell>
          <cell r="P526">
            <v>46415</v>
          </cell>
          <cell r="Q526" t="str">
            <v>PLC-4694</v>
          </cell>
          <cell r="R526" t="str">
            <v>Ravikant Sharma 2</v>
          </cell>
          <cell r="S526" t="str">
            <v>Individual</v>
          </cell>
          <cell r="T526" t="str">
            <v>C2C Canada</v>
          </cell>
          <cell r="U526" t="str">
            <v>Government of Alberta</v>
          </cell>
          <cell r="V526">
            <v>80</v>
          </cell>
          <cell r="W526">
            <v>0</v>
          </cell>
          <cell r="X526" t="str">
            <v>CAD</v>
          </cell>
          <cell r="Y526">
            <v>88.41</v>
          </cell>
          <cell r="Z526">
            <v>0</v>
          </cell>
          <cell r="AA526">
            <v>0</v>
          </cell>
          <cell r="AB526">
            <v>0</v>
          </cell>
          <cell r="AC526">
            <v>46096</v>
          </cell>
          <cell r="AD526">
            <v>22</v>
          </cell>
          <cell r="AE526">
            <v>46387</v>
          </cell>
          <cell r="AF526">
            <v>56.8</v>
          </cell>
          <cell r="AG526">
            <v>0</v>
          </cell>
          <cell r="AH526">
            <v>56.8</v>
          </cell>
          <cell r="AI526">
            <v>62.771099999999997</v>
          </cell>
          <cell r="AJ526">
            <v>0</v>
          </cell>
          <cell r="AK526">
            <v>0</v>
          </cell>
          <cell r="AL526">
            <v>5.9710999999999999</v>
          </cell>
          <cell r="AM526">
            <v>0</v>
          </cell>
          <cell r="AN526">
            <v>5.9710999999999999</v>
          </cell>
          <cell r="AO526">
            <v>0</v>
          </cell>
          <cell r="AP526">
            <v>5.9710999999999999</v>
          </cell>
          <cell r="AQ526" t="str">
            <v>CAD_2016</v>
          </cell>
          <cell r="AR526">
            <v>0</v>
          </cell>
          <cell r="AS526">
            <v>159.5</v>
          </cell>
          <cell r="AU526">
            <v>159.5</v>
          </cell>
          <cell r="AV526">
            <v>0</v>
          </cell>
          <cell r="AW526">
            <v>952.39044999999999</v>
          </cell>
          <cell r="AX526">
            <v>952.39044999999999</v>
          </cell>
          <cell r="AY526">
            <v>0</v>
          </cell>
          <cell r="AZ526">
            <v>952.39044999999999</v>
          </cell>
          <cell r="BA526">
            <v>952.39044999999999</v>
          </cell>
          <cell r="BB526">
            <v>952.39044999999999</v>
          </cell>
          <cell r="BC526">
            <v>0</v>
          </cell>
          <cell r="BD526">
            <v>0</v>
          </cell>
          <cell r="BE526">
            <v>0</v>
          </cell>
          <cell r="BG526">
            <v>952.39044999999999</v>
          </cell>
          <cell r="BI526">
            <v>952.39044999999999</v>
          </cell>
          <cell r="BJ526">
            <v>14101.394999999999</v>
          </cell>
          <cell r="BK526">
            <v>10011.990449999999</v>
          </cell>
          <cell r="BL526">
            <v>9453.884</v>
          </cell>
          <cell r="BM526">
            <v>0</v>
          </cell>
          <cell r="BN526">
            <v>0</v>
          </cell>
          <cell r="BO526">
            <v>0</v>
          </cell>
          <cell r="BP526">
            <v>9453.884</v>
          </cell>
          <cell r="BQ526">
            <v>0</v>
          </cell>
          <cell r="BR526">
            <v>558.10644999999931</v>
          </cell>
          <cell r="BS526" t="str">
            <v>Y</v>
          </cell>
          <cell r="BT526">
            <v>1</v>
          </cell>
          <cell r="BU526">
            <v>1</v>
          </cell>
          <cell r="BV526" t="str">
            <v>Y</v>
          </cell>
          <cell r="BW526">
            <v>0</v>
          </cell>
          <cell r="BX526">
            <v>0</v>
          </cell>
          <cell r="BY526">
            <v>2026</v>
          </cell>
          <cell r="BZ526" t="str">
            <v>-</v>
          </cell>
          <cell r="CA526" t="str">
            <v>-</v>
          </cell>
        </row>
        <row r="527">
          <cell r="A527" t="str">
            <v>Lucknow</v>
          </cell>
          <cell r="B527" t="str">
            <v>Trust</v>
          </cell>
          <cell r="C527" t="str">
            <v>Mid Level</v>
          </cell>
          <cell r="D527" t="str">
            <v>Abhinay Singh</v>
          </cell>
          <cell r="E527" t="str">
            <v>-</v>
          </cell>
          <cell r="F527" t="str">
            <v>Non-MSP</v>
          </cell>
          <cell r="H527" t="str">
            <v>Rahul Srivastava</v>
          </cell>
          <cell r="J527" t="str">
            <v>ACH</v>
          </cell>
          <cell r="L527" t="str">
            <v>New</v>
          </cell>
          <cell r="M527">
            <v>46050</v>
          </cell>
          <cell r="N527">
            <v>152</v>
          </cell>
          <cell r="P527">
            <v>46415</v>
          </cell>
          <cell r="Q527" t="str">
            <v>PLC-4694</v>
          </cell>
          <cell r="R527" t="str">
            <v>Ravikant Sharma 2</v>
          </cell>
          <cell r="S527" t="str">
            <v>Individual</v>
          </cell>
          <cell r="T527" t="str">
            <v>C2C Canada</v>
          </cell>
          <cell r="U527" t="str">
            <v>Government of Alberta</v>
          </cell>
          <cell r="V527">
            <v>80</v>
          </cell>
          <cell r="W527">
            <v>0</v>
          </cell>
          <cell r="X527" t="str">
            <v>CAD</v>
          </cell>
          <cell r="Y527">
            <v>88.41</v>
          </cell>
          <cell r="Z527">
            <v>0</v>
          </cell>
          <cell r="AA527">
            <v>0</v>
          </cell>
          <cell r="AB527">
            <v>0</v>
          </cell>
          <cell r="AC527">
            <v>46127</v>
          </cell>
          <cell r="AD527">
            <v>22</v>
          </cell>
          <cell r="AE527">
            <v>46387</v>
          </cell>
          <cell r="AF527">
            <v>56.8</v>
          </cell>
          <cell r="AG527">
            <v>0</v>
          </cell>
          <cell r="AH527">
            <v>56.8</v>
          </cell>
          <cell r="AI527">
            <v>62.771099999999997</v>
          </cell>
          <cell r="AJ527">
            <v>0</v>
          </cell>
          <cell r="AK527">
            <v>0</v>
          </cell>
          <cell r="AL527">
            <v>5.9710999999999999</v>
          </cell>
          <cell r="AM527">
            <v>0</v>
          </cell>
          <cell r="AN527">
            <v>5.9710999999999999</v>
          </cell>
          <cell r="AO527">
            <v>0</v>
          </cell>
          <cell r="AP527">
            <v>5.9710999999999999</v>
          </cell>
          <cell r="AQ527" t="str">
            <v>CAD_2099</v>
          </cell>
          <cell r="AR527">
            <v>0</v>
          </cell>
          <cell r="AS527">
            <v>145</v>
          </cell>
          <cell r="AU527">
            <v>145</v>
          </cell>
          <cell r="AV527">
            <v>0</v>
          </cell>
          <cell r="AW527">
            <v>865.80949999999996</v>
          </cell>
          <cell r="AX527">
            <v>857.15140499999995</v>
          </cell>
          <cell r="AY527">
            <v>0</v>
          </cell>
          <cell r="AZ527">
            <v>865.80949999999996</v>
          </cell>
          <cell r="BA527">
            <v>857.15140499999995</v>
          </cell>
          <cell r="BB527">
            <v>865.80949999999996</v>
          </cell>
          <cell r="BC527">
            <v>0</v>
          </cell>
          <cell r="BD527">
            <v>0</v>
          </cell>
          <cell r="BE527">
            <v>0</v>
          </cell>
          <cell r="BG527">
            <v>857.15140499999995</v>
          </cell>
          <cell r="BI527">
            <v>857.15140499999995</v>
          </cell>
          <cell r="BJ527">
            <v>12819.449999999999</v>
          </cell>
          <cell r="BK527">
            <v>9101.8094999999994</v>
          </cell>
          <cell r="BL527">
            <v>8594.44</v>
          </cell>
          <cell r="BM527">
            <v>0</v>
          </cell>
          <cell r="BN527">
            <v>0</v>
          </cell>
          <cell r="BO527">
            <v>0</v>
          </cell>
          <cell r="BP527">
            <v>8594.44</v>
          </cell>
          <cell r="BQ527">
            <v>0</v>
          </cell>
          <cell r="BR527">
            <v>507.36949999999888</v>
          </cell>
          <cell r="BS527" t="str">
            <v>Y</v>
          </cell>
          <cell r="BT527">
            <v>2</v>
          </cell>
          <cell r="BU527">
            <v>1</v>
          </cell>
          <cell r="BV527" t="str">
            <v>Y</v>
          </cell>
          <cell r="BW527">
            <v>0</v>
          </cell>
          <cell r="BX527">
            <v>0</v>
          </cell>
          <cell r="BY527">
            <v>2026</v>
          </cell>
          <cell r="BZ527" t="str">
            <v>-</v>
          </cell>
          <cell r="CA527" t="str">
            <v>-</v>
          </cell>
        </row>
        <row r="528">
          <cell r="A528" t="str">
            <v>Lucknow</v>
          </cell>
          <cell r="B528" t="str">
            <v>Trust</v>
          </cell>
          <cell r="C528" t="str">
            <v>Mid Level</v>
          </cell>
          <cell r="D528" t="str">
            <v>Abhinay Singh</v>
          </cell>
          <cell r="E528" t="str">
            <v>-</v>
          </cell>
          <cell r="F528" t="str">
            <v>Non-MSP</v>
          </cell>
          <cell r="H528" t="str">
            <v>Rahul Srivastava</v>
          </cell>
          <cell r="J528" t="str">
            <v>ACH</v>
          </cell>
          <cell r="L528" t="str">
            <v>New</v>
          </cell>
          <cell r="M528">
            <v>46050</v>
          </cell>
          <cell r="N528">
            <v>152</v>
          </cell>
          <cell r="P528">
            <v>46415</v>
          </cell>
          <cell r="Q528" t="str">
            <v>PLC-4694</v>
          </cell>
          <cell r="R528" t="str">
            <v>Ravikant Sharma 2</v>
          </cell>
          <cell r="S528" t="str">
            <v>Individual</v>
          </cell>
          <cell r="T528" t="str">
            <v>C2C Canada</v>
          </cell>
          <cell r="U528" t="str">
            <v>Government of Alberta</v>
          </cell>
          <cell r="V528">
            <v>80</v>
          </cell>
          <cell r="W528">
            <v>0</v>
          </cell>
          <cell r="X528" t="str">
            <v>CAD</v>
          </cell>
          <cell r="Y528">
            <v>88.41</v>
          </cell>
          <cell r="Z528">
            <v>0</v>
          </cell>
          <cell r="AA528">
            <v>0</v>
          </cell>
          <cell r="AB528">
            <v>0</v>
          </cell>
          <cell r="AC528">
            <v>46157</v>
          </cell>
          <cell r="AD528">
            <v>22</v>
          </cell>
          <cell r="AE528">
            <v>46387</v>
          </cell>
          <cell r="AF528">
            <v>56.8</v>
          </cell>
          <cell r="AG528">
            <v>0</v>
          </cell>
          <cell r="AH528">
            <v>56.8</v>
          </cell>
          <cell r="AI528">
            <v>62.771099999999997</v>
          </cell>
          <cell r="AJ528">
            <v>0</v>
          </cell>
          <cell r="AK528">
            <v>0</v>
          </cell>
          <cell r="AL528">
            <v>5.9710999999999999</v>
          </cell>
          <cell r="AM528">
            <v>0</v>
          </cell>
          <cell r="AN528">
            <v>5.9710999999999999</v>
          </cell>
          <cell r="AO528">
            <v>0</v>
          </cell>
          <cell r="AP528">
            <v>5.9710999999999999</v>
          </cell>
          <cell r="AQ528" t="str">
            <v>CAD_2165</v>
          </cell>
          <cell r="AR528">
            <v>0</v>
          </cell>
          <cell r="AS528">
            <v>145</v>
          </cell>
          <cell r="AU528">
            <v>145</v>
          </cell>
          <cell r="AV528">
            <v>0</v>
          </cell>
          <cell r="AW528">
            <v>865.80949999999996</v>
          </cell>
          <cell r="AX528">
            <v>857.15140499999995</v>
          </cell>
          <cell r="AY528">
            <v>0</v>
          </cell>
          <cell r="AZ528">
            <v>865.80949999999996</v>
          </cell>
          <cell r="BA528">
            <v>857.15140499999995</v>
          </cell>
          <cell r="BB528">
            <v>865.80949999999996</v>
          </cell>
          <cell r="BC528">
            <v>0</v>
          </cell>
          <cell r="BD528">
            <v>0</v>
          </cell>
          <cell r="BE528">
            <v>0</v>
          </cell>
          <cell r="BG528">
            <v>857.15140499999995</v>
          </cell>
          <cell r="BI528">
            <v>857.15140499999995</v>
          </cell>
          <cell r="BJ528">
            <v>12819.449999999999</v>
          </cell>
          <cell r="BK528">
            <v>9101.8094999999994</v>
          </cell>
          <cell r="BL528">
            <v>8594.44</v>
          </cell>
          <cell r="BM528">
            <v>0</v>
          </cell>
          <cell r="BN528">
            <v>0</v>
          </cell>
          <cell r="BO528">
            <v>0</v>
          </cell>
          <cell r="BP528">
            <v>8594.44</v>
          </cell>
          <cell r="BQ528">
            <v>0</v>
          </cell>
          <cell r="BR528">
            <v>507.36949999999888</v>
          </cell>
          <cell r="BT528">
            <v>2</v>
          </cell>
          <cell r="BU528">
            <v>1</v>
          </cell>
          <cell r="BV528" t="str">
            <v>Y</v>
          </cell>
          <cell r="BW528">
            <v>0</v>
          </cell>
          <cell r="BX528">
            <v>0</v>
          </cell>
          <cell r="BY528">
            <v>2026</v>
          </cell>
          <cell r="BZ528" t="str">
            <v>-</v>
          </cell>
          <cell r="CA528" t="str">
            <v>-</v>
          </cell>
        </row>
        <row r="529">
          <cell r="A529" t="str">
            <v>Lucknow</v>
          </cell>
          <cell r="B529" t="str">
            <v>Mavericks</v>
          </cell>
          <cell r="C529" t="str">
            <v>Mid Level</v>
          </cell>
          <cell r="D529" t="str">
            <v>Mohammad Fakhrul</v>
          </cell>
          <cell r="E529" t="str">
            <v>-</v>
          </cell>
          <cell r="F529" t="str">
            <v>MSP</v>
          </cell>
          <cell r="H529" t="str">
            <v>Pass Through/MSP</v>
          </cell>
          <cell r="L529" t="str">
            <v>New</v>
          </cell>
          <cell r="M529">
            <v>46083</v>
          </cell>
          <cell r="N529">
            <v>119</v>
          </cell>
          <cell r="P529">
            <v>46448</v>
          </cell>
          <cell r="Q529" t="str">
            <v>PLC-Passthrough</v>
          </cell>
          <cell r="R529" t="str">
            <v>Ravindar Reddy Padigapati</v>
          </cell>
          <cell r="S529" t="str">
            <v>Individual</v>
          </cell>
          <cell r="T529" t="str">
            <v>C2C</v>
          </cell>
          <cell r="U529" t="str">
            <v>CoForge</v>
          </cell>
          <cell r="V529">
            <v>65</v>
          </cell>
          <cell r="W529">
            <v>0</v>
          </cell>
          <cell r="X529" t="str">
            <v>USD</v>
          </cell>
          <cell r="Y529">
            <v>66</v>
          </cell>
          <cell r="Z529">
            <v>0</v>
          </cell>
          <cell r="AA529">
            <v>0</v>
          </cell>
          <cell r="AB529">
            <v>0</v>
          </cell>
          <cell r="AC529">
            <v>46096</v>
          </cell>
          <cell r="AD529">
            <v>22</v>
          </cell>
          <cell r="AE529">
            <v>46387</v>
          </cell>
          <cell r="AF529">
            <v>65</v>
          </cell>
          <cell r="AG529">
            <v>0</v>
          </cell>
          <cell r="AH529">
            <v>65</v>
          </cell>
          <cell r="AI529">
            <v>66</v>
          </cell>
          <cell r="AJ529">
            <v>0</v>
          </cell>
          <cell r="AK529">
            <v>0</v>
          </cell>
          <cell r="AL529">
            <v>1</v>
          </cell>
          <cell r="AM529">
            <v>0</v>
          </cell>
          <cell r="AN529">
            <v>1</v>
          </cell>
          <cell r="AO529">
            <v>0</v>
          </cell>
          <cell r="AP529">
            <v>1</v>
          </cell>
          <cell r="AQ529" t="str">
            <v>US_CMSP_00558</v>
          </cell>
          <cell r="AR529">
            <v>0</v>
          </cell>
          <cell r="AS529">
            <v>176</v>
          </cell>
          <cell r="AU529">
            <v>176</v>
          </cell>
          <cell r="AV529">
            <v>0</v>
          </cell>
          <cell r="AW529">
            <v>176</v>
          </cell>
          <cell r="AX529">
            <v>176</v>
          </cell>
          <cell r="AY529">
            <v>0</v>
          </cell>
          <cell r="AZ529">
            <v>176</v>
          </cell>
          <cell r="BA529">
            <v>176</v>
          </cell>
          <cell r="BB529">
            <v>176</v>
          </cell>
          <cell r="BC529">
            <v>0</v>
          </cell>
          <cell r="BD529">
            <v>0</v>
          </cell>
          <cell r="BE529">
            <v>0</v>
          </cell>
          <cell r="BG529">
            <v>176</v>
          </cell>
          <cell r="BI529">
            <v>176</v>
          </cell>
          <cell r="BJ529">
            <v>11616</v>
          </cell>
          <cell r="BK529">
            <v>11616</v>
          </cell>
          <cell r="BL529">
            <v>11440</v>
          </cell>
          <cell r="BM529">
            <v>0</v>
          </cell>
          <cell r="BN529">
            <v>0</v>
          </cell>
          <cell r="BO529">
            <v>0</v>
          </cell>
          <cell r="BP529">
            <v>11440</v>
          </cell>
          <cell r="BQ529">
            <v>0</v>
          </cell>
          <cell r="BR529">
            <v>176</v>
          </cell>
          <cell r="BT529">
            <v>1</v>
          </cell>
          <cell r="BU529">
            <v>1</v>
          </cell>
          <cell r="BV529" t="str">
            <v>N</v>
          </cell>
          <cell r="BW529">
            <v>0</v>
          </cell>
          <cell r="BX529">
            <v>0</v>
          </cell>
          <cell r="BY529">
            <v>2026</v>
          </cell>
          <cell r="BZ529" t="str">
            <v>-</v>
          </cell>
          <cell r="CA529" t="str">
            <v>-</v>
          </cell>
        </row>
        <row r="530">
          <cell r="A530" t="str">
            <v>Lucknow</v>
          </cell>
          <cell r="B530" t="str">
            <v>Mavericks</v>
          </cell>
          <cell r="C530" t="str">
            <v>Mid Level</v>
          </cell>
          <cell r="D530" t="str">
            <v>Mohammad Fakhrul</v>
          </cell>
          <cell r="E530" t="str">
            <v>-</v>
          </cell>
          <cell r="F530" t="str">
            <v>MSP</v>
          </cell>
          <cell r="H530" t="str">
            <v>Pass Through/MSP</v>
          </cell>
          <cell r="J530" t="str">
            <v>ACH</v>
          </cell>
          <cell r="L530" t="str">
            <v>New</v>
          </cell>
          <cell r="M530">
            <v>46083</v>
          </cell>
          <cell r="N530">
            <v>119</v>
          </cell>
          <cell r="P530">
            <v>46448</v>
          </cell>
          <cell r="Q530" t="str">
            <v>PLC-Passthrough</v>
          </cell>
          <cell r="R530" t="str">
            <v>Ravindar Reddy Padigapati</v>
          </cell>
          <cell r="S530" t="str">
            <v>Individual</v>
          </cell>
          <cell r="T530" t="str">
            <v>C2C</v>
          </cell>
          <cell r="U530" t="str">
            <v>CoForge</v>
          </cell>
          <cell r="V530">
            <v>65</v>
          </cell>
          <cell r="W530">
            <v>0</v>
          </cell>
          <cell r="X530" t="str">
            <v>USD</v>
          </cell>
          <cell r="Y530">
            <v>66</v>
          </cell>
          <cell r="Z530">
            <v>0</v>
          </cell>
          <cell r="AA530">
            <v>0</v>
          </cell>
          <cell r="AB530">
            <v>0</v>
          </cell>
          <cell r="AC530">
            <v>46127</v>
          </cell>
          <cell r="AD530">
            <v>22</v>
          </cell>
          <cell r="AE530">
            <v>46387</v>
          </cell>
          <cell r="AF530">
            <v>65</v>
          </cell>
          <cell r="AG530">
            <v>0</v>
          </cell>
          <cell r="AH530">
            <v>65</v>
          </cell>
          <cell r="AI530">
            <v>66</v>
          </cell>
          <cell r="AJ530">
            <v>0</v>
          </cell>
          <cell r="AK530">
            <v>0</v>
          </cell>
          <cell r="AL530">
            <v>1</v>
          </cell>
          <cell r="AM530">
            <v>0</v>
          </cell>
          <cell r="AN530">
            <v>1</v>
          </cell>
          <cell r="AO530">
            <v>0</v>
          </cell>
          <cell r="AP530">
            <v>1</v>
          </cell>
          <cell r="AQ530" t="str">
            <v>US_CMSP_00703</v>
          </cell>
          <cell r="AR530">
            <v>0</v>
          </cell>
          <cell r="AS530">
            <v>176</v>
          </cell>
          <cell r="AU530">
            <v>176</v>
          </cell>
          <cell r="AV530">
            <v>0</v>
          </cell>
          <cell r="AW530">
            <v>176</v>
          </cell>
          <cell r="AX530">
            <v>174.24</v>
          </cell>
          <cell r="AY530">
            <v>0</v>
          </cell>
          <cell r="AZ530">
            <v>176</v>
          </cell>
          <cell r="BA530">
            <v>174.24</v>
          </cell>
          <cell r="BB530">
            <v>176</v>
          </cell>
          <cell r="BC530">
            <v>0</v>
          </cell>
          <cell r="BD530">
            <v>0</v>
          </cell>
          <cell r="BE530">
            <v>0</v>
          </cell>
          <cell r="BG530">
            <v>174.24</v>
          </cell>
          <cell r="BI530">
            <v>174.24</v>
          </cell>
          <cell r="BJ530">
            <v>11616</v>
          </cell>
          <cell r="BK530">
            <v>11616</v>
          </cell>
          <cell r="BL530">
            <v>11440</v>
          </cell>
          <cell r="BM530">
            <v>0</v>
          </cell>
          <cell r="BN530">
            <v>0</v>
          </cell>
          <cell r="BO530">
            <v>0</v>
          </cell>
          <cell r="BP530">
            <v>11440</v>
          </cell>
          <cell r="BQ530">
            <v>0</v>
          </cell>
          <cell r="BR530">
            <v>176</v>
          </cell>
          <cell r="BT530">
            <v>2</v>
          </cell>
          <cell r="BU530">
            <v>1</v>
          </cell>
          <cell r="BV530" t="str">
            <v>N</v>
          </cell>
          <cell r="BW530">
            <v>0</v>
          </cell>
          <cell r="BX530">
            <v>0</v>
          </cell>
          <cell r="BY530">
            <v>2026</v>
          </cell>
          <cell r="BZ530" t="str">
            <v>-</v>
          </cell>
          <cell r="CA530" t="str">
            <v>-</v>
          </cell>
        </row>
        <row r="531">
          <cell r="A531" t="str">
            <v>Lucknow</v>
          </cell>
          <cell r="B531" t="str">
            <v>Mavericks</v>
          </cell>
          <cell r="C531" t="str">
            <v>Mid Level</v>
          </cell>
          <cell r="D531" t="str">
            <v>Mohammad Fakhrul</v>
          </cell>
          <cell r="E531" t="str">
            <v>-</v>
          </cell>
          <cell r="F531" t="str">
            <v>MSP</v>
          </cell>
          <cell r="H531" t="str">
            <v>Pass Through/MSP</v>
          </cell>
          <cell r="J531" t="str">
            <v>ACH</v>
          </cell>
          <cell r="L531" t="str">
            <v>New</v>
          </cell>
          <cell r="M531">
            <v>46083</v>
          </cell>
          <cell r="N531">
            <v>119</v>
          </cell>
          <cell r="P531">
            <v>46448</v>
          </cell>
          <cell r="Q531" t="str">
            <v>PLC-Passthrough</v>
          </cell>
          <cell r="R531" t="str">
            <v>Ravindar Reddy Padigapati</v>
          </cell>
          <cell r="S531" t="str">
            <v>Individual</v>
          </cell>
          <cell r="T531" t="str">
            <v>C2C</v>
          </cell>
          <cell r="U531" t="str">
            <v>CoForge</v>
          </cell>
          <cell r="V531">
            <v>65</v>
          </cell>
          <cell r="W531">
            <v>0</v>
          </cell>
          <cell r="X531" t="str">
            <v>USD</v>
          </cell>
          <cell r="Y531">
            <v>66</v>
          </cell>
          <cell r="Z531">
            <v>0</v>
          </cell>
          <cell r="AA531">
            <v>0</v>
          </cell>
          <cell r="AB531">
            <v>0</v>
          </cell>
          <cell r="AC531">
            <v>46157</v>
          </cell>
          <cell r="AD531">
            <v>22</v>
          </cell>
          <cell r="AE531">
            <v>46387</v>
          </cell>
          <cell r="AF531">
            <v>65</v>
          </cell>
          <cell r="AG531">
            <v>0</v>
          </cell>
          <cell r="AH531">
            <v>65</v>
          </cell>
          <cell r="AI531">
            <v>66</v>
          </cell>
          <cell r="AJ531">
            <v>0</v>
          </cell>
          <cell r="AK531">
            <v>0</v>
          </cell>
          <cell r="AL531">
            <v>1</v>
          </cell>
          <cell r="AM531">
            <v>0</v>
          </cell>
          <cell r="AN531">
            <v>1</v>
          </cell>
          <cell r="AO531">
            <v>0</v>
          </cell>
          <cell r="AP531">
            <v>1</v>
          </cell>
          <cell r="AQ531" t="str">
            <v>US_CMSP_00789</v>
          </cell>
          <cell r="AR531">
            <v>0</v>
          </cell>
          <cell r="AS531">
            <v>160</v>
          </cell>
          <cell r="AU531">
            <v>160</v>
          </cell>
          <cell r="AV531">
            <v>0</v>
          </cell>
          <cell r="AW531">
            <v>160</v>
          </cell>
          <cell r="AX531">
            <v>158.4</v>
          </cell>
          <cell r="AY531">
            <v>0</v>
          </cell>
          <cell r="AZ531">
            <v>160</v>
          </cell>
          <cell r="BA531">
            <v>158.4</v>
          </cell>
          <cell r="BB531">
            <v>160</v>
          </cell>
          <cell r="BC531">
            <v>0</v>
          </cell>
          <cell r="BD531">
            <v>0</v>
          </cell>
          <cell r="BE531">
            <v>0</v>
          </cell>
          <cell r="BG531">
            <v>158.4</v>
          </cell>
          <cell r="BI531">
            <v>158.4</v>
          </cell>
          <cell r="BJ531">
            <v>10560</v>
          </cell>
          <cell r="BK531">
            <v>10560</v>
          </cell>
          <cell r="BL531">
            <v>10400</v>
          </cell>
          <cell r="BM531">
            <v>0</v>
          </cell>
          <cell r="BN531">
            <v>0</v>
          </cell>
          <cell r="BO531">
            <v>0</v>
          </cell>
          <cell r="BP531">
            <v>10400</v>
          </cell>
          <cell r="BQ531">
            <v>0</v>
          </cell>
          <cell r="BR531">
            <v>160</v>
          </cell>
          <cell r="BT531">
            <v>2</v>
          </cell>
          <cell r="BU531">
            <v>1</v>
          </cell>
          <cell r="BV531" t="str">
            <v>N</v>
          </cell>
          <cell r="BW531">
            <v>0</v>
          </cell>
          <cell r="BX531">
            <v>0</v>
          </cell>
          <cell r="BY531">
            <v>2026</v>
          </cell>
          <cell r="BZ531" t="str">
            <v>-</v>
          </cell>
          <cell r="CA531" t="str">
            <v>-</v>
          </cell>
        </row>
        <row r="532">
          <cell r="A532" t="str">
            <v>Lucknow</v>
          </cell>
          <cell r="B532" t="str">
            <v>Trust</v>
          </cell>
          <cell r="C532" t="str">
            <v>Mid Level</v>
          </cell>
          <cell r="D532" t="str">
            <v>Harsh Agarwal</v>
          </cell>
          <cell r="E532" t="str">
            <v>-</v>
          </cell>
          <cell r="F532" t="str">
            <v>Non-MSP</v>
          </cell>
          <cell r="H532" t="str">
            <v>Rajat Arora</v>
          </cell>
          <cell r="L532" t="str">
            <v>New</v>
          </cell>
          <cell r="M532">
            <v>46076</v>
          </cell>
          <cell r="N532">
            <v>126</v>
          </cell>
          <cell r="P532">
            <v>46441</v>
          </cell>
          <cell r="Q532" t="str">
            <v>PLC-4660</v>
          </cell>
          <cell r="R532" t="str">
            <v>Ravinder Dharamkar</v>
          </cell>
          <cell r="S532" t="str">
            <v>Individual</v>
          </cell>
          <cell r="T532" t="str">
            <v>FTE</v>
          </cell>
          <cell r="U532" t="str">
            <v>Infosys</v>
          </cell>
          <cell r="V532">
            <v>0</v>
          </cell>
          <cell r="W532">
            <v>0</v>
          </cell>
          <cell r="X532" t="str">
            <v>USD</v>
          </cell>
          <cell r="Y532">
            <v>3500</v>
          </cell>
          <cell r="Z532">
            <v>0</v>
          </cell>
          <cell r="AA532">
            <v>0</v>
          </cell>
          <cell r="AB532">
            <v>0</v>
          </cell>
          <cell r="AC532">
            <v>46068</v>
          </cell>
          <cell r="AD532">
            <v>1</v>
          </cell>
          <cell r="AE532">
            <v>46387</v>
          </cell>
          <cell r="AF532">
            <v>0</v>
          </cell>
          <cell r="AG532">
            <v>0</v>
          </cell>
          <cell r="AH532">
            <v>0</v>
          </cell>
          <cell r="AI532">
            <v>3500</v>
          </cell>
          <cell r="AJ532">
            <v>0</v>
          </cell>
          <cell r="AK532">
            <v>0</v>
          </cell>
          <cell r="AL532">
            <v>3500</v>
          </cell>
          <cell r="AM532">
            <v>0</v>
          </cell>
          <cell r="AN532">
            <v>3500</v>
          </cell>
          <cell r="AO532">
            <v>0</v>
          </cell>
          <cell r="AP532">
            <v>3500</v>
          </cell>
          <cell r="AU532">
            <v>1</v>
          </cell>
          <cell r="BB532">
            <v>3500</v>
          </cell>
          <cell r="BC532">
            <v>0</v>
          </cell>
          <cell r="BD532">
            <v>0</v>
          </cell>
          <cell r="BE532">
            <v>0</v>
          </cell>
          <cell r="BF532">
            <v>39</v>
          </cell>
          <cell r="BK532">
            <v>3500</v>
          </cell>
          <cell r="BL532">
            <v>0</v>
          </cell>
          <cell r="BM532">
            <v>0</v>
          </cell>
          <cell r="BN532">
            <v>0</v>
          </cell>
          <cell r="BO532">
            <v>0</v>
          </cell>
          <cell r="BP532">
            <v>0</v>
          </cell>
          <cell r="BQ532">
            <v>0</v>
          </cell>
          <cell r="BR532">
            <v>3500</v>
          </cell>
          <cell r="BT532">
            <v>1</v>
          </cell>
          <cell r="BU532">
            <v>1</v>
          </cell>
          <cell r="BV532" t="str">
            <v>Y</v>
          </cell>
          <cell r="BW532">
            <v>0</v>
          </cell>
          <cell r="BX532">
            <v>0</v>
          </cell>
          <cell r="BY532">
            <v>2026</v>
          </cell>
          <cell r="BZ532" t="str">
            <v>-</v>
          </cell>
          <cell r="CA532" t="str">
            <v>-</v>
          </cell>
        </row>
        <row r="533">
          <cell r="A533" t="str">
            <v>Lucknow</v>
          </cell>
          <cell r="B533" t="str">
            <v>Trust</v>
          </cell>
          <cell r="C533" t="str">
            <v>Mid Level</v>
          </cell>
          <cell r="D533" t="str">
            <v>Bhanu Pratap Singh</v>
          </cell>
          <cell r="E533" t="str">
            <v>-</v>
          </cell>
          <cell r="F533" t="str">
            <v>Non-MSP</v>
          </cell>
          <cell r="H533" t="str">
            <v>Bhanu Pratap Singh</v>
          </cell>
          <cell r="L533" t="str">
            <v>New</v>
          </cell>
          <cell r="M533">
            <v>46097</v>
          </cell>
          <cell r="N533">
            <v>105</v>
          </cell>
          <cell r="P533">
            <v>46462</v>
          </cell>
          <cell r="Q533" t="str">
            <v>JPC - 226027</v>
          </cell>
          <cell r="R533" t="str">
            <v>Rehan Mohammed 2</v>
          </cell>
          <cell r="S533" t="str">
            <v>Individual</v>
          </cell>
          <cell r="T533" t="str">
            <v>C2C</v>
          </cell>
          <cell r="U533" t="str">
            <v>BirlaSoft</v>
          </cell>
          <cell r="V533">
            <v>95</v>
          </cell>
          <cell r="W533">
            <v>0</v>
          </cell>
          <cell r="X533" t="str">
            <v>USD</v>
          </cell>
          <cell r="Y533">
            <v>97</v>
          </cell>
          <cell r="Z533">
            <v>0</v>
          </cell>
          <cell r="AA533">
            <v>0</v>
          </cell>
          <cell r="AB533">
            <v>0</v>
          </cell>
          <cell r="AC533">
            <v>46096</v>
          </cell>
          <cell r="AD533">
            <v>12</v>
          </cell>
          <cell r="AE533">
            <v>46387</v>
          </cell>
          <cell r="AF533">
            <v>95</v>
          </cell>
          <cell r="AG533">
            <v>0</v>
          </cell>
          <cell r="AH533">
            <v>95</v>
          </cell>
          <cell r="AI533">
            <v>97</v>
          </cell>
          <cell r="AJ533">
            <v>0</v>
          </cell>
          <cell r="AK533">
            <v>0</v>
          </cell>
          <cell r="AL533">
            <v>2</v>
          </cell>
          <cell r="AM533">
            <v>0</v>
          </cell>
          <cell r="AN533">
            <v>2</v>
          </cell>
          <cell r="AO533">
            <v>0</v>
          </cell>
          <cell r="AP533">
            <v>2</v>
          </cell>
          <cell r="AQ533" t="str">
            <v>US_27410</v>
          </cell>
          <cell r="AR533">
            <v>0</v>
          </cell>
          <cell r="AS533">
            <v>88</v>
          </cell>
          <cell r="AU533">
            <v>88</v>
          </cell>
          <cell r="AV533">
            <v>0</v>
          </cell>
          <cell r="AW533">
            <v>176</v>
          </cell>
          <cell r="AX533">
            <v>176</v>
          </cell>
          <cell r="AY533">
            <v>0</v>
          </cell>
          <cell r="AZ533">
            <v>176</v>
          </cell>
          <cell r="BA533">
            <v>176</v>
          </cell>
          <cell r="BB533">
            <v>176</v>
          </cell>
          <cell r="BC533">
            <v>0</v>
          </cell>
          <cell r="BD533">
            <v>0</v>
          </cell>
          <cell r="BE533">
            <v>0</v>
          </cell>
          <cell r="BG533">
            <v>176</v>
          </cell>
          <cell r="BI533">
            <v>176</v>
          </cell>
          <cell r="BJ533">
            <v>8536</v>
          </cell>
          <cell r="BK533">
            <v>8536</v>
          </cell>
          <cell r="BL533">
            <v>8360</v>
          </cell>
          <cell r="BM533">
            <v>0</v>
          </cell>
          <cell r="BN533">
            <v>0</v>
          </cell>
          <cell r="BO533">
            <v>0</v>
          </cell>
          <cell r="BP533">
            <v>8360</v>
          </cell>
          <cell r="BQ533">
            <v>0</v>
          </cell>
          <cell r="BR533">
            <v>176</v>
          </cell>
          <cell r="BS533" t="str">
            <v>Y</v>
          </cell>
          <cell r="BT533">
            <v>1</v>
          </cell>
          <cell r="BU533">
            <v>1</v>
          </cell>
          <cell r="BV533" t="str">
            <v>Y</v>
          </cell>
          <cell r="BW533">
            <v>0</v>
          </cell>
          <cell r="BX533">
            <v>0</v>
          </cell>
          <cell r="BY533">
            <v>2026</v>
          </cell>
          <cell r="BZ533" t="str">
            <v>-</v>
          </cell>
          <cell r="CA533" t="str">
            <v>-</v>
          </cell>
        </row>
        <row r="534">
          <cell r="A534" t="str">
            <v>Lucknow</v>
          </cell>
          <cell r="B534" t="str">
            <v>Trust</v>
          </cell>
          <cell r="C534" t="str">
            <v>Mid Level</v>
          </cell>
          <cell r="D534" t="str">
            <v>Bhanu Pratap Singh</v>
          </cell>
          <cell r="E534" t="str">
            <v>-</v>
          </cell>
          <cell r="F534" t="str">
            <v>Non-MSP</v>
          </cell>
          <cell r="H534" t="str">
            <v>Bhanu Pratap Singh</v>
          </cell>
          <cell r="J534" t="str">
            <v>ACH</v>
          </cell>
          <cell r="L534" t="str">
            <v>New</v>
          </cell>
          <cell r="M534">
            <v>46097</v>
          </cell>
          <cell r="N534">
            <v>105</v>
          </cell>
          <cell r="P534">
            <v>46462</v>
          </cell>
          <cell r="Q534" t="str">
            <v>JPC - 226027</v>
          </cell>
          <cell r="R534" t="str">
            <v>Rehan Mohammed 2</v>
          </cell>
          <cell r="S534" t="str">
            <v>Individual</v>
          </cell>
          <cell r="T534" t="str">
            <v>C2C</v>
          </cell>
          <cell r="U534" t="str">
            <v>BirlaSoft</v>
          </cell>
          <cell r="V534">
            <v>95</v>
          </cell>
          <cell r="W534">
            <v>0</v>
          </cell>
          <cell r="X534" t="str">
            <v>USD</v>
          </cell>
          <cell r="Y534">
            <v>97</v>
          </cell>
          <cell r="Z534">
            <v>0</v>
          </cell>
          <cell r="AA534">
            <v>0</v>
          </cell>
          <cell r="AB534">
            <v>0</v>
          </cell>
          <cell r="AC534">
            <v>46127</v>
          </cell>
          <cell r="AD534">
            <v>22</v>
          </cell>
          <cell r="AE534">
            <v>46387</v>
          </cell>
          <cell r="AF534">
            <v>95</v>
          </cell>
          <cell r="AG534">
            <v>0</v>
          </cell>
          <cell r="AH534">
            <v>95</v>
          </cell>
          <cell r="AI534">
            <v>97</v>
          </cell>
          <cell r="AJ534">
            <v>0</v>
          </cell>
          <cell r="AK534">
            <v>0</v>
          </cell>
          <cell r="AL534">
            <v>2</v>
          </cell>
          <cell r="AM534">
            <v>0</v>
          </cell>
          <cell r="AN534">
            <v>2</v>
          </cell>
          <cell r="AO534">
            <v>0</v>
          </cell>
          <cell r="AP534">
            <v>2</v>
          </cell>
          <cell r="AQ534" t="str">
            <v>US_27642</v>
          </cell>
          <cell r="AR534">
            <v>0</v>
          </cell>
          <cell r="AS534">
            <v>176</v>
          </cell>
          <cell r="AU534">
            <v>176</v>
          </cell>
          <cell r="AV534">
            <v>0</v>
          </cell>
          <cell r="AW534">
            <v>352</v>
          </cell>
          <cell r="AX534">
            <v>348.48</v>
          </cell>
          <cell r="AY534">
            <v>0</v>
          </cell>
          <cell r="AZ534">
            <v>352</v>
          </cell>
          <cell r="BA534">
            <v>348.48</v>
          </cell>
          <cell r="BB534">
            <v>352</v>
          </cell>
          <cell r="BC534">
            <v>0</v>
          </cell>
          <cell r="BD534">
            <v>0</v>
          </cell>
          <cell r="BE534">
            <v>0</v>
          </cell>
          <cell r="BG534">
            <v>348.48</v>
          </cell>
          <cell r="BI534">
            <v>348.48</v>
          </cell>
          <cell r="BJ534">
            <v>17072</v>
          </cell>
          <cell r="BK534">
            <v>17072</v>
          </cell>
          <cell r="BL534">
            <v>16720</v>
          </cell>
          <cell r="BM534">
            <v>0</v>
          </cell>
          <cell r="BN534">
            <v>0</v>
          </cell>
          <cell r="BO534">
            <v>0</v>
          </cell>
          <cell r="BP534">
            <v>16720</v>
          </cell>
          <cell r="BQ534">
            <v>0</v>
          </cell>
          <cell r="BR534">
            <v>352</v>
          </cell>
          <cell r="BS534" t="str">
            <v>Y</v>
          </cell>
          <cell r="BT534">
            <v>2</v>
          </cell>
          <cell r="BU534">
            <v>1</v>
          </cell>
          <cell r="BV534" t="str">
            <v>Y</v>
          </cell>
          <cell r="BW534">
            <v>0</v>
          </cell>
          <cell r="BX534">
            <v>0</v>
          </cell>
          <cell r="BY534">
            <v>2026</v>
          </cell>
          <cell r="BZ534" t="str">
            <v>-</v>
          </cell>
          <cell r="CA534" t="str">
            <v>-</v>
          </cell>
        </row>
        <row r="535">
          <cell r="A535" t="str">
            <v>Lucknow</v>
          </cell>
          <cell r="B535" t="str">
            <v>Trust</v>
          </cell>
          <cell r="C535" t="str">
            <v>Mid Level</v>
          </cell>
          <cell r="D535" t="str">
            <v>Bhanu Pratap Singh</v>
          </cell>
          <cell r="E535" t="str">
            <v>-</v>
          </cell>
          <cell r="F535" t="str">
            <v>Non-MSP</v>
          </cell>
          <cell r="H535" t="str">
            <v>Bhanu Pratap Singh</v>
          </cell>
          <cell r="J535" t="str">
            <v>ACH</v>
          </cell>
          <cell r="L535" t="str">
            <v>New</v>
          </cell>
          <cell r="M535">
            <v>46097</v>
          </cell>
          <cell r="N535">
            <v>105</v>
          </cell>
          <cell r="P535">
            <v>46462</v>
          </cell>
          <cell r="Q535" t="str">
            <v>JPC - 226027</v>
          </cell>
          <cell r="R535" t="str">
            <v>Rehan Mohammed 2</v>
          </cell>
          <cell r="S535" t="str">
            <v>Individual</v>
          </cell>
          <cell r="T535" t="str">
            <v>C2C</v>
          </cell>
          <cell r="U535" t="str">
            <v>BirlaSoft</v>
          </cell>
          <cell r="V535">
            <v>95</v>
          </cell>
          <cell r="W535">
            <v>0</v>
          </cell>
          <cell r="X535" t="str">
            <v>USD</v>
          </cell>
          <cell r="Y535">
            <v>97</v>
          </cell>
          <cell r="Z535">
            <v>0</v>
          </cell>
          <cell r="AA535">
            <v>0</v>
          </cell>
          <cell r="AB535">
            <v>0</v>
          </cell>
          <cell r="AC535">
            <v>46157</v>
          </cell>
          <cell r="AD535">
            <v>22</v>
          </cell>
          <cell r="AE535">
            <v>46387</v>
          </cell>
          <cell r="AF535">
            <v>95</v>
          </cell>
          <cell r="AG535">
            <v>0</v>
          </cell>
          <cell r="AH535">
            <v>95</v>
          </cell>
          <cell r="AI535">
            <v>97</v>
          </cell>
          <cell r="AJ535">
            <v>0</v>
          </cell>
          <cell r="AK535">
            <v>0</v>
          </cell>
          <cell r="AL535">
            <v>2</v>
          </cell>
          <cell r="AM535">
            <v>0</v>
          </cell>
          <cell r="AN535">
            <v>2</v>
          </cell>
          <cell r="AO535">
            <v>0</v>
          </cell>
          <cell r="AP535">
            <v>2</v>
          </cell>
          <cell r="AQ535" t="str">
            <v>US_27925</v>
          </cell>
          <cell r="AR535">
            <v>0</v>
          </cell>
          <cell r="AS535">
            <v>160</v>
          </cell>
          <cell r="AU535">
            <v>160</v>
          </cell>
          <cell r="AV535">
            <v>0</v>
          </cell>
          <cell r="AW535">
            <v>320</v>
          </cell>
          <cell r="AX535">
            <v>316.8</v>
          </cell>
          <cell r="AY535">
            <v>0</v>
          </cell>
          <cell r="AZ535">
            <v>320</v>
          </cell>
          <cell r="BA535">
            <v>316.8</v>
          </cell>
          <cell r="BB535">
            <v>320</v>
          </cell>
          <cell r="BC535">
            <v>0</v>
          </cell>
          <cell r="BD535">
            <v>0</v>
          </cell>
          <cell r="BE535">
            <v>0</v>
          </cell>
          <cell r="BG535">
            <v>316.8</v>
          </cell>
          <cell r="BI535">
            <v>316.8</v>
          </cell>
          <cell r="BJ535">
            <v>15520</v>
          </cell>
          <cell r="BK535">
            <v>15520</v>
          </cell>
          <cell r="BL535">
            <v>15200</v>
          </cell>
          <cell r="BM535">
            <v>0</v>
          </cell>
          <cell r="BN535">
            <v>0</v>
          </cell>
          <cell r="BO535">
            <v>0</v>
          </cell>
          <cell r="BP535">
            <v>15200</v>
          </cell>
          <cell r="BQ535">
            <v>0</v>
          </cell>
          <cell r="BR535">
            <v>320</v>
          </cell>
          <cell r="BT535">
            <v>2</v>
          </cell>
          <cell r="BU535">
            <v>1</v>
          </cell>
          <cell r="BV535" t="str">
            <v>Y</v>
          </cell>
          <cell r="BW535">
            <v>0</v>
          </cell>
          <cell r="BX535">
            <v>0</v>
          </cell>
          <cell r="BY535">
            <v>2026</v>
          </cell>
          <cell r="BZ535" t="str">
            <v>-</v>
          </cell>
          <cell r="CA535" t="str">
            <v>-</v>
          </cell>
        </row>
        <row r="536">
          <cell r="A536" t="str">
            <v>Lucknow</v>
          </cell>
          <cell r="B536" t="str">
            <v>Mavericks</v>
          </cell>
          <cell r="C536" t="str">
            <v>Mid Level</v>
          </cell>
          <cell r="D536" t="str">
            <v>Kashif Nabi</v>
          </cell>
          <cell r="F536" t="str">
            <v>Non-MSP</v>
          </cell>
          <cell r="H536" t="str">
            <v>Ritik Arya</v>
          </cell>
          <cell r="J536" t="str">
            <v>ACH</v>
          </cell>
          <cell r="L536" t="str">
            <v>New</v>
          </cell>
          <cell r="M536">
            <v>46140</v>
          </cell>
          <cell r="N536">
            <v>62</v>
          </cell>
          <cell r="P536">
            <v>46505</v>
          </cell>
          <cell r="Q536" t="str">
            <v>PLC-4831</v>
          </cell>
          <cell r="R536" t="str">
            <v>Revanth Siddu</v>
          </cell>
          <cell r="S536" t="str">
            <v>Individual</v>
          </cell>
          <cell r="T536" t="str">
            <v>C2C</v>
          </cell>
          <cell r="U536" t="str">
            <v>GRI</v>
          </cell>
          <cell r="V536">
            <v>92.5</v>
          </cell>
          <cell r="W536">
            <v>0</v>
          </cell>
          <cell r="X536" t="str">
            <v>USD</v>
          </cell>
          <cell r="Y536">
            <v>98</v>
          </cell>
          <cell r="Z536">
            <v>0</v>
          </cell>
          <cell r="AA536">
            <v>0</v>
          </cell>
          <cell r="AB536">
            <v>0</v>
          </cell>
          <cell r="AC536">
            <v>46127</v>
          </cell>
          <cell r="AD536">
            <v>3</v>
          </cell>
          <cell r="AE536">
            <v>46387</v>
          </cell>
          <cell r="AF536">
            <v>92.5</v>
          </cell>
          <cell r="AG536">
            <v>0</v>
          </cell>
          <cell r="AH536">
            <v>92.5</v>
          </cell>
          <cell r="AI536">
            <v>95.667599999999993</v>
          </cell>
          <cell r="AJ536">
            <v>0</v>
          </cell>
          <cell r="AK536">
            <v>0</v>
          </cell>
          <cell r="AL536">
            <v>3.1675999999999931</v>
          </cell>
          <cell r="AM536">
            <v>0</v>
          </cell>
          <cell r="AN536">
            <v>3.1675999999999931</v>
          </cell>
          <cell r="AO536">
            <v>0</v>
          </cell>
          <cell r="AP536">
            <v>3.1675999999999931</v>
          </cell>
          <cell r="AU536">
            <v>24</v>
          </cell>
          <cell r="BB536">
            <v>76.022399999999834</v>
          </cell>
          <cell r="BC536">
            <v>0</v>
          </cell>
          <cell r="BD536">
            <v>0</v>
          </cell>
          <cell r="BE536">
            <v>0</v>
          </cell>
          <cell r="BI536">
            <v>0</v>
          </cell>
          <cell r="BK536">
            <v>2296.0223999999998</v>
          </cell>
          <cell r="BL536">
            <v>2220</v>
          </cell>
          <cell r="BM536">
            <v>0</v>
          </cell>
          <cell r="BN536">
            <v>0</v>
          </cell>
          <cell r="BO536">
            <v>0</v>
          </cell>
          <cell r="BP536">
            <v>2220</v>
          </cell>
          <cell r="BQ536">
            <v>0</v>
          </cell>
          <cell r="BR536">
            <v>76.022399999999834</v>
          </cell>
          <cell r="BT536">
            <v>2</v>
          </cell>
          <cell r="BU536">
            <v>2</v>
          </cell>
          <cell r="BV536" t="str">
            <v>N</v>
          </cell>
          <cell r="BW536">
            <v>0</v>
          </cell>
          <cell r="BX536">
            <v>0</v>
          </cell>
          <cell r="BY536">
            <v>2026</v>
          </cell>
          <cell r="BZ536" t="str">
            <v>-</v>
          </cell>
          <cell r="CA536" t="str">
            <v>-</v>
          </cell>
        </row>
        <row r="537">
          <cell r="A537" t="str">
            <v>Lucknow</v>
          </cell>
          <cell r="B537" t="str">
            <v>Mavericks</v>
          </cell>
          <cell r="C537" t="str">
            <v>Mid Level</v>
          </cell>
          <cell r="D537" t="str">
            <v>Kashif Nabi</v>
          </cell>
          <cell r="F537" t="str">
            <v>Non-MSP</v>
          </cell>
          <cell r="H537" t="str">
            <v>Ritik Arya</v>
          </cell>
          <cell r="J537" t="str">
            <v>ACH</v>
          </cell>
          <cell r="L537" t="str">
            <v>New</v>
          </cell>
          <cell r="M537">
            <v>46140</v>
          </cell>
          <cell r="N537">
            <v>62</v>
          </cell>
          <cell r="P537">
            <v>46505</v>
          </cell>
          <cell r="Q537" t="str">
            <v>PLC-4831</v>
          </cell>
          <cell r="R537" t="str">
            <v>Revanth Siddu</v>
          </cell>
          <cell r="S537" t="str">
            <v>Individual</v>
          </cell>
          <cell r="T537" t="str">
            <v>C2C</v>
          </cell>
          <cell r="U537" t="str">
            <v>GRI</v>
          </cell>
          <cell r="V537">
            <v>92.5</v>
          </cell>
          <cell r="W537">
            <v>0</v>
          </cell>
          <cell r="X537" t="str">
            <v>USD</v>
          </cell>
          <cell r="Y537">
            <v>98</v>
          </cell>
          <cell r="Z537">
            <v>0</v>
          </cell>
          <cell r="AA537">
            <v>0</v>
          </cell>
          <cell r="AB537">
            <v>0</v>
          </cell>
          <cell r="AC537">
            <v>46157</v>
          </cell>
          <cell r="AD537">
            <v>3</v>
          </cell>
          <cell r="AE537">
            <v>46387</v>
          </cell>
          <cell r="AF537">
            <v>92.5</v>
          </cell>
          <cell r="AG537">
            <v>0</v>
          </cell>
          <cell r="AH537">
            <v>92.5</v>
          </cell>
          <cell r="AI537">
            <v>95.667599999999993</v>
          </cell>
          <cell r="AJ537">
            <v>0</v>
          </cell>
          <cell r="AK537">
            <v>0</v>
          </cell>
          <cell r="AL537">
            <v>3.1675999999999931</v>
          </cell>
          <cell r="AM537">
            <v>0</v>
          </cell>
          <cell r="AN537">
            <v>3.1675999999999931</v>
          </cell>
          <cell r="AO537">
            <v>0</v>
          </cell>
          <cell r="AP537">
            <v>3.1675999999999931</v>
          </cell>
          <cell r="AQ537" t="str">
            <v>GRI123528</v>
          </cell>
          <cell r="AR537">
            <v>0</v>
          </cell>
          <cell r="AS537">
            <v>40</v>
          </cell>
          <cell r="AU537">
            <v>40</v>
          </cell>
          <cell r="AV537">
            <v>0</v>
          </cell>
          <cell r="AW537">
            <v>126.70399999999972</v>
          </cell>
          <cell r="AX537">
            <v>125.43695999999973</v>
          </cell>
          <cell r="AY537">
            <v>0</v>
          </cell>
          <cell r="AZ537">
            <v>126.70399999999972</v>
          </cell>
          <cell r="BA537">
            <v>125.43695999999973</v>
          </cell>
          <cell r="BB537">
            <v>126.70399999999972</v>
          </cell>
          <cell r="BC537">
            <v>0</v>
          </cell>
          <cell r="BD537">
            <v>0</v>
          </cell>
          <cell r="BE537">
            <v>0</v>
          </cell>
          <cell r="BG537">
            <v>125.43695999999973</v>
          </cell>
          <cell r="BI537">
            <v>0</v>
          </cell>
          <cell r="BJ537">
            <v>3920</v>
          </cell>
          <cell r="BK537">
            <v>3826.7039999999997</v>
          </cell>
          <cell r="BL537">
            <v>3700</v>
          </cell>
          <cell r="BM537">
            <v>0</v>
          </cell>
          <cell r="BN537">
            <v>0</v>
          </cell>
          <cell r="BO537">
            <v>0</v>
          </cell>
          <cell r="BP537">
            <v>3700</v>
          </cell>
          <cell r="BQ537">
            <v>0</v>
          </cell>
          <cell r="BR537">
            <v>126.70399999999972</v>
          </cell>
          <cell r="BS537" t="str">
            <v>Y</v>
          </cell>
          <cell r="BT537">
            <v>2</v>
          </cell>
          <cell r="BU537">
            <v>2</v>
          </cell>
          <cell r="BV537" t="str">
            <v>N</v>
          </cell>
          <cell r="BW537">
            <v>0</v>
          </cell>
          <cell r="BX537">
            <v>0</v>
          </cell>
          <cell r="BY537">
            <v>2026</v>
          </cell>
          <cell r="BZ537" t="str">
            <v>-</v>
          </cell>
          <cell r="CA537" t="str">
            <v>-</v>
          </cell>
        </row>
        <row r="538">
          <cell r="A538" t="str">
            <v>Lucknow</v>
          </cell>
          <cell r="B538" t="str">
            <v>Mavericks</v>
          </cell>
          <cell r="C538" t="str">
            <v>Mid Level</v>
          </cell>
          <cell r="D538" t="str">
            <v>Mohammad Fakhrul</v>
          </cell>
          <cell r="E538" t="str">
            <v>-</v>
          </cell>
          <cell r="F538" t="str">
            <v>MSP</v>
          </cell>
          <cell r="H538" t="str">
            <v>Pass Through/MSP</v>
          </cell>
          <cell r="L538" t="str">
            <v>New</v>
          </cell>
          <cell r="M538">
            <v>46055</v>
          </cell>
          <cell r="N538">
            <v>147</v>
          </cell>
          <cell r="O538">
            <v>46108</v>
          </cell>
          <cell r="P538">
            <v>46420</v>
          </cell>
          <cell r="Q538" t="str">
            <v>PLC-Passthrough</v>
          </cell>
          <cell r="R538" t="str">
            <v>Ricky Duane Richard</v>
          </cell>
          <cell r="S538" t="str">
            <v>Individual</v>
          </cell>
          <cell r="T538" t="str">
            <v>C2C</v>
          </cell>
          <cell r="U538" t="str">
            <v>CoForge</v>
          </cell>
          <cell r="V538">
            <v>51</v>
          </cell>
          <cell r="W538">
            <v>0</v>
          </cell>
          <cell r="X538" t="str">
            <v>USD</v>
          </cell>
          <cell r="Y538">
            <v>53</v>
          </cell>
          <cell r="Z538">
            <v>0</v>
          </cell>
          <cell r="AA538">
            <v>0</v>
          </cell>
          <cell r="AB538">
            <v>0</v>
          </cell>
          <cell r="AC538">
            <v>46068</v>
          </cell>
          <cell r="AD538">
            <v>20</v>
          </cell>
          <cell r="AE538">
            <v>46387</v>
          </cell>
          <cell r="AF538">
            <v>51</v>
          </cell>
          <cell r="AG538">
            <v>0</v>
          </cell>
          <cell r="AH538">
            <v>51</v>
          </cell>
          <cell r="AI538">
            <v>53</v>
          </cell>
          <cell r="AJ538">
            <v>0</v>
          </cell>
          <cell r="AK538">
            <v>0</v>
          </cell>
          <cell r="AL538">
            <v>2</v>
          </cell>
          <cell r="AM538">
            <v>0</v>
          </cell>
          <cell r="AN538">
            <v>2</v>
          </cell>
          <cell r="AO538">
            <v>0</v>
          </cell>
          <cell r="AP538">
            <v>2</v>
          </cell>
          <cell r="AQ538" t="str">
            <v>US_CMSP_00435</v>
          </cell>
          <cell r="AR538">
            <v>0</v>
          </cell>
          <cell r="AS538">
            <v>144</v>
          </cell>
          <cell r="AU538">
            <v>144</v>
          </cell>
          <cell r="AV538">
            <v>0</v>
          </cell>
          <cell r="AW538">
            <v>288</v>
          </cell>
          <cell r="AX538">
            <v>288</v>
          </cell>
          <cell r="AY538">
            <v>0</v>
          </cell>
          <cell r="AZ538">
            <v>288</v>
          </cell>
          <cell r="BA538">
            <v>288</v>
          </cell>
          <cell r="BB538">
            <v>288</v>
          </cell>
          <cell r="BC538">
            <v>0</v>
          </cell>
          <cell r="BD538">
            <v>0</v>
          </cell>
          <cell r="BE538">
            <v>0</v>
          </cell>
          <cell r="BG538">
            <v>288</v>
          </cell>
          <cell r="BI538">
            <v>288</v>
          </cell>
          <cell r="BJ538">
            <v>7632</v>
          </cell>
          <cell r="BK538">
            <v>7632</v>
          </cell>
          <cell r="BL538">
            <v>7344</v>
          </cell>
          <cell r="BM538">
            <v>0</v>
          </cell>
          <cell r="BN538">
            <v>0</v>
          </cell>
          <cell r="BO538">
            <v>0</v>
          </cell>
          <cell r="BP538">
            <v>7344</v>
          </cell>
          <cell r="BQ538">
            <v>0</v>
          </cell>
          <cell r="BR538">
            <v>288</v>
          </cell>
          <cell r="BS538" t="str">
            <v>Y</v>
          </cell>
          <cell r="BT538">
            <v>1</v>
          </cell>
          <cell r="BU538">
            <v>1</v>
          </cell>
          <cell r="BV538" t="str">
            <v>N</v>
          </cell>
          <cell r="BW538">
            <v>0</v>
          </cell>
          <cell r="BX538">
            <v>0</v>
          </cell>
          <cell r="BY538">
            <v>2026</v>
          </cell>
          <cell r="BZ538" t="str">
            <v>-</v>
          </cell>
          <cell r="CA538" t="str">
            <v>-</v>
          </cell>
        </row>
        <row r="539">
          <cell r="A539" t="str">
            <v>Lucknow</v>
          </cell>
          <cell r="B539" t="str">
            <v>Mavericks</v>
          </cell>
          <cell r="C539" t="str">
            <v>Mid Level</v>
          </cell>
          <cell r="D539" t="str">
            <v>Mohammad Fakhrul</v>
          </cell>
          <cell r="E539" t="str">
            <v>-</v>
          </cell>
          <cell r="F539" t="str">
            <v>MSP</v>
          </cell>
          <cell r="H539" t="str">
            <v>Pass Through/MSP</v>
          </cell>
          <cell r="L539" t="str">
            <v>New</v>
          </cell>
          <cell r="M539">
            <v>46055</v>
          </cell>
          <cell r="N539">
            <v>147</v>
          </cell>
          <cell r="O539">
            <v>46108</v>
          </cell>
          <cell r="P539">
            <v>46420</v>
          </cell>
          <cell r="Q539" t="str">
            <v>PLC-Passthrough</v>
          </cell>
          <cell r="R539" t="str">
            <v>Ricky Duane Richard</v>
          </cell>
          <cell r="S539" t="str">
            <v>Individual</v>
          </cell>
          <cell r="T539" t="str">
            <v>C2C</v>
          </cell>
          <cell r="U539" t="str">
            <v>CoForge</v>
          </cell>
          <cell r="V539">
            <v>51</v>
          </cell>
          <cell r="W539">
            <v>0</v>
          </cell>
          <cell r="X539" t="str">
            <v>USD</v>
          </cell>
          <cell r="Y539">
            <v>53</v>
          </cell>
          <cell r="Z539">
            <v>0</v>
          </cell>
          <cell r="AA539">
            <v>0</v>
          </cell>
          <cell r="AB539">
            <v>0</v>
          </cell>
          <cell r="AC539">
            <v>46096</v>
          </cell>
          <cell r="AD539">
            <v>22</v>
          </cell>
          <cell r="AE539">
            <v>46387</v>
          </cell>
          <cell r="AF539">
            <v>51</v>
          </cell>
          <cell r="AG539">
            <v>0</v>
          </cell>
          <cell r="AH539">
            <v>51</v>
          </cell>
          <cell r="AI539">
            <v>53</v>
          </cell>
          <cell r="AJ539">
            <v>0</v>
          </cell>
          <cell r="AK539">
            <v>0</v>
          </cell>
          <cell r="AL539">
            <v>2</v>
          </cell>
          <cell r="AM539">
            <v>0</v>
          </cell>
          <cell r="AN539">
            <v>2</v>
          </cell>
          <cell r="AO539">
            <v>0</v>
          </cell>
          <cell r="AP539">
            <v>2</v>
          </cell>
          <cell r="AQ539" t="str">
            <v>US_CMSP_00543</v>
          </cell>
          <cell r="AR539">
            <v>0</v>
          </cell>
          <cell r="AS539">
            <v>160</v>
          </cell>
          <cell r="AU539">
            <v>160</v>
          </cell>
          <cell r="AV539">
            <v>0</v>
          </cell>
          <cell r="AW539">
            <v>320</v>
          </cell>
          <cell r="AX539">
            <v>320</v>
          </cell>
          <cell r="AY539">
            <v>0</v>
          </cell>
          <cell r="AZ539">
            <v>320</v>
          </cell>
          <cell r="BA539">
            <v>320</v>
          </cell>
          <cell r="BB539">
            <v>320</v>
          </cell>
          <cell r="BC539">
            <v>0</v>
          </cell>
          <cell r="BD539">
            <v>0</v>
          </cell>
          <cell r="BE539">
            <v>0</v>
          </cell>
          <cell r="BG539">
            <v>320</v>
          </cell>
          <cell r="BI539">
            <v>320</v>
          </cell>
          <cell r="BJ539">
            <v>8480</v>
          </cell>
          <cell r="BK539">
            <v>8480</v>
          </cell>
          <cell r="BL539">
            <v>8160</v>
          </cell>
          <cell r="BM539">
            <v>0</v>
          </cell>
          <cell r="BN539">
            <v>0</v>
          </cell>
          <cell r="BO539">
            <v>0</v>
          </cell>
          <cell r="BP539">
            <v>8160</v>
          </cell>
          <cell r="BQ539">
            <v>0</v>
          </cell>
          <cell r="BR539">
            <v>320</v>
          </cell>
          <cell r="BS539" t="str">
            <v>Y</v>
          </cell>
          <cell r="BT539">
            <v>1</v>
          </cell>
          <cell r="BU539">
            <v>1</v>
          </cell>
          <cell r="BV539" t="str">
            <v>N</v>
          </cell>
          <cell r="BW539">
            <v>0</v>
          </cell>
          <cell r="BX539">
            <v>0</v>
          </cell>
          <cell r="BY539">
            <v>2026</v>
          </cell>
          <cell r="BZ539" t="str">
            <v>-</v>
          </cell>
          <cell r="CA539" t="str">
            <v>-</v>
          </cell>
        </row>
        <row r="540">
          <cell r="A540" t="str">
            <v>Lucknow</v>
          </cell>
          <cell r="B540" t="str">
            <v>Mavericks</v>
          </cell>
          <cell r="C540" t="str">
            <v>Mid Level</v>
          </cell>
          <cell r="D540" t="str">
            <v>Kashif Nabi</v>
          </cell>
          <cell r="E540" t="str">
            <v>-</v>
          </cell>
          <cell r="F540" t="str">
            <v>Non-MSP</v>
          </cell>
          <cell r="H540" t="str">
            <v>Vaibhav Kumar</v>
          </cell>
          <cell r="L540" t="str">
            <v>New</v>
          </cell>
          <cell r="M540">
            <v>46083</v>
          </cell>
          <cell r="N540">
            <v>119</v>
          </cell>
          <cell r="O540">
            <v>46122</v>
          </cell>
          <cell r="P540">
            <v>46448</v>
          </cell>
          <cell r="Q540" t="str">
            <v>PLC-4725</v>
          </cell>
          <cell r="R540" t="str">
            <v>Rishi Zalani</v>
          </cell>
          <cell r="S540" t="str">
            <v>Individual</v>
          </cell>
          <cell r="T540" t="str">
            <v>C2C</v>
          </cell>
          <cell r="U540" t="str">
            <v>GRI</v>
          </cell>
          <cell r="V540">
            <v>85</v>
          </cell>
          <cell r="W540">
            <v>0</v>
          </cell>
          <cell r="X540" t="str">
            <v>USD</v>
          </cell>
          <cell r="Y540">
            <v>100</v>
          </cell>
          <cell r="Z540">
            <v>0</v>
          </cell>
          <cell r="AA540">
            <v>0</v>
          </cell>
          <cell r="AB540">
            <v>0</v>
          </cell>
          <cell r="AC540">
            <v>46096</v>
          </cell>
          <cell r="AD540">
            <v>22</v>
          </cell>
          <cell r="AE540">
            <v>46387</v>
          </cell>
          <cell r="AF540">
            <v>85</v>
          </cell>
          <cell r="AG540">
            <v>0</v>
          </cell>
          <cell r="AH540">
            <v>85</v>
          </cell>
          <cell r="AI540">
            <v>97.61999999999999</v>
          </cell>
          <cell r="AJ540">
            <v>0</v>
          </cell>
          <cell r="AK540">
            <v>0</v>
          </cell>
          <cell r="AL540">
            <v>12.61999999999999</v>
          </cell>
          <cell r="AM540">
            <v>0</v>
          </cell>
          <cell r="AN540">
            <v>12.61999999999999</v>
          </cell>
          <cell r="AO540">
            <v>0</v>
          </cell>
          <cell r="AP540">
            <v>12.61999999999999</v>
          </cell>
          <cell r="AQ540" t="str">
            <v>GRI123529</v>
          </cell>
          <cell r="AR540">
            <v>0</v>
          </cell>
          <cell r="AS540">
            <v>160</v>
          </cell>
          <cell r="AU540">
            <v>160</v>
          </cell>
          <cell r="AV540">
            <v>0</v>
          </cell>
          <cell r="AW540">
            <v>2019.1999999999985</v>
          </cell>
          <cell r="AX540">
            <v>2019.1999999999985</v>
          </cell>
          <cell r="AY540">
            <v>0</v>
          </cell>
          <cell r="AZ540">
            <v>2019.1999999999985</v>
          </cell>
          <cell r="BA540">
            <v>2019.1999999999985</v>
          </cell>
          <cell r="BB540">
            <v>2019.1999999999985</v>
          </cell>
          <cell r="BC540">
            <v>0</v>
          </cell>
          <cell r="BD540">
            <v>0</v>
          </cell>
          <cell r="BE540">
            <v>0</v>
          </cell>
          <cell r="BG540">
            <v>2019.1999999999985</v>
          </cell>
          <cell r="BI540">
            <v>2019.1999999999985</v>
          </cell>
          <cell r="BJ540">
            <v>16000</v>
          </cell>
          <cell r="BK540">
            <v>15619.199999999999</v>
          </cell>
          <cell r="BL540">
            <v>13600</v>
          </cell>
          <cell r="BM540">
            <v>0</v>
          </cell>
          <cell r="BN540">
            <v>0</v>
          </cell>
          <cell r="BO540">
            <v>0</v>
          </cell>
          <cell r="BP540">
            <v>13600</v>
          </cell>
          <cell r="BQ540">
            <v>0</v>
          </cell>
          <cell r="BR540">
            <v>2019.1999999999989</v>
          </cell>
          <cell r="BS540" t="str">
            <v>Y</v>
          </cell>
          <cell r="BT540">
            <v>1</v>
          </cell>
          <cell r="BU540">
            <v>1</v>
          </cell>
          <cell r="BV540" t="str">
            <v>Y</v>
          </cell>
          <cell r="BW540">
            <v>0</v>
          </cell>
          <cell r="BX540">
            <v>0</v>
          </cell>
          <cell r="BY540">
            <v>2026</v>
          </cell>
          <cell r="BZ540" t="str">
            <v>-</v>
          </cell>
          <cell r="CA540" t="str">
            <v>-</v>
          </cell>
        </row>
        <row r="541">
          <cell r="A541" t="str">
            <v>Lucknow</v>
          </cell>
          <cell r="B541" t="str">
            <v>Mavericks</v>
          </cell>
          <cell r="C541" t="str">
            <v>Mid Level</v>
          </cell>
          <cell r="D541" t="str">
            <v>Kashif Nabi</v>
          </cell>
          <cell r="E541" t="str">
            <v>-</v>
          </cell>
          <cell r="F541" t="str">
            <v>Non-MSP</v>
          </cell>
          <cell r="H541" t="str">
            <v>Vaibhav Kumar</v>
          </cell>
          <cell r="J541" t="str">
            <v>ACH</v>
          </cell>
          <cell r="L541" t="str">
            <v>New</v>
          </cell>
          <cell r="M541">
            <v>46083</v>
          </cell>
          <cell r="N541">
            <v>119</v>
          </cell>
          <cell r="O541">
            <v>46122</v>
          </cell>
          <cell r="P541">
            <v>46448</v>
          </cell>
          <cell r="Q541" t="str">
            <v>PLC-4725</v>
          </cell>
          <cell r="R541" t="str">
            <v>Rishi Zalani</v>
          </cell>
          <cell r="S541" t="str">
            <v>Individual</v>
          </cell>
          <cell r="T541" t="str">
            <v>C2C</v>
          </cell>
          <cell r="U541" t="str">
            <v>GRI</v>
          </cell>
          <cell r="V541">
            <v>85</v>
          </cell>
          <cell r="W541">
            <v>0</v>
          </cell>
          <cell r="X541" t="str">
            <v>USD</v>
          </cell>
          <cell r="Y541">
            <v>100</v>
          </cell>
          <cell r="Z541">
            <v>0</v>
          </cell>
          <cell r="AA541">
            <v>0</v>
          </cell>
          <cell r="AB541">
            <v>0</v>
          </cell>
          <cell r="AC541">
            <v>46127</v>
          </cell>
          <cell r="AD541">
            <v>22</v>
          </cell>
          <cell r="AE541">
            <v>46387</v>
          </cell>
          <cell r="AF541">
            <v>85</v>
          </cell>
          <cell r="AG541">
            <v>0</v>
          </cell>
          <cell r="AH541">
            <v>85</v>
          </cell>
          <cell r="AI541">
            <v>97.61999999999999</v>
          </cell>
          <cell r="AJ541">
            <v>0</v>
          </cell>
          <cell r="AK541">
            <v>0</v>
          </cell>
          <cell r="AL541">
            <v>12.61999999999999</v>
          </cell>
          <cell r="AM541">
            <v>0</v>
          </cell>
          <cell r="AN541">
            <v>12.61999999999999</v>
          </cell>
          <cell r="AO541">
            <v>0</v>
          </cell>
          <cell r="AP541">
            <v>12.61999999999999</v>
          </cell>
          <cell r="AQ541" t="str">
            <v>GRI123530</v>
          </cell>
          <cell r="AR541">
            <v>0</v>
          </cell>
          <cell r="AS541">
            <v>80</v>
          </cell>
          <cell r="AU541">
            <v>80</v>
          </cell>
          <cell r="AV541">
            <v>0</v>
          </cell>
          <cell r="AW541">
            <v>1009.5999999999992</v>
          </cell>
          <cell r="AX541">
            <v>999.50399999999922</v>
          </cell>
          <cell r="AY541">
            <v>0</v>
          </cell>
          <cell r="AZ541">
            <v>1009.5999999999992</v>
          </cell>
          <cell r="BA541">
            <v>999.50399999999922</v>
          </cell>
          <cell r="BB541">
            <v>1009.5999999999992</v>
          </cell>
          <cell r="BC541">
            <v>0</v>
          </cell>
          <cell r="BD541">
            <v>0</v>
          </cell>
          <cell r="BE541">
            <v>0</v>
          </cell>
          <cell r="BG541">
            <v>999.50399999999922</v>
          </cell>
          <cell r="BI541">
            <v>999.50399999999922</v>
          </cell>
          <cell r="BJ541">
            <v>8000</v>
          </cell>
          <cell r="BK541">
            <v>7809.5999999999995</v>
          </cell>
          <cell r="BL541">
            <v>6800</v>
          </cell>
          <cell r="BM541">
            <v>0</v>
          </cell>
          <cell r="BN541">
            <v>0</v>
          </cell>
          <cell r="BO541">
            <v>0</v>
          </cell>
          <cell r="BP541">
            <v>6800</v>
          </cell>
          <cell r="BQ541">
            <v>0</v>
          </cell>
          <cell r="BR541">
            <v>1009.5999999999995</v>
          </cell>
          <cell r="BS541" t="str">
            <v>Y</v>
          </cell>
          <cell r="BT541">
            <v>2</v>
          </cell>
          <cell r="BU541">
            <v>1</v>
          </cell>
          <cell r="BV541" t="str">
            <v>N</v>
          </cell>
          <cell r="BW541">
            <v>0</v>
          </cell>
          <cell r="BX541">
            <v>0</v>
          </cell>
          <cell r="BY541">
            <v>2026</v>
          </cell>
          <cell r="BZ541" t="str">
            <v>-</v>
          </cell>
          <cell r="CA541" t="str">
            <v>-</v>
          </cell>
        </row>
        <row r="542">
          <cell r="A542" t="str">
            <v>Noida</v>
          </cell>
          <cell r="B542" t="str">
            <v>Trust</v>
          </cell>
          <cell r="C542" t="str">
            <v>Mid Level</v>
          </cell>
          <cell r="D542" t="str">
            <v>Abdul Rahman</v>
          </cell>
          <cell r="F542" t="str">
            <v>Non-MSP</v>
          </cell>
          <cell r="H542" t="str">
            <v>Mohd Ateeq</v>
          </cell>
          <cell r="J542" t="str">
            <v>ACH</v>
          </cell>
          <cell r="L542" t="str">
            <v>New</v>
          </cell>
          <cell r="M542">
            <v>46153</v>
          </cell>
          <cell r="N542">
            <v>49</v>
          </cell>
          <cell r="P542">
            <v>46518</v>
          </cell>
          <cell r="Q542" t="str">
            <v>PLC-4882</v>
          </cell>
          <cell r="R542" t="str">
            <v>Ritesh Dandge</v>
          </cell>
          <cell r="S542" t="str">
            <v>Individual</v>
          </cell>
          <cell r="T542" t="str">
            <v>C2C</v>
          </cell>
          <cell r="U542" t="str">
            <v xml:space="preserve">Xebia </v>
          </cell>
          <cell r="V542">
            <v>68</v>
          </cell>
          <cell r="W542">
            <v>0</v>
          </cell>
          <cell r="X542" t="str">
            <v>USD</v>
          </cell>
          <cell r="Y542">
            <v>72</v>
          </cell>
          <cell r="Z542">
            <v>0</v>
          </cell>
          <cell r="AA542">
            <v>0</v>
          </cell>
          <cell r="AB542">
            <v>0</v>
          </cell>
          <cell r="AC542">
            <v>46157</v>
          </cell>
          <cell r="AD542">
            <v>15</v>
          </cell>
          <cell r="AE542">
            <v>46387</v>
          </cell>
          <cell r="AF542">
            <v>68</v>
          </cell>
          <cell r="AG542">
            <v>0</v>
          </cell>
          <cell r="AH542">
            <v>68</v>
          </cell>
          <cell r="AI542">
            <v>72</v>
          </cell>
          <cell r="AJ542">
            <v>0</v>
          </cell>
          <cell r="AK542">
            <v>0</v>
          </cell>
          <cell r="AL542">
            <v>4</v>
          </cell>
          <cell r="AM542">
            <v>0</v>
          </cell>
          <cell r="AN542">
            <v>4</v>
          </cell>
          <cell r="AO542">
            <v>0</v>
          </cell>
          <cell r="AP542">
            <v>4</v>
          </cell>
          <cell r="AQ542" t="str">
            <v>US_27976</v>
          </cell>
          <cell r="AR542">
            <v>0</v>
          </cell>
          <cell r="AS542">
            <v>112</v>
          </cell>
          <cell r="AU542">
            <v>112</v>
          </cell>
          <cell r="AV542">
            <v>0</v>
          </cell>
          <cell r="AW542">
            <v>448</v>
          </cell>
          <cell r="AX542">
            <v>443.52</v>
          </cell>
          <cell r="AY542">
            <v>0</v>
          </cell>
          <cell r="AZ542">
            <v>448</v>
          </cell>
          <cell r="BA542">
            <v>443.52</v>
          </cell>
          <cell r="BB542">
            <v>448</v>
          </cell>
          <cell r="BC542">
            <v>57.142857142857139</v>
          </cell>
          <cell r="BD542">
            <v>585.44640000000004</v>
          </cell>
          <cell r="BE542">
            <v>585.44640000000004</v>
          </cell>
          <cell r="BG542">
            <v>443.52</v>
          </cell>
          <cell r="BI542">
            <v>0</v>
          </cell>
          <cell r="BJ542">
            <v>8064</v>
          </cell>
          <cell r="BK542">
            <v>8064</v>
          </cell>
          <cell r="BL542">
            <v>7616</v>
          </cell>
          <cell r="BM542">
            <v>0</v>
          </cell>
          <cell r="BN542">
            <v>0</v>
          </cell>
          <cell r="BO542">
            <v>0</v>
          </cell>
          <cell r="BP542">
            <v>7616</v>
          </cell>
          <cell r="BQ542">
            <v>0</v>
          </cell>
          <cell r="BR542">
            <v>448</v>
          </cell>
          <cell r="BT542">
            <v>2</v>
          </cell>
          <cell r="BU542">
            <v>2</v>
          </cell>
          <cell r="BV542" t="str">
            <v>N</v>
          </cell>
          <cell r="BW542">
            <v>1170.8928000000001</v>
          </cell>
          <cell r="BX542">
            <v>1170.8928000000001</v>
          </cell>
          <cell r="BY542">
            <v>2026</v>
          </cell>
          <cell r="BZ542" t="str">
            <v>-</v>
          </cell>
          <cell r="CA542" t="str">
            <v>-</v>
          </cell>
        </row>
        <row r="543">
          <cell r="A543" t="str">
            <v>Lucknow</v>
          </cell>
          <cell r="B543" t="str">
            <v>Trust</v>
          </cell>
          <cell r="C543" t="str">
            <v>Mid Level</v>
          </cell>
          <cell r="D543" t="str">
            <v>Harsh Agarwal</v>
          </cell>
          <cell r="F543" t="str">
            <v>Non-MSP</v>
          </cell>
          <cell r="H543" t="str">
            <v>Harsh Shukla</v>
          </cell>
          <cell r="L543" t="str">
            <v>New</v>
          </cell>
          <cell r="M543">
            <v>46160</v>
          </cell>
          <cell r="N543">
            <v>42</v>
          </cell>
          <cell r="P543">
            <v>46525</v>
          </cell>
          <cell r="Q543" t="str">
            <v>PLC-4835</v>
          </cell>
          <cell r="R543" t="str">
            <v>Rizwan Muneer</v>
          </cell>
          <cell r="S543" t="str">
            <v>Individual</v>
          </cell>
          <cell r="T543" t="str">
            <v>FTE</v>
          </cell>
          <cell r="U543" t="str">
            <v>TCS</v>
          </cell>
          <cell r="V543">
            <v>0</v>
          </cell>
          <cell r="W543">
            <v>0</v>
          </cell>
          <cell r="X543" t="str">
            <v>USD</v>
          </cell>
          <cell r="Y543">
            <v>14500</v>
          </cell>
          <cell r="Z543">
            <v>0</v>
          </cell>
          <cell r="AA543">
            <v>0</v>
          </cell>
          <cell r="AB543">
            <v>0</v>
          </cell>
          <cell r="AC543">
            <v>46157</v>
          </cell>
          <cell r="AD543">
            <v>1</v>
          </cell>
          <cell r="AE543">
            <v>46387</v>
          </cell>
          <cell r="AF543">
            <v>0</v>
          </cell>
          <cell r="AG543">
            <v>0</v>
          </cell>
          <cell r="AH543">
            <v>0</v>
          </cell>
          <cell r="AI543">
            <v>13920</v>
          </cell>
          <cell r="AJ543">
            <v>0</v>
          </cell>
          <cell r="AK543">
            <v>0</v>
          </cell>
          <cell r="AL543">
            <v>13920</v>
          </cell>
          <cell r="AM543">
            <v>0</v>
          </cell>
          <cell r="AN543">
            <v>13920</v>
          </cell>
          <cell r="AO543">
            <v>0</v>
          </cell>
          <cell r="AP543">
            <v>13920</v>
          </cell>
          <cell r="AQ543" t="str">
            <v>US_27725</v>
          </cell>
          <cell r="AR543">
            <v>0</v>
          </cell>
          <cell r="AS543">
            <v>1</v>
          </cell>
          <cell r="AU543">
            <v>1</v>
          </cell>
          <cell r="AV543">
            <v>0</v>
          </cell>
          <cell r="AW543">
            <v>13920</v>
          </cell>
          <cell r="AX543">
            <v>13920</v>
          </cell>
          <cell r="AY543">
            <v>0</v>
          </cell>
          <cell r="AZ543">
            <v>13920</v>
          </cell>
          <cell r="BA543">
            <v>13920</v>
          </cell>
          <cell r="BB543">
            <v>13920</v>
          </cell>
          <cell r="BC543">
            <v>0</v>
          </cell>
          <cell r="BD543">
            <v>0</v>
          </cell>
          <cell r="BE543">
            <v>0</v>
          </cell>
          <cell r="BF543">
            <v>39</v>
          </cell>
          <cell r="BG543">
            <v>13920</v>
          </cell>
          <cell r="BH543">
            <v>7656</v>
          </cell>
          <cell r="BI543">
            <v>0</v>
          </cell>
          <cell r="BJ543">
            <v>14500</v>
          </cell>
          <cell r="BK543">
            <v>13920</v>
          </cell>
          <cell r="BL543">
            <v>0</v>
          </cell>
          <cell r="BM543">
            <v>0</v>
          </cell>
          <cell r="BN543">
            <v>0</v>
          </cell>
          <cell r="BO543">
            <v>0</v>
          </cell>
          <cell r="BP543">
            <v>0</v>
          </cell>
          <cell r="BQ543">
            <v>0</v>
          </cell>
          <cell r="BR543">
            <v>13920</v>
          </cell>
          <cell r="BT543">
            <v>2</v>
          </cell>
          <cell r="BU543">
            <v>2</v>
          </cell>
          <cell r="BV543" t="str">
            <v>Y</v>
          </cell>
          <cell r="BW543">
            <v>0</v>
          </cell>
          <cell r="BX543">
            <v>0</v>
          </cell>
          <cell r="BY543">
            <v>2026</v>
          </cell>
          <cell r="BZ543" t="str">
            <v>-</v>
          </cell>
          <cell r="CA543" t="str">
            <v>-</v>
          </cell>
        </row>
        <row r="544">
          <cell r="A544" t="str">
            <v>Lucknow</v>
          </cell>
          <cell r="B544" t="str">
            <v>Mavericks</v>
          </cell>
          <cell r="C544" t="str">
            <v>Mid Level</v>
          </cell>
          <cell r="D544" t="str">
            <v>Kashif Nabi</v>
          </cell>
          <cell r="F544" t="str">
            <v>Non-MSP</v>
          </cell>
          <cell r="H544" t="str">
            <v>Arpit Gupta</v>
          </cell>
          <cell r="J544" t="str">
            <v>ACH</v>
          </cell>
          <cell r="L544" t="str">
            <v>New</v>
          </cell>
          <cell r="M544">
            <v>46129</v>
          </cell>
          <cell r="N544">
            <v>73</v>
          </cell>
          <cell r="P544">
            <v>46494</v>
          </cell>
          <cell r="Q544" t="str">
            <v>PLC-4813</v>
          </cell>
          <cell r="R544" t="str">
            <v>Rizwanuddin Muhammad Qazi</v>
          </cell>
          <cell r="S544" t="str">
            <v>Individual</v>
          </cell>
          <cell r="T544" t="str">
            <v>C2C</v>
          </cell>
          <cell r="U544" t="str">
            <v>Genpact</v>
          </cell>
          <cell r="V544">
            <v>89.5</v>
          </cell>
          <cell r="W544">
            <v>0</v>
          </cell>
          <cell r="X544" t="str">
            <v>USD</v>
          </cell>
          <cell r="Y544">
            <v>95</v>
          </cell>
          <cell r="Z544">
            <v>0</v>
          </cell>
          <cell r="AA544">
            <v>0</v>
          </cell>
          <cell r="AB544">
            <v>0</v>
          </cell>
          <cell r="AC544">
            <v>46157</v>
          </cell>
          <cell r="AD544">
            <v>10</v>
          </cell>
          <cell r="AE544">
            <v>46387</v>
          </cell>
          <cell r="AF544">
            <v>89.5</v>
          </cell>
          <cell r="AG544">
            <v>0</v>
          </cell>
          <cell r="AH544">
            <v>89.5</v>
          </cell>
          <cell r="AI544">
            <v>95</v>
          </cell>
          <cell r="AJ544">
            <v>0</v>
          </cell>
          <cell r="AK544">
            <v>0</v>
          </cell>
          <cell r="AL544">
            <v>5.5</v>
          </cell>
          <cell r="AM544">
            <v>0</v>
          </cell>
          <cell r="AN544">
            <v>5.5</v>
          </cell>
          <cell r="AO544">
            <v>0</v>
          </cell>
          <cell r="AP544">
            <v>5.5</v>
          </cell>
          <cell r="AQ544" t="str">
            <v>US_27948</v>
          </cell>
          <cell r="AR544">
            <v>0</v>
          </cell>
          <cell r="AS544">
            <v>120</v>
          </cell>
          <cell r="AU544">
            <v>120</v>
          </cell>
          <cell r="AV544">
            <v>0</v>
          </cell>
          <cell r="AW544">
            <v>660</v>
          </cell>
          <cell r="AX544">
            <v>653.4</v>
          </cell>
          <cell r="AY544">
            <v>0</v>
          </cell>
          <cell r="AZ544">
            <v>660</v>
          </cell>
          <cell r="BA544">
            <v>653.4</v>
          </cell>
          <cell r="BB544">
            <v>660</v>
          </cell>
          <cell r="BC544">
            <v>0</v>
          </cell>
          <cell r="BD544">
            <v>0</v>
          </cell>
          <cell r="BE544">
            <v>0</v>
          </cell>
          <cell r="BG544">
            <v>653.4</v>
          </cell>
          <cell r="BI544">
            <v>0</v>
          </cell>
          <cell r="BJ544">
            <v>11400</v>
          </cell>
          <cell r="BK544">
            <v>11400</v>
          </cell>
          <cell r="BL544">
            <v>10740</v>
          </cell>
          <cell r="BM544">
            <v>0</v>
          </cell>
          <cell r="BN544">
            <v>0</v>
          </cell>
          <cell r="BO544">
            <v>0</v>
          </cell>
          <cell r="BP544">
            <v>10740</v>
          </cell>
          <cell r="BQ544">
            <v>0</v>
          </cell>
          <cell r="BR544">
            <v>660</v>
          </cell>
          <cell r="BT544">
            <v>2</v>
          </cell>
          <cell r="BU544">
            <v>2</v>
          </cell>
          <cell r="BV544" t="str">
            <v>Y</v>
          </cell>
          <cell r="BW544">
            <v>0</v>
          </cell>
          <cell r="BX544">
            <v>0</v>
          </cell>
          <cell r="BY544">
            <v>2026</v>
          </cell>
          <cell r="BZ544" t="str">
            <v>-</v>
          </cell>
          <cell r="CA544" t="str">
            <v>-</v>
          </cell>
        </row>
        <row r="545">
          <cell r="A545" t="str">
            <v>Lucknow</v>
          </cell>
          <cell r="B545" t="str">
            <v>Mavericks</v>
          </cell>
          <cell r="C545" t="str">
            <v>Mid Level</v>
          </cell>
          <cell r="D545" t="str">
            <v>Kashif Nabi</v>
          </cell>
          <cell r="F545" t="str">
            <v>Non-MSP</v>
          </cell>
          <cell r="H545" t="str">
            <v>Arpit Gupta</v>
          </cell>
          <cell r="J545" t="str">
            <v>ACH</v>
          </cell>
          <cell r="L545" t="str">
            <v>New</v>
          </cell>
          <cell r="M545">
            <v>46129</v>
          </cell>
          <cell r="N545">
            <v>73</v>
          </cell>
          <cell r="P545">
            <v>46494</v>
          </cell>
          <cell r="Q545" t="str">
            <v>PLC-4813</v>
          </cell>
          <cell r="R545" t="str">
            <v>Rizwanuddin Muhammad Qazi</v>
          </cell>
          <cell r="S545" t="str">
            <v>Individual</v>
          </cell>
          <cell r="T545" t="str">
            <v>C2C</v>
          </cell>
          <cell r="U545" t="str">
            <v>Genpact</v>
          </cell>
          <cell r="V545">
            <v>89.5</v>
          </cell>
          <cell r="W545">
            <v>0</v>
          </cell>
          <cell r="X545" t="str">
            <v>USD</v>
          </cell>
          <cell r="Y545">
            <v>95</v>
          </cell>
          <cell r="Z545">
            <v>0</v>
          </cell>
          <cell r="AA545">
            <v>0</v>
          </cell>
          <cell r="AB545">
            <v>0</v>
          </cell>
          <cell r="AC545">
            <v>46127</v>
          </cell>
          <cell r="AD545">
            <v>10</v>
          </cell>
          <cell r="AE545">
            <v>46387</v>
          </cell>
          <cell r="AF545">
            <v>89.5</v>
          </cell>
          <cell r="AG545">
            <v>0</v>
          </cell>
          <cell r="AH545">
            <v>89.5</v>
          </cell>
          <cell r="AI545">
            <v>95</v>
          </cell>
          <cell r="AJ545">
            <v>0</v>
          </cell>
          <cell r="AK545">
            <v>0</v>
          </cell>
          <cell r="AL545">
            <v>5.5</v>
          </cell>
          <cell r="AM545">
            <v>0</v>
          </cell>
          <cell r="AN545">
            <v>5.5</v>
          </cell>
          <cell r="AO545">
            <v>0</v>
          </cell>
          <cell r="AP545">
            <v>5.5</v>
          </cell>
          <cell r="AU545">
            <v>80</v>
          </cell>
          <cell r="BB545">
            <v>440</v>
          </cell>
          <cell r="BC545">
            <v>0</v>
          </cell>
          <cell r="BD545">
            <v>0</v>
          </cell>
          <cell r="BE545">
            <v>0</v>
          </cell>
          <cell r="BI545">
            <v>0</v>
          </cell>
          <cell r="BK545">
            <v>7600</v>
          </cell>
          <cell r="BL545">
            <v>7160</v>
          </cell>
          <cell r="BM545">
            <v>0</v>
          </cell>
          <cell r="BN545">
            <v>0</v>
          </cell>
          <cell r="BO545">
            <v>0</v>
          </cell>
          <cell r="BP545">
            <v>7160</v>
          </cell>
          <cell r="BQ545">
            <v>0</v>
          </cell>
          <cell r="BR545">
            <v>440</v>
          </cell>
          <cell r="BT545">
            <v>2</v>
          </cell>
          <cell r="BU545">
            <v>2</v>
          </cell>
          <cell r="BV545" t="str">
            <v>Y</v>
          </cell>
          <cell r="BW545">
            <v>0</v>
          </cell>
          <cell r="BX545">
            <v>0</v>
          </cell>
          <cell r="BY545">
            <v>2026</v>
          </cell>
          <cell r="BZ545" t="str">
            <v>-</v>
          </cell>
          <cell r="CA545" t="str">
            <v>-</v>
          </cell>
        </row>
        <row r="546">
          <cell r="A546" t="str">
            <v>Lucknow</v>
          </cell>
          <cell r="B546" t="str">
            <v>Chennai</v>
          </cell>
          <cell r="C546" t="str">
            <v>Mid Level</v>
          </cell>
          <cell r="D546" t="str">
            <v>Akbar Ibrahim</v>
          </cell>
          <cell r="E546" t="str">
            <v>-</v>
          </cell>
          <cell r="F546" t="str">
            <v>Non-MSP</v>
          </cell>
          <cell r="H546" t="str">
            <v>Kishore Gopi</v>
          </cell>
          <cell r="L546" t="str">
            <v>New</v>
          </cell>
          <cell r="M546">
            <v>46111</v>
          </cell>
          <cell r="N546">
            <v>91</v>
          </cell>
          <cell r="P546">
            <v>46476</v>
          </cell>
          <cell r="Q546" t="str">
            <v>PLC-4810</v>
          </cell>
          <cell r="R546" t="str">
            <v>Rohini Prashanthi Patel</v>
          </cell>
          <cell r="S546" t="str">
            <v>Individual</v>
          </cell>
          <cell r="T546" t="str">
            <v>C2C</v>
          </cell>
          <cell r="U546" t="str">
            <v>LTIMindtree</v>
          </cell>
          <cell r="V546">
            <v>66</v>
          </cell>
          <cell r="W546">
            <v>0</v>
          </cell>
          <cell r="X546" t="str">
            <v>USD</v>
          </cell>
          <cell r="Y546">
            <v>75</v>
          </cell>
          <cell r="Z546">
            <v>0</v>
          </cell>
          <cell r="AA546">
            <v>0</v>
          </cell>
          <cell r="AB546">
            <v>0</v>
          </cell>
          <cell r="AC546">
            <v>46096</v>
          </cell>
          <cell r="AD546">
            <v>2</v>
          </cell>
          <cell r="AE546">
            <v>46387</v>
          </cell>
          <cell r="AF546">
            <v>66</v>
          </cell>
          <cell r="AG546">
            <v>0</v>
          </cell>
          <cell r="AH546">
            <v>66</v>
          </cell>
          <cell r="AI546">
            <v>72.75</v>
          </cell>
          <cell r="AJ546">
            <v>0</v>
          </cell>
          <cell r="AK546">
            <v>0</v>
          </cell>
          <cell r="AL546">
            <v>6.75</v>
          </cell>
          <cell r="AM546">
            <v>0</v>
          </cell>
          <cell r="AN546">
            <v>6.75</v>
          </cell>
          <cell r="AO546">
            <v>0</v>
          </cell>
          <cell r="AP546">
            <v>6.75</v>
          </cell>
          <cell r="AQ546" t="str">
            <v>US_27443</v>
          </cell>
          <cell r="AR546">
            <v>0</v>
          </cell>
          <cell r="AS546">
            <v>16</v>
          </cell>
          <cell r="AU546">
            <v>16</v>
          </cell>
          <cell r="AV546">
            <v>0</v>
          </cell>
          <cell r="AW546">
            <v>108</v>
          </cell>
          <cell r="AX546">
            <v>108</v>
          </cell>
          <cell r="AY546">
            <v>0</v>
          </cell>
          <cell r="AZ546">
            <v>108</v>
          </cell>
          <cell r="BA546">
            <v>108</v>
          </cell>
          <cell r="BB546">
            <v>108</v>
          </cell>
          <cell r="BC546">
            <v>66.666666666666657</v>
          </cell>
          <cell r="BD546">
            <v>142.56</v>
          </cell>
          <cell r="BE546">
            <v>142.56</v>
          </cell>
          <cell r="BG546">
            <v>108</v>
          </cell>
          <cell r="BI546">
            <v>108</v>
          </cell>
          <cell r="BJ546">
            <v>1200</v>
          </cell>
          <cell r="BK546">
            <v>1164</v>
          </cell>
          <cell r="BL546">
            <v>1056</v>
          </cell>
          <cell r="BM546">
            <v>0</v>
          </cell>
          <cell r="BN546">
            <v>0</v>
          </cell>
          <cell r="BO546">
            <v>0</v>
          </cell>
          <cell r="BP546">
            <v>1056</v>
          </cell>
          <cell r="BQ546">
            <v>0</v>
          </cell>
          <cell r="BR546">
            <v>108</v>
          </cell>
          <cell r="BS546" t="str">
            <v>Y</v>
          </cell>
          <cell r="BT546">
            <v>1</v>
          </cell>
          <cell r="BU546">
            <v>1</v>
          </cell>
          <cell r="BV546" t="str">
            <v>N</v>
          </cell>
          <cell r="BW546">
            <v>285.12</v>
          </cell>
          <cell r="BX546">
            <v>285.12</v>
          </cell>
          <cell r="BY546">
            <v>2026</v>
          </cell>
          <cell r="BZ546" t="str">
            <v>-</v>
          </cell>
          <cell r="CA546" t="str">
            <v>-</v>
          </cell>
        </row>
        <row r="547">
          <cell r="A547" t="str">
            <v>Lucknow</v>
          </cell>
          <cell r="B547" t="str">
            <v>Chennai</v>
          </cell>
          <cell r="C547" t="str">
            <v>Mid Level</v>
          </cell>
          <cell r="D547" t="str">
            <v>Akbar Ibrahim</v>
          </cell>
          <cell r="E547" t="str">
            <v>-</v>
          </cell>
          <cell r="F547" t="str">
            <v>Non-MSP</v>
          </cell>
          <cell r="H547" t="str">
            <v>Kishore Gopi</v>
          </cell>
          <cell r="J547" t="str">
            <v>ACH</v>
          </cell>
          <cell r="L547" t="str">
            <v>New</v>
          </cell>
          <cell r="M547">
            <v>46111</v>
          </cell>
          <cell r="N547">
            <v>91</v>
          </cell>
          <cell r="P547">
            <v>46476</v>
          </cell>
          <cell r="Q547" t="str">
            <v>PLC-4810</v>
          </cell>
          <cell r="R547" t="str">
            <v>Rohini Prashanthi Patel</v>
          </cell>
          <cell r="S547" t="str">
            <v>Individual</v>
          </cell>
          <cell r="T547" t="str">
            <v>C2C</v>
          </cell>
          <cell r="U547" t="str">
            <v>LTIMindtree</v>
          </cell>
          <cell r="V547">
            <v>66</v>
          </cell>
          <cell r="W547">
            <v>0</v>
          </cell>
          <cell r="X547" t="str">
            <v>USD</v>
          </cell>
          <cell r="Y547">
            <v>75</v>
          </cell>
          <cell r="Z547">
            <v>0</v>
          </cell>
          <cell r="AA547">
            <v>0</v>
          </cell>
          <cell r="AB547">
            <v>0</v>
          </cell>
          <cell r="AC547">
            <v>46127</v>
          </cell>
          <cell r="AD547">
            <v>22</v>
          </cell>
          <cell r="AE547">
            <v>46387</v>
          </cell>
          <cell r="AF547">
            <v>66</v>
          </cell>
          <cell r="AG547">
            <v>0</v>
          </cell>
          <cell r="AH547">
            <v>66</v>
          </cell>
          <cell r="AI547">
            <v>72.75</v>
          </cell>
          <cell r="AJ547">
            <v>0</v>
          </cell>
          <cell r="AK547">
            <v>0</v>
          </cell>
          <cell r="AL547">
            <v>6.75</v>
          </cell>
          <cell r="AM547">
            <v>0</v>
          </cell>
          <cell r="AN547">
            <v>6.75</v>
          </cell>
          <cell r="AO547">
            <v>0</v>
          </cell>
          <cell r="AP547">
            <v>6.75</v>
          </cell>
          <cell r="AQ547" t="str">
            <v>US_27672</v>
          </cell>
          <cell r="AR547">
            <v>0</v>
          </cell>
          <cell r="AS547">
            <v>176</v>
          </cell>
          <cell r="AU547">
            <v>176</v>
          </cell>
          <cell r="AV547">
            <v>0</v>
          </cell>
          <cell r="AW547">
            <v>1188</v>
          </cell>
          <cell r="AX547">
            <v>1176.1199999999999</v>
          </cell>
          <cell r="AY547">
            <v>0</v>
          </cell>
          <cell r="AZ547">
            <v>1188</v>
          </cell>
          <cell r="BA547">
            <v>1176.1199999999999</v>
          </cell>
          <cell r="BB547">
            <v>1188</v>
          </cell>
          <cell r="BC547">
            <v>66.666666666666657</v>
          </cell>
          <cell r="BD547">
            <v>1552.4784</v>
          </cell>
          <cell r="BE547">
            <v>1552.4784</v>
          </cell>
          <cell r="BG547">
            <v>1176.1199999999999</v>
          </cell>
          <cell r="BI547">
            <v>1176.1199999999999</v>
          </cell>
          <cell r="BJ547">
            <v>13200</v>
          </cell>
          <cell r="BK547">
            <v>12804</v>
          </cell>
          <cell r="BL547">
            <v>11616</v>
          </cell>
          <cell r="BM547">
            <v>0</v>
          </cell>
          <cell r="BN547">
            <v>0</v>
          </cell>
          <cell r="BO547">
            <v>0</v>
          </cell>
          <cell r="BP547">
            <v>11616</v>
          </cell>
          <cell r="BQ547">
            <v>0</v>
          </cell>
          <cell r="BR547">
            <v>1188</v>
          </cell>
          <cell r="BT547">
            <v>2</v>
          </cell>
          <cell r="BU547">
            <v>1</v>
          </cell>
          <cell r="BV547" t="str">
            <v>N</v>
          </cell>
          <cell r="BW547">
            <v>3104.9567999999999</v>
          </cell>
          <cell r="BX547">
            <v>3104.9567999999999</v>
          </cell>
          <cell r="BY547">
            <v>2026</v>
          </cell>
          <cell r="BZ547" t="str">
            <v>-</v>
          </cell>
          <cell r="CA547" t="str">
            <v>-</v>
          </cell>
        </row>
        <row r="548">
          <cell r="A548" t="str">
            <v>Lucknow</v>
          </cell>
          <cell r="B548" t="str">
            <v>Chennai</v>
          </cell>
          <cell r="C548" t="str">
            <v>Mid Level</v>
          </cell>
          <cell r="D548" t="str">
            <v>Akbar Ibrahim</v>
          </cell>
          <cell r="E548" t="str">
            <v>-</v>
          </cell>
          <cell r="F548" t="str">
            <v>Non-MSP</v>
          </cell>
          <cell r="H548" t="str">
            <v>Kishore Gopi</v>
          </cell>
          <cell r="J548" t="str">
            <v>ACH</v>
          </cell>
          <cell r="L548" t="str">
            <v>New</v>
          </cell>
          <cell r="M548">
            <v>46111</v>
          </cell>
          <cell r="N548">
            <v>91</v>
          </cell>
          <cell r="P548">
            <v>46476</v>
          </cell>
          <cell r="Q548" t="str">
            <v>PLC-4810</v>
          </cell>
          <cell r="R548" t="str">
            <v>Rohini Prashanthi Patel</v>
          </cell>
          <cell r="S548" t="str">
            <v>Individual</v>
          </cell>
          <cell r="T548" t="str">
            <v>C2C</v>
          </cell>
          <cell r="U548" t="str">
            <v>LTIMindtree</v>
          </cell>
          <cell r="V548">
            <v>66</v>
          </cell>
          <cell r="W548">
            <v>0</v>
          </cell>
          <cell r="X548" t="str">
            <v>USD</v>
          </cell>
          <cell r="Y548">
            <v>75</v>
          </cell>
          <cell r="Z548">
            <v>0</v>
          </cell>
          <cell r="AA548">
            <v>0</v>
          </cell>
          <cell r="AB548">
            <v>0</v>
          </cell>
          <cell r="AC548">
            <v>46157</v>
          </cell>
          <cell r="AD548">
            <v>22</v>
          </cell>
          <cell r="AE548">
            <v>46387</v>
          </cell>
          <cell r="AF548">
            <v>66</v>
          </cell>
          <cell r="AG548">
            <v>0</v>
          </cell>
          <cell r="AH548">
            <v>66</v>
          </cell>
          <cell r="AI548">
            <v>72.75</v>
          </cell>
          <cell r="AJ548">
            <v>0</v>
          </cell>
          <cell r="AK548">
            <v>0</v>
          </cell>
          <cell r="AL548">
            <v>6.75</v>
          </cell>
          <cell r="AM548">
            <v>0</v>
          </cell>
          <cell r="AN548">
            <v>6.75</v>
          </cell>
          <cell r="AO548">
            <v>0</v>
          </cell>
          <cell r="AP548">
            <v>6.75</v>
          </cell>
          <cell r="AQ548" t="str">
            <v>US_27943</v>
          </cell>
          <cell r="AR548">
            <v>0</v>
          </cell>
          <cell r="AS548">
            <v>152</v>
          </cell>
          <cell r="AU548">
            <v>152</v>
          </cell>
          <cell r="AV548">
            <v>0</v>
          </cell>
          <cell r="AW548">
            <v>1026</v>
          </cell>
          <cell r="AX548">
            <v>1015.74</v>
          </cell>
          <cell r="AY548">
            <v>0</v>
          </cell>
          <cell r="AZ548">
            <v>1026</v>
          </cell>
          <cell r="BA548">
            <v>1015.74</v>
          </cell>
          <cell r="BB548">
            <v>1026</v>
          </cell>
          <cell r="BC548">
            <v>66.666666666666657</v>
          </cell>
          <cell r="BD548">
            <v>1340.7767999999999</v>
          </cell>
          <cell r="BE548">
            <v>1340.7767999999999</v>
          </cell>
          <cell r="BG548">
            <v>1015.74</v>
          </cell>
          <cell r="BI548">
            <v>1015.74</v>
          </cell>
          <cell r="BJ548">
            <v>11400</v>
          </cell>
          <cell r="BK548">
            <v>11058</v>
          </cell>
          <cell r="BL548">
            <v>10032</v>
          </cell>
          <cell r="BM548">
            <v>0</v>
          </cell>
          <cell r="BN548">
            <v>0</v>
          </cell>
          <cell r="BO548">
            <v>0</v>
          </cell>
          <cell r="BP548">
            <v>10032</v>
          </cell>
          <cell r="BQ548">
            <v>0</v>
          </cell>
          <cell r="BR548">
            <v>1026</v>
          </cell>
          <cell r="BT548">
            <v>2</v>
          </cell>
          <cell r="BU548">
            <v>1</v>
          </cell>
          <cell r="BV548" t="str">
            <v>N</v>
          </cell>
          <cell r="BW548">
            <v>2681.5535999999997</v>
          </cell>
          <cell r="BX548">
            <v>2681.5535999999997</v>
          </cell>
          <cell r="BY548">
            <v>2026</v>
          </cell>
          <cell r="BZ548" t="str">
            <v>-</v>
          </cell>
          <cell r="CA548" t="str">
            <v>-</v>
          </cell>
        </row>
        <row r="549">
          <cell r="A549" t="str">
            <v>Lucknow</v>
          </cell>
          <cell r="B549" t="str">
            <v>Titans</v>
          </cell>
          <cell r="C549" t="str">
            <v>Mid Level</v>
          </cell>
          <cell r="D549" t="str">
            <v>Nitin Saxena</v>
          </cell>
          <cell r="E549" t="str">
            <v>-</v>
          </cell>
          <cell r="F549" t="str">
            <v>Non-MSP</v>
          </cell>
          <cell r="H549" t="str">
            <v>Aviral Shukla</v>
          </cell>
          <cell r="J549" t="str">
            <v>ACH</v>
          </cell>
          <cell r="L549" t="str">
            <v>New</v>
          </cell>
          <cell r="M549">
            <v>46079</v>
          </cell>
          <cell r="N549">
            <v>123</v>
          </cell>
          <cell r="P549">
            <v>46444</v>
          </cell>
          <cell r="Q549" t="str">
            <v>PLC-4753</v>
          </cell>
          <cell r="R549" t="str">
            <v>Rosa Hisela Porras-Rivera</v>
          </cell>
          <cell r="S549" t="str">
            <v>Individual</v>
          </cell>
          <cell r="T549">
            <v>1099</v>
          </cell>
          <cell r="U549" t="str">
            <v>Genpact</v>
          </cell>
          <cell r="V549">
            <v>20</v>
          </cell>
          <cell r="W549">
            <v>0</v>
          </cell>
          <cell r="X549" t="str">
            <v>USD</v>
          </cell>
          <cell r="Y549">
            <v>28</v>
          </cell>
          <cell r="Z549">
            <v>0</v>
          </cell>
          <cell r="AA549">
            <v>0</v>
          </cell>
          <cell r="AB549">
            <v>0</v>
          </cell>
          <cell r="AC549">
            <v>46068</v>
          </cell>
          <cell r="AD549">
            <v>2</v>
          </cell>
          <cell r="AE549">
            <v>46387</v>
          </cell>
          <cell r="AF549">
            <v>21.400000000000002</v>
          </cell>
          <cell r="AG549">
            <v>0</v>
          </cell>
          <cell r="AH549">
            <v>21.400000000000002</v>
          </cell>
          <cell r="AI549">
            <v>28</v>
          </cell>
          <cell r="AJ549">
            <v>0</v>
          </cell>
          <cell r="AK549">
            <v>0</v>
          </cell>
          <cell r="AL549">
            <v>6.5999999999999979</v>
          </cell>
          <cell r="AM549">
            <v>0</v>
          </cell>
          <cell r="AN549">
            <v>6.5999999999999979</v>
          </cell>
          <cell r="AO549">
            <v>0</v>
          </cell>
          <cell r="AP549">
            <v>6.5999999999999979</v>
          </cell>
          <cell r="AQ549" t="str">
            <v>US_27190</v>
          </cell>
          <cell r="AR549">
            <v>0</v>
          </cell>
          <cell r="AS549">
            <v>16</v>
          </cell>
          <cell r="AU549">
            <v>16</v>
          </cell>
          <cell r="AV549">
            <v>0</v>
          </cell>
          <cell r="AW549">
            <v>105.59999999999997</v>
          </cell>
          <cell r="AX549">
            <v>104.54399999999997</v>
          </cell>
          <cell r="AY549">
            <v>0</v>
          </cell>
          <cell r="AZ549">
            <v>105.59999999999997</v>
          </cell>
          <cell r="BA549">
            <v>104.54399999999997</v>
          </cell>
          <cell r="BB549">
            <v>105.59999999999997</v>
          </cell>
          <cell r="BC549">
            <v>0</v>
          </cell>
          <cell r="BD549">
            <v>0</v>
          </cell>
          <cell r="BE549">
            <v>0</v>
          </cell>
          <cell r="BG549">
            <v>104.54399999999997</v>
          </cell>
          <cell r="BI549">
            <v>104.54399999999997</v>
          </cell>
          <cell r="BJ549">
            <v>448</v>
          </cell>
          <cell r="BK549">
            <v>448</v>
          </cell>
          <cell r="BL549">
            <v>320</v>
          </cell>
          <cell r="BM549">
            <v>1.4000000000000001</v>
          </cell>
          <cell r="BN549">
            <v>0</v>
          </cell>
          <cell r="BO549">
            <v>22.400000000000002</v>
          </cell>
          <cell r="BP549">
            <v>342.4</v>
          </cell>
          <cell r="BQ549">
            <v>1.4000000000000001</v>
          </cell>
          <cell r="BR549">
            <v>105.6</v>
          </cell>
          <cell r="BS549" t="str">
            <v>Y</v>
          </cell>
          <cell r="BT549">
            <v>1</v>
          </cell>
          <cell r="BU549">
            <v>1</v>
          </cell>
          <cell r="BV549" t="str">
            <v>N</v>
          </cell>
          <cell r="BW549">
            <v>0</v>
          </cell>
          <cell r="BX549">
            <v>0</v>
          </cell>
          <cell r="BY549">
            <v>2026</v>
          </cell>
          <cell r="BZ549" t="str">
            <v>-</v>
          </cell>
          <cell r="CA549" t="str">
            <v>-</v>
          </cell>
        </row>
        <row r="550">
          <cell r="A550" t="str">
            <v>Lucknow</v>
          </cell>
          <cell r="B550" t="str">
            <v>Titans</v>
          </cell>
          <cell r="C550" t="str">
            <v>Mid Level</v>
          </cell>
          <cell r="D550" t="str">
            <v>Nitin Saxena</v>
          </cell>
          <cell r="E550" t="str">
            <v>-</v>
          </cell>
          <cell r="F550" t="str">
            <v>Non-MSP</v>
          </cell>
          <cell r="H550" t="str">
            <v>Aviral Shukla</v>
          </cell>
          <cell r="J550" t="str">
            <v>ACH</v>
          </cell>
          <cell r="L550" t="str">
            <v>New</v>
          </cell>
          <cell r="M550">
            <v>46079</v>
          </cell>
          <cell r="N550">
            <v>123</v>
          </cell>
          <cell r="P550">
            <v>46444</v>
          </cell>
          <cell r="Q550" t="str">
            <v>PLC-4753</v>
          </cell>
          <cell r="R550" t="str">
            <v>Rosa Hisela Porras-Rivera</v>
          </cell>
          <cell r="S550" t="str">
            <v>Individual</v>
          </cell>
          <cell r="T550">
            <v>1099</v>
          </cell>
          <cell r="U550" t="str">
            <v>Genpact</v>
          </cell>
          <cell r="V550">
            <v>20</v>
          </cell>
          <cell r="W550">
            <v>0</v>
          </cell>
          <cell r="X550" t="str">
            <v>USD</v>
          </cell>
          <cell r="Y550">
            <v>28</v>
          </cell>
          <cell r="Z550">
            <v>0</v>
          </cell>
          <cell r="AA550">
            <v>0</v>
          </cell>
          <cell r="AB550">
            <v>0</v>
          </cell>
          <cell r="AC550">
            <v>46096</v>
          </cell>
          <cell r="AD550">
            <v>22</v>
          </cell>
          <cell r="AE550">
            <v>46387</v>
          </cell>
          <cell r="AF550">
            <v>21.400000000000002</v>
          </cell>
          <cell r="AG550">
            <v>0</v>
          </cell>
          <cell r="AH550">
            <v>21.400000000000002</v>
          </cell>
          <cell r="AI550">
            <v>28</v>
          </cell>
          <cell r="AJ550">
            <v>0</v>
          </cell>
          <cell r="AK550">
            <v>0</v>
          </cell>
          <cell r="AL550">
            <v>6.5999999999999979</v>
          </cell>
          <cell r="AM550">
            <v>0</v>
          </cell>
          <cell r="AN550">
            <v>6.5999999999999979</v>
          </cell>
          <cell r="AO550">
            <v>0</v>
          </cell>
          <cell r="AP550">
            <v>6.5999999999999979</v>
          </cell>
          <cell r="AQ550" t="str">
            <v>US_27403</v>
          </cell>
          <cell r="AR550">
            <v>0</v>
          </cell>
          <cell r="AS550">
            <v>176</v>
          </cell>
          <cell r="AU550">
            <v>176</v>
          </cell>
          <cell r="AV550">
            <v>0</v>
          </cell>
          <cell r="AW550">
            <v>1161.5999999999997</v>
          </cell>
          <cell r="AX550">
            <v>1149.9839999999997</v>
          </cell>
          <cell r="AY550">
            <v>0</v>
          </cell>
          <cell r="AZ550">
            <v>1161.5999999999997</v>
          </cell>
          <cell r="BA550">
            <v>1149.9839999999997</v>
          </cell>
          <cell r="BB550">
            <v>1161.5999999999997</v>
          </cell>
          <cell r="BC550">
            <v>0</v>
          </cell>
          <cell r="BD550">
            <v>0</v>
          </cell>
          <cell r="BE550">
            <v>0</v>
          </cell>
          <cell r="BG550">
            <v>1149.9839999999997</v>
          </cell>
          <cell r="BI550">
            <v>1149.9839999999997</v>
          </cell>
          <cell r="BJ550">
            <v>4928</v>
          </cell>
          <cell r="BK550">
            <v>4928</v>
          </cell>
          <cell r="BL550">
            <v>3520</v>
          </cell>
          <cell r="BM550">
            <v>1.4000000000000001</v>
          </cell>
          <cell r="BN550">
            <v>0</v>
          </cell>
          <cell r="BO550">
            <v>246.40000000000003</v>
          </cell>
          <cell r="BP550">
            <v>3766.4</v>
          </cell>
          <cell r="BQ550">
            <v>1.4000000000000001</v>
          </cell>
          <cell r="BR550">
            <v>1161.5999999999999</v>
          </cell>
          <cell r="BS550" t="str">
            <v>Y</v>
          </cell>
          <cell r="BT550">
            <v>1</v>
          </cell>
          <cell r="BU550">
            <v>1</v>
          </cell>
          <cell r="BV550" t="str">
            <v>N</v>
          </cell>
          <cell r="BW550">
            <v>0</v>
          </cell>
          <cell r="BX550">
            <v>0</v>
          </cell>
          <cell r="BY550">
            <v>2026</v>
          </cell>
          <cell r="BZ550" t="str">
            <v>-</v>
          </cell>
          <cell r="CA550" t="str">
            <v>-</v>
          </cell>
        </row>
        <row r="551">
          <cell r="A551" t="str">
            <v>Lucknow</v>
          </cell>
          <cell r="B551" t="str">
            <v>Titans</v>
          </cell>
          <cell r="C551" t="str">
            <v>Mid Level</v>
          </cell>
          <cell r="D551" t="str">
            <v>Nitin Saxena</v>
          </cell>
          <cell r="E551" t="str">
            <v>-</v>
          </cell>
          <cell r="F551" t="str">
            <v>Non-MSP</v>
          </cell>
          <cell r="H551" t="str">
            <v>Aviral Shukla</v>
          </cell>
          <cell r="J551" t="str">
            <v>ACH</v>
          </cell>
          <cell r="L551" t="str">
            <v>New</v>
          </cell>
          <cell r="M551">
            <v>46079</v>
          </cell>
          <cell r="N551">
            <v>123</v>
          </cell>
          <cell r="P551">
            <v>46444</v>
          </cell>
          <cell r="Q551" t="str">
            <v>PLC-4753</v>
          </cell>
          <cell r="R551" t="str">
            <v>Rosa Hisela Porras-Rivera</v>
          </cell>
          <cell r="S551" t="str">
            <v>Individual</v>
          </cell>
          <cell r="T551">
            <v>1099</v>
          </cell>
          <cell r="U551" t="str">
            <v>Genpact</v>
          </cell>
          <cell r="V551">
            <v>20</v>
          </cell>
          <cell r="W551">
            <v>0</v>
          </cell>
          <cell r="X551" t="str">
            <v>USD</v>
          </cell>
          <cell r="Y551">
            <v>28</v>
          </cell>
          <cell r="Z551">
            <v>0</v>
          </cell>
          <cell r="AA551">
            <v>0</v>
          </cell>
          <cell r="AB551">
            <v>0</v>
          </cell>
          <cell r="AC551">
            <v>46127</v>
          </cell>
          <cell r="AD551">
            <v>22</v>
          </cell>
          <cell r="AE551">
            <v>46387</v>
          </cell>
          <cell r="AF551">
            <v>21.400000000000002</v>
          </cell>
          <cell r="AG551">
            <v>0</v>
          </cell>
          <cell r="AH551">
            <v>21.400000000000002</v>
          </cell>
          <cell r="AI551">
            <v>28</v>
          </cell>
          <cell r="AJ551">
            <v>0</v>
          </cell>
          <cell r="AK551">
            <v>0</v>
          </cell>
          <cell r="AL551">
            <v>6.5999999999999979</v>
          </cell>
          <cell r="AM551">
            <v>0</v>
          </cell>
          <cell r="AN551">
            <v>6.5999999999999979</v>
          </cell>
          <cell r="AO551">
            <v>0</v>
          </cell>
          <cell r="AP551">
            <v>6.5999999999999979</v>
          </cell>
          <cell r="AQ551" t="str">
            <v>US_27636</v>
          </cell>
          <cell r="AR551">
            <v>0</v>
          </cell>
          <cell r="AS551">
            <v>175</v>
          </cell>
          <cell r="AU551">
            <v>175</v>
          </cell>
          <cell r="AV551">
            <v>0</v>
          </cell>
          <cell r="AW551">
            <v>1154.9999999999995</v>
          </cell>
          <cell r="AX551">
            <v>1143.4499999999996</v>
          </cell>
          <cell r="AY551">
            <v>0</v>
          </cell>
          <cell r="AZ551">
            <v>1154.9999999999995</v>
          </cell>
          <cell r="BA551">
            <v>1143.4499999999996</v>
          </cell>
          <cell r="BB551">
            <v>1154.9999999999995</v>
          </cell>
          <cell r="BC551">
            <v>0</v>
          </cell>
          <cell r="BD551">
            <v>0</v>
          </cell>
          <cell r="BE551">
            <v>0</v>
          </cell>
          <cell r="BG551">
            <v>1143.4499999999996</v>
          </cell>
          <cell r="BI551">
            <v>1143.4499999999996</v>
          </cell>
          <cell r="BJ551">
            <v>4900</v>
          </cell>
          <cell r="BK551">
            <v>4900</v>
          </cell>
          <cell r="BL551">
            <v>3500</v>
          </cell>
          <cell r="BM551">
            <v>1.4000000000000001</v>
          </cell>
          <cell r="BN551">
            <v>0</v>
          </cell>
          <cell r="BO551">
            <v>245.00000000000003</v>
          </cell>
          <cell r="BP551">
            <v>3745</v>
          </cell>
          <cell r="BQ551">
            <v>1.4000000000000001</v>
          </cell>
          <cell r="BR551">
            <v>1155</v>
          </cell>
          <cell r="BT551">
            <v>2</v>
          </cell>
          <cell r="BU551">
            <v>1</v>
          </cell>
          <cell r="BV551" t="str">
            <v>Y</v>
          </cell>
          <cell r="BW551">
            <v>0</v>
          </cell>
          <cell r="BX551">
            <v>0</v>
          </cell>
          <cell r="BY551">
            <v>2026</v>
          </cell>
          <cell r="BZ551" t="str">
            <v>-</v>
          </cell>
          <cell r="CA551" t="str">
            <v>-</v>
          </cell>
        </row>
        <row r="552">
          <cell r="A552" t="str">
            <v>Lucknow</v>
          </cell>
          <cell r="B552" t="str">
            <v>Titans</v>
          </cell>
          <cell r="C552" t="str">
            <v>Mid Level</v>
          </cell>
          <cell r="D552" t="str">
            <v>Nitin Saxena</v>
          </cell>
          <cell r="E552" t="str">
            <v>-</v>
          </cell>
          <cell r="F552" t="str">
            <v>Non-MSP</v>
          </cell>
          <cell r="H552" t="str">
            <v>Aviral Shukla</v>
          </cell>
          <cell r="J552" t="str">
            <v>ACH</v>
          </cell>
          <cell r="L552" t="str">
            <v>New</v>
          </cell>
          <cell r="M552">
            <v>46079</v>
          </cell>
          <cell r="N552">
            <v>123</v>
          </cell>
          <cell r="P552">
            <v>46444</v>
          </cell>
          <cell r="Q552" t="str">
            <v>PLC-4753</v>
          </cell>
          <cell r="R552" t="str">
            <v>Rosa Hisela Porras-Rivera</v>
          </cell>
          <cell r="S552" t="str">
            <v>Individual</v>
          </cell>
          <cell r="T552">
            <v>1099</v>
          </cell>
          <cell r="U552" t="str">
            <v>Genpact</v>
          </cell>
          <cell r="V552">
            <v>20</v>
          </cell>
          <cell r="W552">
            <v>0</v>
          </cell>
          <cell r="X552" t="str">
            <v>USD</v>
          </cell>
          <cell r="Y552">
            <v>28</v>
          </cell>
          <cell r="Z552">
            <v>0</v>
          </cell>
          <cell r="AA552">
            <v>0</v>
          </cell>
          <cell r="AB552">
            <v>0</v>
          </cell>
          <cell r="AC552">
            <v>46157</v>
          </cell>
          <cell r="AD552">
            <v>22</v>
          </cell>
          <cell r="AE552">
            <v>46387</v>
          </cell>
          <cell r="AF552">
            <v>21.400000000000002</v>
          </cell>
          <cell r="AG552">
            <v>0</v>
          </cell>
          <cell r="AH552">
            <v>21.400000000000002</v>
          </cell>
          <cell r="AI552">
            <v>28</v>
          </cell>
          <cell r="AJ552">
            <v>0</v>
          </cell>
          <cell r="AK552">
            <v>0</v>
          </cell>
          <cell r="AL552">
            <v>6.5999999999999979</v>
          </cell>
          <cell r="AM552">
            <v>0</v>
          </cell>
          <cell r="AN552">
            <v>6.5999999999999979</v>
          </cell>
          <cell r="AO552">
            <v>0</v>
          </cell>
          <cell r="AP552">
            <v>6.5999999999999979</v>
          </cell>
          <cell r="AQ552" t="str">
            <v>US_27921</v>
          </cell>
          <cell r="AR552">
            <v>0</v>
          </cell>
          <cell r="AS552">
            <v>151.88999999999999</v>
          </cell>
          <cell r="AU552">
            <v>151.88999999999999</v>
          </cell>
          <cell r="AV552">
            <v>0</v>
          </cell>
          <cell r="AW552">
            <v>1002.4739999999996</v>
          </cell>
          <cell r="AX552">
            <v>992.44925999999964</v>
          </cell>
          <cell r="AY552">
            <v>0</v>
          </cell>
          <cell r="AZ552">
            <v>1002.4739999999996</v>
          </cell>
          <cell r="BA552">
            <v>992.44925999999964</v>
          </cell>
          <cell r="BB552">
            <v>1002.4739999999996</v>
          </cell>
          <cell r="BC552">
            <v>0</v>
          </cell>
          <cell r="BD552">
            <v>0</v>
          </cell>
          <cell r="BE552">
            <v>0</v>
          </cell>
          <cell r="BG552">
            <v>992.44925999999964</v>
          </cell>
          <cell r="BI552">
            <v>992.44925999999964</v>
          </cell>
          <cell r="BJ552">
            <v>4252.92</v>
          </cell>
          <cell r="BK552">
            <v>4252.92</v>
          </cell>
          <cell r="BL552">
            <v>3037.7999999999997</v>
          </cell>
          <cell r="BM552">
            <v>1.4000000000000001</v>
          </cell>
          <cell r="BN552">
            <v>0</v>
          </cell>
          <cell r="BO552">
            <v>212.64600000000002</v>
          </cell>
          <cell r="BP552">
            <v>3250.4459999999999</v>
          </cell>
          <cell r="BQ552">
            <v>1.4000000000000001</v>
          </cell>
          <cell r="BR552">
            <v>1002.4740000000004</v>
          </cell>
          <cell r="BT552">
            <v>2</v>
          </cell>
          <cell r="BU552">
            <v>1</v>
          </cell>
          <cell r="BV552" t="str">
            <v>Y</v>
          </cell>
          <cell r="BW552">
            <v>0</v>
          </cell>
          <cell r="BX552">
            <v>0</v>
          </cell>
          <cell r="BY552">
            <v>2026</v>
          </cell>
          <cell r="BZ552" t="str">
            <v>-</v>
          </cell>
          <cell r="CA552" t="str">
            <v>-</v>
          </cell>
        </row>
        <row r="553">
          <cell r="A553" t="str">
            <v>Lucknow</v>
          </cell>
          <cell r="B553" t="str">
            <v>Titans</v>
          </cell>
          <cell r="C553" t="str">
            <v>Mid Level</v>
          </cell>
          <cell r="D553" t="str">
            <v>Abhishek Yadav</v>
          </cell>
          <cell r="E553" t="str">
            <v>-</v>
          </cell>
          <cell r="F553" t="str">
            <v>Non-MSP</v>
          </cell>
          <cell r="H553" t="str">
            <v>Shubham Tripathi</v>
          </cell>
          <cell r="L553" t="str">
            <v>New</v>
          </cell>
          <cell r="M553">
            <v>46059</v>
          </cell>
          <cell r="N553">
            <v>143</v>
          </cell>
          <cell r="P553">
            <v>46424</v>
          </cell>
          <cell r="Q553" t="str">
            <v>PLC-4687</v>
          </cell>
          <cell r="R553" t="str">
            <v>Rowena Cabanes</v>
          </cell>
          <cell r="S553" t="str">
            <v>Individual</v>
          </cell>
          <cell r="T553" t="str">
            <v>C2C Canada</v>
          </cell>
          <cell r="U553" t="str">
            <v>Genpact</v>
          </cell>
          <cell r="V553">
            <v>50</v>
          </cell>
          <cell r="W553">
            <v>0</v>
          </cell>
          <cell r="X553" t="str">
            <v>CAD</v>
          </cell>
          <cell r="Y553">
            <v>65</v>
          </cell>
          <cell r="Z553">
            <v>0</v>
          </cell>
          <cell r="AA553">
            <v>0</v>
          </cell>
          <cell r="AB553">
            <v>0</v>
          </cell>
          <cell r="AC553">
            <v>46068</v>
          </cell>
          <cell r="AD553">
            <v>16</v>
          </cell>
          <cell r="AE553">
            <v>46387</v>
          </cell>
          <cell r="AF553">
            <v>35.5</v>
          </cell>
          <cell r="AG553">
            <v>0</v>
          </cell>
          <cell r="AH553">
            <v>35.5</v>
          </cell>
          <cell r="AI553">
            <v>46.15</v>
          </cell>
          <cell r="AJ553">
            <v>0</v>
          </cell>
          <cell r="AK553">
            <v>0</v>
          </cell>
          <cell r="AL553">
            <v>10.649999999999999</v>
          </cell>
          <cell r="AM553">
            <v>0</v>
          </cell>
          <cell r="AN553">
            <v>10.649999999999999</v>
          </cell>
          <cell r="AO553">
            <v>0</v>
          </cell>
          <cell r="AP553">
            <v>10.649999999999999</v>
          </cell>
          <cell r="AQ553" t="str">
            <v>CAD_2009</v>
          </cell>
          <cell r="AR553">
            <v>0</v>
          </cell>
          <cell r="AS553">
            <v>120</v>
          </cell>
          <cell r="AU553">
            <v>120</v>
          </cell>
          <cell r="AV553">
            <v>0</v>
          </cell>
          <cell r="AW553">
            <v>1277.9999999999998</v>
          </cell>
          <cell r="AX553">
            <v>1277.9999999999998</v>
          </cell>
          <cell r="AY553">
            <v>0</v>
          </cell>
          <cell r="AZ553">
            <v>1277.9999999999998</v>
          </cell>
          <cell r="BA553">
            <v>1277.9999999999998</v>
          </cell>
          <cell r="BB553">
            <v>1277.9999999999998</v>
          </cell>
          <cell r="BC553">
            <v>42.857142857142854</v>
          </cell>
          <cell r="BD553">
            <v>1686.9599999999998</v>
          </cell>
          <cell r="BE553">
            <v>1686.9599999999998</v>
          </cell>
          <cell r="BG553">
            <v>1277.9999999999998</v>
          </cell>
          <cell r="BI553">
            <v>1277.9999999999998</v>
          </cell>
          <cell r="BJ553">
            <v>7800</v>
          </cell>
          <cell r="BK553">
            <v>5538</v>
          </cell>
          <cell r="BL553">
            <v>4445.3999999999996</v>
          </cell>
          <cell r="BM553">
            <v>0</v>
          </cell>
          <cell r="BN553">
            <v>0</v>
          </cell>
          <cell r="BO553">
            <v>0</v>
          </cell>
          <cell r="BP553">
            <v>4445.3999999999996</v>
          </cell>
          <cell r="BQ553">
            <v>0</v>
          </cell>
          <cell r="BR553">
            <v>1092.6000000000004</v>
          </cell>
          <cell r="BS553" t="str">
            <v>Y</v>
          </cell>
          <cell r="BT553">
            <v>1</v>
          </cell>
          <cell r="BU553">
            <v>1</v>
          </cell>
          <cell r="BV553" t="str">
            <v>N</v>
          </cell>
          <cell r="BW553">
            <v>3373.9199999999996</v>
          </cell>
          <cell r="BX553">
            <v>3373.9199999999996</v>
          </cell>
          <cell r="BY553">
            <v>2026</v>
          </cell>
          <cell r="BZ553" t="str">
            <v>-</v>
          </cell>
          <cell r="CA553" t="str">
            <v>-</v>
          </cell>
        </row>
        <row r="554">
          <cell r="A554" t="str">
            <v>Lucknow</v>
          </cell>
          <cell r="B554" t="str">
            <v>Titans</v>
          </cell>
          <cell r="C554" t="str">
            <v>Mid Level</v>
          </cell>
          <cell r="D554" t="str">
            <v>Abhishek Yadav</v>
          </cell>
          <cell r="E554" t="str">
            <v>-</v>
          </cell>
          <cell r="F554" t="str">
            <v>Non-MSP</v>
          </cell>
          <cell r="H554" t="str">
            <v>Shubham Tripathi</v>
          </cell>
          <cell r="L554" t="str">
            <v>New</v>
          </cell>
          <cell r="M554">
            <v>46059</v>
          </cell>
          <cell r="N554">
            <v>143</v>
          </cell>
          <cell r="P554">
            <v>46424</v>
          </cell>
          <cell r="Q554" t="str">
            <v>PLC-4687</v>
          </cell>
          <cell r="R554" t="str">
            <v>Rowena Cabanes</v>
          </cell>
          <cell r="S554" t="str">
            <v>Individual</v>
          </cell>
          <cell r="T554" t="str">
            <v>C2C Canada</v>
          </cell>
          <cell r="U554" t="str">
            <v>Genpact</v>
          </cell>
          <cell r="V554">
            <v>50</v>
          </cell>
          <cell r="W554">
            <v>0</v>
          </cell>
          <cell r="X554" t="str">
            <v>CAD</v>
          </cell>
          <cell r="Y554">
            <v>65</v>
          </cell>
          <cell r="Z554">
            <v>0</v>
          </cell>
          <cell r="AA554">
            <v>0</v>
          </cell>
          <cell r="AB554">
            <v>0</v>
          </cell>
          <cell r="AC554">
            <v>46096</v>
          </cell>
          <cell r="AD554">
            <v>22</v>
          </cell>
          <cell r="AE554">
            <v>46387</v>
          </cell>
          <cell r="AF554">
            <v>35.5</v>
          </cell>
          <cell r="AG554">
            <v>0</v>
          </cell>
          <cell r="AH554">
            <v>35.5</v>
          </cell>
          <cell r="AI554">
            <v>46.15</v>
          </cell>
          <cell r="AJ554">
            <v>0</v>
          </cell>
          <cell r="AK554">
            <v>0</v>
          </cell>
          <cell r="AL554">
            <v>10.649999999999999</v>
          </cell>
          <cell r="AM554">
            <v>0</v>
          </cell>
          <cell r="AN554">
            <v>10.649999999999999</v>
          </cell>
          <cell r="AO554">
            <v>0</v>
          </cell>
          <cell r="AP554">
            <v>10.649999999999999</v>
          </cell>
          <cell r="AQ554" t="str">
            <v>CAD_2047</v>
          </cell>
          <cell r="AR554">
            <v>0</v>
          </cell>
          <cell r="AS554">
            <v>176</v>
          </cell>
          <cell r="AU554">
            <v>176</v>
          </cell>
          <cell r="AV554">
            <v>0</v>
          </cell>
          <cell r="AW554">
            <v>1874.3999999999996</v>
          </cell>
          <cell r="AX554">
            <v>1874.3999999999996</v>
          </cell>
          <cell r="AY554">
            <v>0</v>
          </cell>
          <cell r="AZ554">
            <v>1874.3999999999996</v>
          </cell>
          <cell r="BA554">
            <v>1874.3999999999996</v>
          </cell>
          <cell r="BB554">
            <v>1874.3999999999996</v>
          </cell>
          <cell r="BC554">
            <v>42.857142857142854</v>
          </cell>
          <cell r="BD554">
            <v>2474.2079999999996</v>
          </cell>
          <cell r="BE554">
            <v>2474.2079999999996</v>
          </cell>
          <cell r="BG554">
            <v>1874.3999999999996</v>
          </cell>
          <cell r="BI554">
            <v>1874.3999999999996</v>
          </cell>
          <cell r="BJ554">
            <v>11440</v>
          </cell>
          <cell r="BK554">
            <v>8122.4</v>
          </cell>
          <cell r="BL554">
            <v>6519.92</v>
          </cell>
          <cell r="BM554">
            <v>0</v>
          </cell>
          <cell r="BN554">
            <v>0</v>
          </cell>
          <cell r="BO554">
            <v>0</v>
          </cell>
          <cell r="BP554">
            <v>6519.92</v>
          </cell>
          <cell r="BQ554">
            <v>0</v>
          </cell>
          <cell r="BR554">
            <v>1602.4799999999996</v>
          </cell>
          <cell r="BS554" t="str">
            <v>Y</v>
          </cell>
          <cell r="BT554">
            <v>1</v>
          </cell>
          <cell r="BU554">
            <v>1</v>
          </cell>
          <cell r="BV554" t="str">
            <v>N</v>
          </cell>
          <cell r="BW554">
            <v>4948.4159999999993</v>
          </cell>
          <cell r="BX554">
            <v>4948.4159999999993</v>
          </cell>
          <cell r="BY554">
            <v>2026</v>
          </cell>
          <cell r="BZ554" t="str">
            <v>-</v>
          </cell>
          <cell r="CA554" t="str">
            <v>-</v>
          </cell>
        </row>
        <row r="555">
          <cell r="A555" t="str">
            <v>Lucknow</v>
          </cell>
          <cell r="B555" t="str">
            <v>Titans</v>
          </cell>
          <cell r="C555" t="str">
            <v>Mid Level</v>
          </cell>
          <cell r="D555" t="str">
            <v>Abhishek Yadav</v>
          </cell>
          <cell r="E555" t="str">
            <v>-</v>
          </cell>
          <cell r="F555" t="str">
            <v>Non-MSP</v>
          </cell>
          <cell r="H555" t="str">
            <v>Shubham Tripathi</v>
          </cell>
          <cell r="J555" t="str">
            <v>ACH</v>
          </cell>
          <cell r="L555" t="str">
            <v>New</v>
          </cell>
          <cell r="M555">
            <v>46059</v>
          </cell>
          <cell r="N555">
            <v>143</v>
          </cell>
          <cell r="P555">
            <v>46424</v>
          </cell>
          <cell r="Q555" t="str">
            <v>PLC-4687</v>
          </cell>
          <cell r="R555" t="str">
            <v>Rowena Cabanes</v>
          </cell>
          <cell r="S555" t="str">
            <v>Individual</v>
          </cell>
          <cell r="T555" t="str">
            <v>C2C Canada</v>
          </cell>
          <cell r="U555" t="str">
            <v>Genpact</v>
          </cell>
          <cell r="V555">
            <v>50</v>
          </cell>
          <cell r="W555">
            <v>0</v>
          </cell>
          <cell r="X555" t="str">
            <v>CAD</v>
          </cell>
          <cell r="Y555">
            <v>65</v>
          </cell>
          <cell r="Z555">
            <v>0</v>
          </cell>
          <cell r="AA555">
            <v>0</v>
          </cell>
          <cell r="AB555">
            <v>0</v>
          </cell>
          <cell r="AC555">
            <v>46127</v>
          </cell>
          <cell r="AD555">
            <v>22</v>
          </cell>
          <cell r="AE555">
            <v>46387</v>
          </cell>
          <cell r="AF555">
            <v>35.5</v>
          </cell>
          <cell r="AG555">
            <v>0</v>
          </cell>
          <cell r="AH555">
            <v>35.5</v>
          </cell>
          <cell r="AI555">
            <v>46.15</v>
          </cell>
          <cell r="AJ555">
            <v>0</v>
          </cell>
          <cell r="AK555">
            <v>0</v>
          </cell>
          <cell r="AL555">
            <v>10.649999999999999</v>
          </cell>
          <cell r="AM555">
            <v>0</v>
          </cell>
          <cell r="AN555">
            <v>10.649999999999999</v>
          </cell>
          <cell r="AO555">
            <v>0</v>
          </cell>
          <cell r="AP555">
            <v>10.649999999999999</v>
          </cell>
          <cell r="AQ555" t="str">
            <v>CAD_2145</v>
          </cell>
          <cell r="AR555">
            <v>0</v>
          </cell>
          <cell r="AS555">
            <v>168</v>
          </cell>
          <cell r="AU555">
            <v>168</v>
          </cell>
          <cell r="AV555">
            <v>0</v>
          </cell>
          <cell r="AW555">
            <v>1789.1999999999998</v>
          </cell>
          <cell r="AX555">
            <v>1771.3079999999998</v>
          </cell>
          <cell r="AY555">
            <v>0</v>
          </cell>
          <cell r="AZ555">
            <v>1789.1999999999998</v>
          </cell>
          <cell r="BA555">
            <v>1771.3079999999998</v>
          </cell>
          <cell r="BB555">
            <v>1789.1999999999998</v>
          </cell>
          <cell r="BC555">
            <v>42.857142857142854</v>
          </cell>
          <cell r="BD555">
            <v>2338.1265599999997</v>
          </cell>
          <cell r="BE555">
            <v>2338.1265599999997</v>
          </cell>
          <cell r="BG555">
            <v>1771.3079999999998</v>
          </cell>
          <cell r="BI555">
            <v>1771.3079999999998</v>
          </cell>
          <cell r="BJ555">
            <v>10920</v>
          </cell>
          <cell r="BK555">
            <v>7753.2</v>
          </cell>
          <cell r="BL555">
            <v>6223.56</v>
          </cell>
          <cell r="BM555">
            <v>0</v>
          </cell>
          <cell r="BN555">
            <v>0</v>
          </cell>
          <cell r="BO555">
            <v>0</v>
          </cell>
          <cell r="BP555">
            <v>6223.56</v>
          </cell>
          <cell r="BQ555">
            <v>0</v>
          </cell>
          <cell r="BR555">
            <v>1529.6399999999994</v>
          </cell>
          <cell r="BT555">
            <v>2</v>
          </cell>
          <cell r="BU555">
            <v>1</v>
          </cell>
          <cell r="BV555" t="str">
            <v>N</v>
          </cell>
          <cell r="BW555">
            <v>4676.2531199999994</v>
          </cell>
          <cell r="BX555">
            <v>4676.2531199999994</v>
          </cell>
          <cell r="BY555">
            <v>2026</v>
          </cell>
          <cell r="BZ555" t="str">
            <v>-</v>
          </cell>
          <cell r="CA555" t="str">
            <v>-</v>
          </cell>
        </row>
        <row r="556">
          <cell r="A556" t="str">
            <v>Lucknow</v>
          </cell>
          <cell r="B556" t="str">
            <v>Titans</v>
          </cell>
          <cell r="C556" t="str">
            <v>Mid Level</v>
          </cell>
          <cell r="D556" t="str">
            <v>Abhishek Yadav</v>
          </cell>
          <cell r="E556" t="str">
            <v>-</v>
          </cell>
          <cell r="F556" t="str">
            <v>Non-MSP</v>
          </cell>
          <cell r="H556" t="str">
            <v>Shubham Tripathi</v>
          </cell>
          <cell r="J556" t="str">
            <v>ACH</v>
          </cell>
          <cell r="L556" t="str">
            <v>New</v>
          </cell>
          <cell r="M556">
            <v>46059</v>
          </cell>
          <cell r="N556">
            <v>143</v>
          </cell>
          <cell r="P556">
            <v>46424</v>
          </cell>
          <cell r="Q556" t="str">
            <v>PLC-4687</v>
          </cell>
          <cell r="R556" t="str">
            <v>Rowena Cabanes</v>
          </cell>
          <cell r="S556" t="str">
            <v>Individual</v>
          </cell>
          <cell r="T556" t="str">
            <v>C2C Canada</v>
          </cell>
          <cell r="U556" t="str">
            <v>Genpact</v>
          </cell>
          <cell r="V556">
            <v>50</v>
          </cell>
          <cell r="W556">
            <v>0</v>
          </cell>
          <cell r="X556" t="str">
            <v>CAD</v>
          </cell>
          <cell r="Y556">
            <v>65</v>
          </cell>
          <cell r="Z556">
            <v>0</v>
          </cell>
          <cell r="AA556">
            <v>0</v>
          </cell>
          <cell r="AB556">
            <v>0</v>
          </cell>
          <cell r="AC556">
            <v>46157</v>
          </cell>
          <cell r="AD556">
            <v>22</v>
          </cell>
          <cell r="AE556">
            <v>46387</v>
          </cell>
          <cell r="AF556">
            <v>35.5</v>
          </cell>
          <cell r="AG556">
            <v>0</v>
          </cell>
          <cell r="AH556">
            <v>35.5</v>
          </cell>
          <cell r="AI556">
            <v>46.15</v>
          </cell>
          <cell r="AJ556">
            <v>0</v>
          </cell>
          <cell r="AK556">
            <v>0</v>
          </cell>
          <cell r="AL556">
            <v>10.649999999999999</v>
          </cell>
          <cell r="AM556">
            <v>0</v>
          </cell>
          <cell r="AN556">
            <v>10.649999999999999</v>
          </cell>
          <cell r="AO556">
            <v>0</v>
          </cell>
          <cell r="AP556">
            <v>10.649999999999999</v>
          </cell>
          <cell r="AQ556" t="str">
            <v>CAD_2186</v>
          </cell>
          <cell r="AR556">
            <v>0</v>
          </cell>
          <cell r="AS556">
            <v>160</v>
          </cell>
          <cell r="AU556">
            <v>160</v>
          </cell>
          <cell r="AV556">
            <v>0</v>
          </cell>
          <cell r="AW556">
            <v>1703.9999999999998</v>
          </cell>
          <cell r="AX556">
            <v>1686.9599999999998</v>
          </cell>
          <cell r="AY556">
            <v>0</v>
          </cell>
          <cell r="AZ556">
            <v>1703.9999999999998</v>
          </cell>
          <cell r="BA556">
            <v>1686.9599999999998</v>
          </cell>
          <cell r="BB556">
            <v>1703.9999999999998</v>
          </cell>
          <cell r="BC556">
            <v>42.857142857142854</v>
          </cell>
          <cell r="BD556">
            <v>2226.7871999999998</v>
          </cell>
          <cell r="BE556">
            <v>2226.7871999999998</v>
          </cell>
          <cell r="BG556">
            <v>1686.9599999999998</v>
          </cell>
          <cell r="BI556">
            <v>1686.9599999999998</v>
          </cell>
          <cell r="BJ556">
            <v>10400</v>
          </cell>
          <cell r="BK556">
            <v>7384</v>
          </cell>
          <cell r="BL556">
            <v>5927.2</v>
          </cell>
          <cell r="BM556">
            <v>0</v>
          </cell>
          <cell r="BN556">
            <v>0</v>
          </cell>
          <cell r="BO556">
            <v>0</v>
          </cell>
          <cell r="BP556">
            <v>5927.2</v>
          </cell>
          <cell r="BQ556">
            <v>0</v>
          </cell>
          <cell r="BR556">
            <v>1456.8000000000002</v>
          </cell>
          <cell r="BT556">
            <v>2</v>
          </cell>
          <cell r="BU556">
            <v>1</v>
          </cell>
          <cell r="BV556" t="str">
            <v>N</v>
          </cell>
          <cell r="BW556">
            <v>4453.5743999999995</v>
          </cell>
          <cell r="BX556">
            <v>4453.5743999999995</v>
          </cell>
          <cell r="BY556">
            <v>2026</v>
          </cell>
          <cell r="BZ556" t="str">
            <v>-</v>
          </cell>
          <cell r="CA556" t="str">
            <v>-</v>
          </cell>
        </row>
        <row r="557">
          <cell r="A557" t="str">
            <v>Lucknow</v>
          </cell>
          <cell r="B557" t="str">
            <v>Titans</v>
          </cell>
          <cell r="C557" t="str">
            <v>Mid Level</v>
          </cell>
          <cell r="D557" t="str">
            <v>Aditya Yadav</v>
          </cell>
          <cell r="E557" t="str">
            <v>-</v>
          </cell>
          <cell r="F557" t="str">
            <v>Non-MSP</v>
          </cell>
          <cell r="H557" t="str">
            <v>Aastha Tiwari</v>
          </cell>
          <cell r="I557" t="str">
            <v>-</v>
          </cell>
          <cell r="L557" t="str">
            <v>New</v>
          </cell>
          <cell r="M557">
            <v>46168</v>
          </cell>
          <cell r="N557">
            <v>34</v>
          </cell>
          <cell r="P557">
            <v>46533</v>
          </cell>
          <cell r="Q557" t="str">
            <v>PLC-4537</v>
          </cell>
          <cell r="R557" t="str">
            <v>Ruby Hurry Wilson-2</v>
          </cell>
          <cell r="S557" t="str">
            <v>Individual</v>
          </cell>
          <cell r="T557" t="str">
            <v>FTE</v>
          </cell>
          <cell r="U557" t="str">
            <v>Genpact</v>
          </cell>
          <cell r="V557">
            <v>0</v>
          </cell>
          <cell r="W557">
            <v>0</v>
          </cell>
          <cell r="X557" t="str">
            <v>USD</v>
          </cell>
          <cell r="Y557">
            <v>1600</v>
          </cell>
          <cell r="Z557">
            <v>0</v>
          </cell>
          <cell r="AA557">
            <v>0</v>
          </cell>
          <cell r="AB557">
            <v>0</v>
          </cell>
          <cell r="AC557">
            <v>46157</v>
          </cell>
          <cell r="AD557">
            <v>1</v>
          </cell>
          <cell r="AE557">
            <v>46387</v>
          </cell>
          <cell r="AF557">
            <v>0</v>
          </cell>
          <cell r="AG557">
            <v>0</v>
          </cell>
          <cell r="AH557">
            <v>0</v>
          </cell>
          <cell r="AI557">
            <v>1600</v>
          </cell>
          <cell r="AJ557">
            <v>0</v>
          </cell>
          <cell r="AK557">
            <v>0</v>
          </cell>
          <cell r="AL557">
            <v>1600</v>
          </cell>
          <cell r="AM557">
            <v>0</v>
          </cell>
          <cell r="AN557">
            <v>1600</v>
          </cell>
          <cell r="AO557">
            <v>0</v>
          </cell>
          <cell r="AP557">
            <v>1600</v>
          </cell>
          <cell r="AQ557" t="str">
            <v>US_27726_A</v>
          </cell>
          <cell r="AR557">
            <v>0</v>
          </cell>
          <cell r="AS557">
            <v>1</v>
          </cell>
          <cell r="AU557">
            <v>1</v>
          </cell>
          <cell r="AV557">
            <v>0</v>
          </cell>
          <cell r="AW557">
            <v>1600</v>
          </cell>
          <cell r="AX557">
            <v>1600</v>
          </cell>
          <cell r="AY557">
            <v>0</v>
          </cell>
          <cell r="AZ557">
            <v>1600</v>
          </cell>
          <cell r="BA557">
            <v>1600</v>
          </cell>
          <cell r="BB557">
            <v>1600</v>
          </cell>
          <cell r="BC557">
            <v>0</v>
          </cell>
          <cell r="BD557">
            <v>0</v>
          </cell>
          <cell r="BE557">
            <v>0</v>
          </cell>
          <cell r="BG557">
            <v>1600</v>
          </cell>
          <cell r="BI557">
            <v>0</v>
          </cell>
          <cell r="BJ557">
            <v>1600</v>
          </cell>
          <cell r="BK557">
            <v>1600</v>
          </cell>
          <cell r="BL557">
            <v>0</v>
          </cell>
          <cell r="BM557">
            <v>0</v>
          </cell>
          <cell r="BN557">
            <v>0</v>
          </cell>
          <cell r="BO557">
            <v>0</v>
          </cell>
          <cell r="BP557">
            <v>0</v>
          </cell>
          <cell r="BQ557">
            <v>0</v>
          </cell>
          <cell r="BR557">
            <v>1600</v>
          </cell>
          <cell r="BT557">
            <v>2</v>
          </cell>
          <cell r="BU557">
            <v>2</v>
          </cell>
          <cell r="BV557" t="str">
            <v>Y</v>
          </cell>
          <cell r="BW557">
            <v>0</v>
          </cell>
          <cell r="BX557">
            <v>0</v>
          </cell>
          <cell r="BY557">
            <v>2026</v>
          </cell>
          <cell r="BZ557" t="str">
            <v>-</v>
          </cell>
          <cell r="CA557" t="str">
            <v>-</v>
          </cell>
        </row>
        <row r="558">
          <cell r="A558" t="str">
            <v>Lucknow</v>
          </cell>
          <cell r="B558" t="str">
            <v>Pioneer</v>
          </cell>
          <cell r="C558" t="str">
            <v>Mid Level</v>
          </cell>
          <cell r="D558" t="str">
            <v>Lucky Jain</v>
          </cell>
          <cell r="F558" t="str">
            <v>Non-MSP</v>
          </cell>
          <cell r="H558" t="str">
            <v>Ansh Singh Rathore</v>
          </cell>
          <cell r="L558" t="str">
            <v>New</v>
          </cell>
          <cell r="M558">
            <v>46164</v>
          </cell>
          <cell r="N558">
            <v>38</v>
          </cell>
          <cell r="P558">
            <v>46529</v>
          </cell>
          <cell r="R558" t="str">
            <v>Ryan Wheale</v>
          </cell>
          <cell r="S558" t="str">
            <v>Individual</v>
          </cell>
          <cell r="T558" t="str">
            <v>FTE</v>
          </cell>
          <cell r="U558" t="str">
            <v>Maveric System</v>
          </cell>
          <cell r="V558">
            <v>0</v>
          </cell>
          <cell r="W558">
            <v>0</v>
          </cell>
          <cell r="X558" t="str">
            <v>USD</v>
          </cell>
          <cell r="Y558">
            <v>9163</v>
          </cell>
          <cell r="Z558">
            <v>0</v>
          </cell>
          <cell r="AA558">
            <v>0</v>
          </cell>
          <cell r="AB558">
            <v>0</v>
          </cell>
          <cell r="AC558">
            <v>46157</v>
          </cell>
          <cell r="AD558">
            <v>1</v>
          </cell>
          <cell r="AE558">
            <v>46387</v>
          </cell>
          <cell r="AF558">
            <v>0</v>
          </cell>
          <cell r="AG558">
            <v>0</v>
          </cell>
          <cell r="AH558">
            <v>0</v>
          </cell>
          <cell r="AI558">
            <v>9163</v>
          </cell>
          <cell r="AJ558">
            <v>0</v>
          </cell>
          <cell r="AK558">
            <v>0</v>
          </cell>
          <cell r="AL558">
            <v>9163</v>
          </cell>
          <cell r="AM558">
            <v>0</v>
          </cell>
          <cell r="AN558">
            <v>9163</v>
          </cell>
          <cell r="AO558">
            <v>0</v>
          </cell>
          <cell r="AP558">
            <v>9163</v>
          </cell>
          <cell r="AU558">
            <v>1</v>
          </cell>
          <cell r="BB558">
            <v>9163</v>
          </cell>
          <cell r="BC558">
            <v>60</v>
          </cell>
          <cell r="BI558">
            <v>0</v>
          </cell>
          <cell r="BK558">
            <v>9163</v>
          </cell>
          <cell r="BL558">
            <v>0</v>
          </cell>
          <cell r="BM558">
            <v>0</v>
          </cell>
          <cell r="BN558">
            <v>0</v>
          </cell>
          <cell r="BO558">
            <v>0</v>
          </cell>
          <cell r="BP558">
            <v>0</v>
          </cell>
          <cell r="BQ558">
            <v>0</v>
          </cell>
          <cell r="BR558">
            <v>9163</v>
          </cell>
          <cell r="BT558">
            <v>2</v>
          </cell>
          <cell r="BU558">
            <v>2</v>
          </cell>
          <cell r="BV558" t="str">
            <v>Y</v>
          </cell>
          <cell r="BY558">
            <v>2026</v>
          </cell>
          <cell r="BZ558" t="str">
            <v>-</v>
          </cell>
          <cell r="CA558" t="str">
            <v>-</v>
          </cell>
        </row>
        <row r="559">
          <cell r="A559" t="str">
            <v>Lucknow</v>
          </cell>
          <cell r="B559" t="str">
            <v>Chennai</v>
          </cell>
          <cell r="C559" t="str">
            <v>Mid Level</v>
          </cell>
          <cell r="D559" t="str">
            <v>Akbar Ibrahim</v>
          </cell>
          <cell r="E559" t="str">
            <v>-</v>
          </cell>
          <cell r="F559" t="str">
            <v>Non-MSP</v>
          </cell>
          <cell r="H559" t="str">
            <v>Ramanan K</v>
          </cell>
          <cell r="L559" t="str">
            <v>New</v>
          </cell>
          <cell r="M559">
            <v>46084</v>
          </cell>
          <cell r="N559">
            <v>118</v>
          </cell>
          <cell r="P559">
            <v>46449</v>
          </cell>
          <cell r="Q559" t="str">
            <v>PLC-4789</v>
          </cell>
          <cell r="R559" t="str">
            <v>Sai Avinash Gorla</v>
          </cell>
          <cell r="S559" t="str">
            <v>Individual</v>
          </cell>
          <cell r="T559" t="str">
            <v>C2C</v>
          </cell>
          <cell r="U559" t="str">
            <v>Exaways</v>
          </cell>
          <cell r="V559">
            <v>67</v>
          </cell>
          <cell r="W559">
            <v>0</v>
          </cell>
          <cell r="X559" t="str">
            <v>USD</v>
          </cell>
          <cell r="Y559">
            <v>75</v>
          </cell>
          <cell r="Z559">
            <v>0</v>
          </cell>
          <cell r="AA559">
            <v>0</v>
          </cell>
          <cell r="AB559">
            <v>0</v>
          </cell>
          <cell r="AC559">
            <v>46096</v>
          </cell>
          <cell r="AD559">
            <v>21</v>
          </cell>
          <cell r="AE559">
            <v>46387</v>
          </cell>
          <cell r="AF559">
            <v>67</v>
          </cell>
          <cell r="AG559">
            <v>0</v>
          </cell>
          <cell r="AH559">
            <v>67</v>
          </cell>
          <cell r="AI559">
            <v>75</v>
          </cell>
          <cell r="AJ559">
            <v>0</v>
          </cell>
          <cell r="AK559">
            <v>0</v>
          </cell>
          <cell r="AL559">
            <v>8</v>
          </cell>
          <cell r="AM559">
            <v>0</v>
          </cell>
          <cell r="AN559">
            <v>8</v>
          </cell>
          <cell r="AO559">
            <v>0</v>
          </cell>
          <cell r="AP559">
            <v>8</v>
          </cell>
          <cell r="AQ559" t="str">
            <v>US_27426</v>
          </cell>
          <cell r="AR559">
            <v>0</v>
          </cell>
          <cell r="AS559">
            <v>168</v>
          </cell>
          <cell r="AU559">
            <v>168</v>
          </cell>
          <cell r="AV559">
            <v>0</v>
          </cell>
          <cell r="AW559">
            <v>1344</v>
          </cell>
          <cell r="AX559">
            <v>1344</v>
          </cell>
          <cell r="AY559">
            <v>0</v>
          </cell>
          <cell r="AZ559">
            <v>1344</v>
          </cell>
          <cell r="BA559">
            <v>1344</v>
          </cell>
          <cell r="BB559">
            <v>1344</v>
          </cell>
          <cell r="BC559">
            <v>0</v>
          </cell>
          <cell r="BD559">
            <v>0</v>
          </cell>
          <cell r="BE559">
            <v>0</v>
          </cell>
          <cell r="BG559">
            <v>1344</v>
          </cell>
          <cell r="BI559">
            <v>1344</v>
          </cell>
          <cell r="BJ559">
            <v>12600</v>
          </cell>
          <cell r="BK559">
            <v>12600</v>
          </cell>
          <cell r="BL559">
            <v>11256</v>
          </cell>
          <cell r="BM559">
            <v>0</v>
          </cell>
          <cell r="BN559">
            <v>0</v>
          </cell>
          <cell r="BO559">
            <v>0</v>
          </cell>
          <cell r="BP559">
            <v>11256</v>
          </cell>
          <cell r="BQ559">
            <v>0</v>
          </cell>
          <cell r="BR559">
            <v>1344</v>
          </cell>
          <cell r="BS559" t="str">
            <v>Y</v>
          </cell>
          <cell r="BT559">
            <v>1</v>
          </cell>
          <cell r="BU559">
            <v>1</v>
          </cell>
          <cell r="BV559" t="str">
            <v>N</v>
          </cell>
          <cell r="BW559">
            <v>0</v>
          </cell>
          <cell r="BX559">
            <v>0</v>
          </cell>
          <cell r="BY559">
            <v>2026</v>
          </cell>
          <cell r="BZ559" t="str">
            <v>-</v>
          </cell>
          <cell r="CA559" t="str">
            <v>-</v>
          </cell>
        </row>
        <row r="560">
          <cell r="A560" t="str">
            <v>Lucknow</v>
          </cell>
          <cell r="B560" t="str">
            <v>Chennai</v>
          </cell>
          <cell r="C560" t="str">
            <v>Mid Level</v>
          </cell>
          <cell r="D560" t="str">
            <v>Akbar Ibrahim</v>
          </cell>
          <cell r="E560" t="str">
            <v>-</v>
          </cell>
          <cell r="F560" t="str">
            <v>Non-MSP</v>
          </cell>
          <cell r="H560" t="str">
            <v>Ramanan K</v>
          </cell>
          <cell r="J560" t="str">
            <v>ACH</v>
          </cell>
          <cell r="L560" t="str">
            <v>New</v>
          </cell>
          <cell r="M560">
            <v>46084</v>
          </cell>
          <cell r="N560">
            <v>118</v>
          </cell>
          <cell r="P560">
            <v>46449</v>
          </cell>
          <cell r="Q560" t="str">
            <v>PLC-4789</v>
          </cell>
          <cell r="R560" t="str">
            <v>Sai Avinash Gorla</v>
          </cell>
          <cell r="S560" t="str">
            <v>Individual</v>
          </cell>
          <cell r="T560" t="str">
            <v>C2C</v>
          </cell>
          <cell r="U560" t="str">
            <v>Exaways</v>
          </cell>
          <cell r="V560">
            <v>67</v>
          </cell>
          <cell r="W560">
            <v>0</v>
          </cell>
          <cell r="X560" t="str">
            <v>USD</v>
          </cell>
          <cell r="Y560">
            <v>75</v>
          </cell>
          <cell r="Z560">
            <v>0</v>
          </cell>
          <cell r="AA560">
            <v>0</v>
          </cell>
          <cell r="AB560">
            <v>0</v>
          </cell>
          <cell r="AC560">
            <v>46127</v>
          </cell>
          <cell r="AD560">
            <v>22</v>
          </cell>
          <cell r="AE560">
            <v>46387</v>
          </cell>
          <cell r="AF560">
            <v>67</v>
          </cell>
          <cell r="AG560">
            <v>0</v>
          </cell>
          <cell r="AH560">
            <v>67</v>
          </cell>
          <cell r="AI560">
            <v>75</v>
          </cell>
          <cell r="AJ560">
            <v>0</v>
          </cell>
          <cell r="AK560">
            <v>0</v>
          </cell>
          <cell r="AL560">
            <v>8</v>
          </cell>
          <cell r="AM560">
            <v>0</v>
          </cell>
          <cell r="AN560">
            <v>8</v>
          </cell>
          <cell r="AO560">
            <v>0</v>
          </cell>
          <cell r="AP560">
            <v>8</v>
          </cell>
          <cell r="AQ560" t="str">
            <v>US_27657</v>
          </cell>
          <cell r="AR560">
            <v>0</v>
          </cell>
          <cell r="AS560">
            <v>176</v>
          </cell>
          <cell r="AU560">
            <v>176</v>
          </cell>
          <cell r="AV560">
            <v>0</v>
          </cell>
          <cell r="AW560">
            <v>1408</v>
          </cell>
          <cell r="AX560">
            <v>1393.92</v>
          </cell>
          <cell r="AY560">
            <v>0</v>
          </cell>
          <cell r="AZ560">
            <v>1408</v>
          </cell>
          <cell r="BA560">
            <v>1393.92</v>
          </cell>
          <cell r="BB560">
            <v>1408</v>
          </cell>
          <cell r="BC560">
            <v>0</v>
          </cell>
          <cell r="BD560">
            <v>0</v>
          </cell>
          <cell r="BE560">
            <v>0</v>
          </cell>
          <cell r="BG560">
            <v>1393.92</v>
          </cell>
          <cell r="BI560">
            <v>1393.92</v>
          </cell>
          <cell r="BJ560">
            <v>13200</v>
          </cell>
          <cell r="BK560">
            <v>13200</v>
          </cell>
          <cell r="BL560">
            <v>11792</v>
          </cell>
          <cell r="BM560">
            <v>0</v>
          </cell>
          <cell r="BN560">
            <v>0</v>
          </cell>
          <cell r="BO560">
            <v>0</v>
          </cell>
          <cell r="BP560">
            <v>11792</v>
          </cell>
          <cell r="BQ560">
            <v>0</v>
          </cell>
          <cell r="BR560">
            <v>1408</v>
          </cell>
          <cell r="BS560" t="str">
            <v>Y</v>
          </cell>
          <cell r="BT560">
            <v>2</v>
          </cell>
          <cell r="BU560">
            <v>1</v>
          </cell>
          <cell r="BV560" t="str">
            <v>N</v>
          </cell>
          <cell r="BW560">
            <v>0</v>
          </cell>
          <cell r="BX560">
            <v>0</v>
          </cell>
          <cell r="BY560">
            <v>2026</v>
          </cell>
          <cell r="BZ560" t="str">
            <v>-</v>
          </cell>
          <cell r="CA560" t="str">
            <v>-</v>
          </cell>
        </row>
        <row r="561">
          <cell r="A561" t="str">
            <v>Lucknow</v>
          </cell>
          <cell r="B561" t="str">
            <v>Chennai</v>
          </cell>
          <cell r="C561" t="str">
            <v>Mid Level</v>
          </cell>
          <cell r="D561" t="str">
            <v>Akbar Ibrahim</v>
          </cell>
          <cell r="E561" t="str">
            <v>-</v>
          </cell>
          <cell r="F561" t="str">
            <v>Non-MSP</v>
          </cell>
          <cell r="H561" t="str">
            <v>Ramanan K</v>
          </cell>
          <cell r="J561" t="str">
            <v>ACH</v>
          </cell>
          <cell r="L561" t="str">
            <v>New</v>
          </cell>
          <cell r="M561">
            <v>46084</v>
          </cell>
          <cell r="N561">
            <v>118</v>
          </cell>
          <cell r="P561">
            <v>46449</v>
          </cell>
          <cell r="Q561" t="str">
            <v>PLC-4789</v>
          </cell>
          <cell r="R561" t="str">
            <v>Sai Avinash Gorla</v>
          </cell>
          <cell r="S561" t="str">
            <v>Individual</v>
          </cell>
          <cell r="T561" t="str">
            <v>C2C</v>
          </cell>
          <cell r="U561" t="str">
            <v>Exaways</v>
          </cell>
          <cell r="V561">
            <v>67</v>
          </cell>
          <cell r="W561">
            <v>0</v>
          </cell>
          <cell r="X561" t="str">
            <v>USD</v>
          </cell>
          <cell r="Y561">
            <v>75</v>
          </cell>
          <cell r="Z561">
            <v>0</v>
          </cell>
          <cell r="AA561">
            <v>0</v>
          </cell>
          <cell r="AB561">
            <v>0</v>
          </cell>
          <cell r="AC561">
            <v>46157</v>
          </cell>
          <cell r="AD561">
            <v>22</v>
          </cell>
          <cell r="AE561">
            <v>46387</v>
          </cell>
          <cell r="AF561">
            <v>67</v>
          </cell>
          <cell r="AG561">
            <v>0</v>
          </cell>
          <cell r="AH561">
            <v>67</v>
          </cell>
          <cell r="AI561">
            <v>75</v>
          </cell>
          <cell r="AJ561">
            <v>0</v>
          </cell>
          <cell r="AK561">
            <v>0</v>
          </cell>
          <cell r="AL561">
            <v>8</v>
          </cell>
          <cell r="AM561">
            <v>0</v>
          </cell>
          <cell r="AN561">
            <v>8</v>
          </cell>
          <cell r="AO561">
            <v>0</v>
          </cell>
          <cell r="AP561">
            <v>8</v>
          </cell>
          <cell r="AQ561" t="str">
            <v>US_27936</v>
          </cell>
          <cell r="AR561">
            <v>0</v>
          </cell>
          <cell r="AS561">
            <v>168</v>
          </cell>
          <cell r="AU561">
            <v>168</v>
          </cell>
          <cell r="AV561">
            <v>0</v>
          </cell>
          <cell r="AW561">
            <v>1344</v>
          </cell>
          <cell r="AX561">
            <v>1330.56</v>
          </cell>
          <cell r="AY561">
            <v>0</v>
          </cell>
          <cell r="AZ561">
            <v>1344</v>
          </cell>
          <cell r="BA561">
            <v>1330.56</v>
          </cell>
          <cell r="BB561">
            <v>1344</v>
          </cell>
          <cell r="BC561">
            <v>0</v>
          </cell>
          <cell r="BD561">
            <v>0</v>
          </cell>
          <cell r="BE561">
            <v>0</v>
          </cell>
          <cell r="BG561">
            <v>1330.56</v>
          </cell>
          <cell r="BI561">
            <v>1330.56</v>
          </cell>
          <cell r="BJ561">
            <v>12600</v>
          </cell>
          <cell r="BK561">
            <v>12600</v>
          </cell>
          <cell r="BL561">
            <v>11256</v>
          </cell>
          <cell r="BM561">
            <v>0</v>
          </cell>
          <cell r="BN561">
            <v>0</v>
          </cell>
          <cell r="BO561">
            <v>0</v>
          </cell>
          <cell r="BP561">
            <v>11256</v>
          </cell>
          <cell r="BQ561">
            <v>0</v>
          </cell>
          <cell r="BR561">
            <v>1344</v>
          </cell>
          <cell r="BT561">
            <v>2</v>
          </cell>
          <cell r="BU561">
            <v>1</v>
          </cell>
          <cell r="BV561" t="str">
            <v>N</v>
          </cell>
          <cell r="BW561">
            <v>0</v>
          </cell>
          <cell r="BX561">
            <v>0</v>
          </cell>
          <cell r="BY561">
            <v>2026</v>
          </cell>
          <cell r="BZ561" t="str">
            <v>-</v>
          </cell>
          <cell r="CA561" t="str">
            <v>-</v>
          </cell>
        </row>
        <row r="562">
          <cell r="A562" t="str">
            <v>Lucknow</v>
          </cell>
          <cell r="B562" t="str">
            <v>Mavericks</v>
          </cell>
          <cell r="C562" t="str">
            <v>Mid Level</v>
          </cell>
          <cell r="D562" t="str">
            <v>Rohit Gupta</v>
          </cell>
          <cell r="E562" t="str">
            <v>Vivek Yadav</v>
          </cell>
          <cell r="F562" t="str">
            <v>Non-MSP</v>
          </cell>
          <cell r="H562" t="str">
            <v>Himanshu Gupta</v>
          </cell>
          <cell r="L562" t="str">
            <v>New</v>
          </cell>
          <cell r="M562">
            <v>46078</v>
          </cell>
          <cell r="N562">
            <v>124</v>
          </cell>
          <cell r="P562">
            <v>46443</v>
          </cell>
          <cell r="Q562" t="str">
            <v>PLC-4720</v>
          </cell>
          <cell r="R562" t="str">
            <v>Sai Krishna Chundi</v>
          </cell>
          <cell r="S562" t="str">
            <v>Individual</v>
          </cell>
          <cell r="T562" t="str">
            <v>C2C Canada</v>
          </cell>
          <cell r="U562" t="str">
            <v>CoForge</v>
          </cell>
          <cell r="V562">
            <v>53</v>
          </cell>
          <cell r="W562">
            <v>0</v>
          </cell>
          <cell r="X562" t="str">
            <v>CAD</v>
          </cell>
          <cell r="Y562">
            <v>66</v>
          </cell>
          <cell r="Z562">
            <v>0</v>
          </cell>
          <cell r="AA562">
            <v>261</v>
          </cell>
          <cell r="AB562">
            <v>0</v>
          </cell>
          <cell r="AC562">
            <v>46068</v>
          </cell>
          <cell r="AD562">
            <v>3</v>
          </cell>
          <cell r="AE562">
            <v>46387</v>
          </cell>
          <cell r="AF562">
            <v>37.629999999999995</v>
          </cell>
          <cell r="AG562">
            <v>0</v>
          </cell>
          <cell r="AH562">
            <v>37.629999999999995</v>
          </cell>
          <cell r="AI562">
            <v>46.86</v>
          </cell>
          <cell r="AJ562">
            <v>0</v>
          </cell>
          <cell r="AK562">
            <v>0</v>
          </cell>
          <cell r="AL562">
            <v>9.230000000000004</v>
          </cell>
          <cell r="AM562">
            <v>0</v>
          </cell>
          <cell r="AN562">
            <v>9.230000000000004</v>
          </cell>
          <cell r="AO562">
            <v>0</v>
          </cell>
          <cell r="AP562">
            <v>9.230000000000004</v>
          </cell>
          <cell r="AQ562" t="str">
            <v>CAD_2064</v>
          </cell>
          <cell r="AR562">
            <v>0</v>
          </cell>
          <cell r="AS562">
            <v>19.5</v>
          </cell>
          <cell r="AU562">
            <v>19.5</v>
          </cell>
          <cell r="AV562">
            <v>0</v>
          </cell>
          <cell r="AW562">
            <v>-81.01499999999993</v>
          </cell>
          <cell r="AX562">
            <v>-81.01499999999993</v>
          </cell>
          <cell r="AY562">
            <v>0</v>
          </cell>
          <cell r="AZ562">
            <v>-81.01499999999993</v>
          </cell>
          <cell r="BA562">
            <v>-81.01499999999993</v>
          </cell>
          <cell r="BB562">
            <v>-81.01499999999993</v>
          </cell>
          <cell r="BC562">
            <v>0</v>
          </cell>
          <cell r="BD562">
            <v>0</v>
          </cell>
          <cell r="BE562">
            <v>0</v>
          </cell>
          <cell r="BG562">
            <v>-342.01499999999993</v>
          </cell>
          <cell r="BI562">
            <v>-81.01499999999993</v>
          </cell>
          <cell r="BJ562">
            <v>1287</v>
          </cell>
          <cell r="BK562">
            <v>913.77</v>
          </cell>
          <cell r="BL562">
            <v>765.72014999999999</v>
          </cell>
          <cell r="BM562">
            <v>0</v>
          </cell>
          <cell r="BN562">
            <v>261</v>
          </cell>
          <cell r="BO562">
            <v>0</v>
          </cell>
          <cell r="BP562">
            <v>1026.7201500000001</v>
          </cell>
          <cell r="BQ562">
            <v>261</v>
          </cell>
          <cell r="BR562">
            <v>-112.95015000000001</v>
          </cell>
          <cell r="BS562" t="str">
            <v>Y</v>
          </cell>
          <cell r="BT562">
            <v>1</v>
          </cell>
          <cell r="BU562">
            <v>1</v>
          </cell>
          <cell r="BV562" t="str">
            <v>N</v>
          </cell>
          <cell r="BW562">
            <v>0</v>
          </cell>
          <cell r="BX562">
            <v>0</v>
          </cell>
          <cell r="BY562">
            <v>2026</v>
          </cell>
          <cell r="BZ562" t="str">
            <v>-</v>
          </cell>
          <cell r="CA562" t="str">
            <v>-</v>
          </cell>
        </row>
        <row r="563">
          <cell r="A563" t="str">
            <v>Lucknow</v>
          </cell>
          <cell r="B563" t="str">
            <v>Mavericks</v>
          </cell>
          <cell r="C563" t="str">
            <v>Mid Level</v>
          </cell>
          <cell r="D563" t="str">
            <v>Rohit Gupta</v>
          </cell>
          <cell r="E563" t="str">
            <v>Vivek Yadav</v>
          </cell>
          <cell r="F563" t="str">
            <v>Non-MSP</v>
          </cell>
          <cell r="H563" t="str">
            <v>Himanshu Gupta</v>
          </cell>
          <cell r="L563" t="str">
            <v>New</v>
          </cell>
          <cell r="M563">
            <v>46078</v>
          </cell>
          <cell r="N563">
            <v>124</v>
          </cell>
          <cell r="P563">
            <v>46443</v>
          </cell>
          <cell r="Q563" t="str">
            <v>PLC-4720</v>
          </cell>
          <cell r="R563" t="str">
            <v>Sai Krishna Chundi</v>
          </cell>
          <cell r="S563" t="str">
            <v>Individual</v>
          </cell>
          <cell r="T563" t="str">
            <v>C2C Canada</v>
          </cell>
          <cell r="U563" t="str">
            <v>CoForge</v>
          </cell>
          <cell r="V563">
            <v>53</v>
          </cell>
          <cell r="W563">
            <v>0</v>
          </cell>
          <cell r="X563" t="str">
            <v>CAD</v>
          </cell>
          <cell r="Y563">
            <v>66</v>
          </cell>
          <cell r="Z563">
            <v>0</v>
          </cell>
          <cell r="AA563">
            <v>0</v>
          </cell>
          <cell r="AB563">
            <v>0</v>
          </cell>
          <cell r="AC563">
            <v>46096</v>
          </cell>
          <cell r="AD563">
            <v>22</v>
          </cell>
          <cell r="AE563">
            <v>46387</v>
          </cell>
          <cell r="AF563">
            <v>37.629999999999995</v>
          </cell>
          <cell r="AG563">
            <v>0</v>
          </cell>
          <cell r="AH563">
            <v>37.629999999999995</v>
          </cell>
          <cell r="AI563">
            <v>46.86</v>
          </cell>
          <cell r="AJ563">
            <v>0</v>
          </cell>
          <cell r="AK563">
            <v>0</v>
          </cell>
          <cell r="AL563">
            <v>9.230000000000004</v>
          </cell>
          <cell r="AM563">
            <v>0</v>
          </cell>
          <cell r="AN563">
            <v>9.230000000000004</v>
          </cell>
          <cell r="AO563">
            <v>0</v>
          </cell>
          <cell r="AP563">
            <v>9.230000000000004</v>
          </cell>
          <cell r="AQ563" t="str">
            <v>CAD_2065</v>
          </cell>
          <cell r="AR563">
            <v>0</v>
          </cell>
          <cell r="AS563">
            <v>177</v>
          </cell>
          <cell r="AU563">
            <v>177</v>
          </cell>
          <cell r="AV563">
            <v>0</v>
          </cell>
          <cell r="AW563">
            <v>1633.7100000000007</v>
          </cell>
          <cell r="AX563">
            <v>1633.7100000000007</v>
          </cell>
          <cell r="AY563">
            <v>0</v>
          </cell>
          <cell r="AZ563">
            <v>1633.7100000000007</v>
          </cell>
          <cell r="BA563">
            <v>1633.7100000000007</v>
          </cell>
          <cell r="BB563">
            <v>1633.7100000000007</v>
          </cell>
          <cell r="BC563">
            <v>0</v>
          </cell>
          <cell r="BD563">
            <v>0</v>
          </cell>
          <cell r="BE563">
            <v>0</v>
          </cell>
          <cell r="BG563">
            <v>1633.7100000000007</v>
          </cell>
          <cell r="BI563">
            <v>1633.7100000000007</v>
          </cell>
          <cell r="BJ563">
            <v>11682</v>
          </cell>
          <cell r="BK563">
            <v>8294.2199999999993</v>
          </cell>
          <cell r="BL563">
            <v>6950.3828999999996</v>
          </cell>
          <cell r="BM563">
            <v>0</v>
          </cell>
          <cell r="BN563">
            <v>0</v>
          </cell>
          <cell r="BO563">
            <v>0</v>
          </cell>
          <cell r="BP563">
            <v>6950.3828999999996</v>
          </cell>
          <cell r="BQ563">
            <v>0</v>
          </cell>
          <cell r="BR563">
            <v>1343.8370999999997</v>
          </cell>
          <cell r="BS563" t="str">
            <v>Y</v>
          </cell>
          <cell r="BT563">
            <v>1</v>
          </cell>
          <cell r="BU563">
            <v>1</v>
          </cell>
          <cell r="BV563" t="str">
            <v>N</v>
          </cell>
          <cell r="BW563">
            <v>0</v>
          </cell>
          <cell r="BX563">
            <v>0</v>
          </cell>
          <cell r="BY563">
            <v>2026</v>
          </cell>
          <cell r="BZ563" t="str">
            <v>-</v>
          </cell>
          <cell r="CA563" t="str">
            <v>-</v>
          </cell>
        </row>
        <row r="564">
          <cell r="A564" t="str">
            <v>Lucknow</v>
          </cell>
          <cell r="B564" t="str">
            <v>Mavericks</v>
          </cell>
          <cell r="C564" t="str">
            <v>Mid Level</v>
          </cell>
          <cell r="D564" t="str">
            <v>Rohit Gupta</v>
          </cell>
          <cell r="E564" t="str">
            <v>Vivek Yadav</v>
          </cell>
          <cell r="F564" t="str">
            <v>Non-MSP</v>
          </cell>
          <cell r="H564" t="str">
            <v>Himanshu Gupta</v>
          </cell>
          <cell r="J564" t="str">
            <v>ACH</v>
          </cell>
          <cell r="L564" t="str">
            <v>New</v>
          </cell>
          <cell r="M564">
            <v>46078</v>
          </cell>
          <cell r="N564">
            <v>124</v>
          </cell>
          <cell r="P564">
            <v>46443</v>
          </cell>
          <cell r="Q564" t="str">
            <v>PLC-4720</v>
          </cell>
          <cell r="R564" t="str">
            <v>Sai Krishna Chundi</v>
          </cell>
          <cell r="S564" t="str">
            <v>Individual</v>
          </cell>
          <cell r="T564" t="str">
            <v>C2C Canada</v>
          </cell>
          <cell r="U564" t="str">
            <v>CoForge</v>
          </cell>
          <cell r="V564">
            <v>53</v>
          </cell>
          <cell r="W564">
            <v>0</v>
          </cell>
          <cell r="X564" t="str">
            <v>CAD</v>
          </cell>
          <cell r="Y564">
            <v>66</v>
          </cell>
          <cell r="Z564">
            <v>0</v>
          </cell>
          <cell r="AA564">
            <v>0</v>
          </cell>
          <cell r="AB564">
            <v>0</v>
          </cell>
          <cell r="AC564">
            <v>46127</v>
          </cell>
          <cell r="AD564">
            <v>22</v>
          </cell>
          <cell r="AE564">
            <v>46387</v>
          </cell>
          <cell r="AF564">
            <v>37.629999999999995</v>
          </cell>
          <cell r="AG564">
            <v>0</v>
          </cell>
          <cell r="AH564">
            <v>37.629999999999995</v>
          </cell>
          <cell r="AI564">
            <v>46.86</v>
          </cell>
          <cell r="AJ564">
            <v>0</v>
          </cell>
          <cell r="AK564">
            <v>0</v>
          </cell>
          <cell r="AL564">
            <v>9.230000000000004</v>
          </cell>
          <cell r="AM564">
            <v>0</v>
          </cell>
          <cell r="AN564">
            <v>9.230000000000004</v>
          </cell>
          <cell r="AO564">
            <v>0</v>
          </cell>
          <cell r="AP564">
            <v>9.230000000000004</v>
          </cell>
          <cell r="AQ564" t="str">
            <v>CAD_2121</v>
          </cell>
          <cell r="AR564">
            <v>0</v>
          </cell>
          <cell r="AS564">
            <v>137</v>
          </cell>
          <cell r="AU564">
            <v>137</v>
          </cell>
          <cell r="AV564">
            <v>0</v>
          </cell>
          <cell r="AW564">
            <v>1264.5100000000004</v>
          </cell>
          <cell r="AX564">
            <v>1251.8649000000005</v>
          </cell>
          <cell r="AY564">
            <v>0</v>
          </cell>
          <cell r="AZ564">
            <v>1264.5100000000004</v>
          </cell>
          <cell r="BA564">
            <v>1251.8649000000005</v>
          </cell>
          <cell r="BB564">
            <v>1264.5100000000004</v>
          </cell>
          <cell r="BC564">
            <v>0</v>
          </cell>
          <cell r="BD564">
            <v>0</v>
          </cell>
          <cell r="BE564">
            <v>0</v>
          </cell>
          <cell r="BG564">
            <v>1251.8649000000005</v>
          </cell>
          <cell r="BI564">
            <v>1251.8649000000005</v>
          </cell>
          <cell r="BJ564">
            <v>9042</v>
          </cell>
          <cell r="BK564">
            <v>6419.82</v>
          </cell>
          <cell r="BL564">
            <v>5379.6749</v>
          </cell>
          <cell r="BM564">
            <v>0</v>
          </cell>
          <cell r="BN564">
            <v>0</v>
          </cell>
          <cell r="BO564">
            <v>0</v>
          </cell>
          <cell r="BP564">
            <v>5379.6749</v>
          </cell>
          <cell r="BQ564">
            <v>0</v>
          </cell>
          <cell r="BR564">
            <v>1040.1450999999997</v>
          </cell>
          <cell r="BS564" t="str">
            <v>Y</v>
          </cell>
          <cell r="BT564">
            <v>2</v>
          </cell>
          <cell r="BU564">
            <v>1</v>
          </cell>
          <cell r="BV564" t="str">
            <v>N</v>
          </cell>
          <cell r="BW564">
            <v>0</v>
          </cell>
          <cell r="BX564">
            <v>0</v>
          </cell>
          <cell r="BY564">
            <v>2026</v>
          </cell>
          <cell r="BZ564" t="str">
            <v>-</v>
          </cell>
          <cell r="CA564" t="str">
            <v>-</v>
          </cell>
        </row>
        <row r="565">
          <cell r="A565" t="str">
            <v>Lucknow</v>
          </cell>
          <cell r="B565" t="str">
            <v>Mavericks</v>
          </cell>
          <cell r="C565" t="str">
            <v>Mid Level</v>
          </cell>
          <cell r="D565" t="str">
            <v>Rohit Gupta</v>
          </cell>
          <cell r="E565" t="str">
            <v>Vivek Yadav</v>
          </cell>
          <cell r="F565" t="str">
            <v>Non-MSP</v>
          </cell>
          <cell r="H565" t="str">
            <v>Himanshu Gupta</v>
          </cell>
          <cell r="J565" t="str">
            <v>ACH</v>
          </cell>
          <cell r="L565" t="str">
            <v>New</v>
          </cell>
          <cell r="M565">
            <v>46078</v>
          </cell>
          <cell r="N565">
            <v>124</v>
          </cell>
          <cell r="P565">
            <v>46443</v>
          </cell>
          <cell r="Q565" t="str">
            <v>PLC-4720</v>
          </cell>
          <cell r="R565" t="str">
            <v>Sai Krishna Chundi</v>
          </cell>
          <cell r="S565" t="str">
            <v>Individual</v>
          </cell>
          <cell r="T565" t="str">
            <v>C2C Canada</v>
          </cell>
          <cell r="U565" t="str">
            <v>CoForge</v>
          </cell>
          <cell r="V565">
            <v>53</v>
          </cell>
          <cell r="W565">
            <v>0</v>
          </cell>
          <cell r="X565" t="str">
            <v>CAD</v>
          </cell>
          <cell r="Y565">
            <v>66</v>
          </cell>
          <cell r="Z565">
            <v>0</v>
          </cell>
          <cell r="AA565">
            <v>0</v>
          </cell>
          <cell r="AB565">
            <v>0</v>
          </cell>
          <cell r="AC565">
            <v>46157</v>
          </cell>
          <cell r="AD565">
            <v>22</v>
          </cell>
          <cell r="AE565">
            <v>46387</v>
          </cell>
          <cell r="AF565">
            <v>37.629999999999995</v>
          </cell>
          <cell r="AG565">
            <v>0</v>
          </cell>
          <cell r="AH565">
            <v>37.629999999999995</v>
          </cell>
          <cell r="AI565">
            <v>46.86</v>
          </cell>
          <cell r="AJ565">
            <v>0</v>
          </cell>
          <cell r="AK565">
            <v>0</v>
          </cell>
          <cell r="AL565">
            <v>9.230000000000004</v>
          </cell>
          <cell r="AM565">
            <v>0</v>
          </cell>
          <cell r="AN565">
            <v>9.230000000000004</v>
          </cell>
          <cell r="AO565">
            <v>0</v>
          </cell>
          <cell r="AP565">
            <v>9.230000000000004</v>
          </cell>
          <cell r="AQ565" t="str">
            <v>CAD_2194</v>
          </cell>
          <cell r="AR565">
            <v>0</v>
          </cell>
          <cell r="AS565">
            <v>149.5</v>
          </cell>
          <cell r="AU565">
            <v>149.5</v>
          </cell>
          <cell r="AV565">
            <v>0</v>
          </cell>
          <cell r="AW565">
            <v>1379.8850000000007</v>
          </cell>
          <cell r="AX565">
            <v>1366.0861500000005</v>
          </cell>
          <cell r="AY565">
            <v>0</v>
          </cell>
          <cell r="AZ565">
            <v>1379.8850000000007</v>
          </cell>
          <cell r="BA565">
            <v>1366.0861500000005</v>
          </cell>
          <cell r="BB565">
            <v>1379.8850000000007</v>
          </cell>
          <cell r="BC565">
            <v>0</v>
          </cell>
          <cell r="BD565">
            <v>0</v>
          </cell>
          <cell r="BE565">
            <v>0</v>
          </cell>
          <cell r="BG565">
            <v>1366.0861500000005</v>
          </cell>
          <cell r="BI565">
            <v>1366.0861500000005</v>
          </cell>
          <cell r="BJ565">
            <v>9867</v>
          </cell>
          <cell r="BK565">
            <v>7005.57</v>
          </cell>
          <cell r="BL565">
            <v>5870.5211499999996</v>
          </cell>
          <cell r="BM565">
            <v>0</v>
          </cell>
          <cell r="BN565">
            <v>0</v>
          </cell>
          <cell r="BO565">
            <v>0</v>
          </cell>
          <cell r="BP565">
            <v>5870.5211499999996</v>
          </cell>
          <cell r="BQ565">
            <v>0</v>
          </cell>
          <cell r="BR565">
            <v>1135.0488500000001</v>
          </cell>
          <cell r="BT565">
            <v>2</v>
          </cell>
          <cell r="BU565">
            <v>1</v>
          </cell>
          <cell r="BV565" t="str">
            <v>N</v>
          </cell>
          <cell r="BW565">
            <v>0</v>
          </cell>
          <cell r="BX565">
            <v>0</v>
          </cell>
          <cell r="BY565">
            <v>2026</v>
          </cell>
          <cell r="BZ565" t="str">
            <v>-</v>
          </cell>
          <cell r="CA565" t="str">
            <v>-</v>
          </cell>
        </row>
        <row r="566">
          <cell r="A566" t="str">
            <v>Lucknow</v>
          </cell>
          <cell r="B566" t="str">
            <v>Mavericks</v>
          </cell>
          <cell r="C566" t="str">
            <v>Mid Level</v>
          </cell>
          <cell r="D566" t="str">
            <v>Mohammad Fakhrul</v>
          </cell>
          <cell r="E566" t="str">
            <v>-</v>
          </cell>
          <cell r="F566" t="str">
            <v>MSP</v>
          </cell>
          <cell r="H566" t="str">
            <v>Pass Through/MSP</v>
          </cell>
          <cell r="J566" t="str">
            <v>ACH</v>
          </cell>
          <cell r="L566" t="str">
            <v>New</v>
          </cell>
          <cell r="M566">
            <v>46113</v>
          </cell>
          <cell r="N566">
            <v>89</v>
          </cell>
          <cell r="P566">
            <v>46478</v>
          </cell>
          <cell r="Q566" t="str">
            <v>PLC-Passthrough</v>
          </cell>
          <cell r="R566" t="str">
            <v>Sai Kumar Jee Bomule</v>
          </cell>
          <cell r="S566" t="str">
            <v>Individual</v>
          </cell>
          <cell r="T566" t="str">
            <v>C2C</v>
          </cell>
          <cell r="U566" t="str">
            <v>Cigniti</v>
          </cell>
          <cell r="V566">
            <v>63</v>
          </cell>
          <cell r="W566">
            <v>0</v>
          </cell>
          <cell r="X566" t="str">
            <v>USD</v>
          </cell>
          <cell r="Y566">
            <v>65</v>
          </cell>
          <cell r="Z566">
            <v>0</v>
          </cell>
          <cell r="AA566">
            <v>0</v>
          </cell>
          <cell r="AB566">
            <v>0</v>
          </cell>
          <cell r="AC566">
            <v>46127</v>
          </cell>
          <cell r="AD566">
            <v>22</v>
          </cell>
          <cell r="AE566">
            <v>46387</v>
          </cell>
          <cell r="AF566">
            <v>63</v>
          </cell>
          <cell r="AG566">
            <v>0</v>
          </cell>
          <cell r="AH566">
            <v>63</v>
          </cell>
          <cell r="AI566">
            <v>65</v>
          </cell>
          <cell r="AJ566">
            <v>0</v>
          </cell>
          <cell r="AK566">
            <v>0</v>
          </cell>
          <cell r="AL566">
            <v>2</v>
          </cell>
          <cell r="AM566">
            <v>0</v>
          </cell>
          <cell r="AN566">
            <v>2</v>
          </cell>
          <cell r="AO566">
            <v>0</v>
          </cell>
          <cell r="AP566">
            <v>2</v>
          </cell>
          <cell r="AQ566" t="str">
            <v>US_CMSP_00733</v>
          </cell>
          <cell r="AR566">
            <v>0</v>
          </cell>
          <cell r="AS566">
            <v>176</v>
          </cell>
          <cell r="AU566">
            <v>176</v>
          </cell>
          <cell r="AV566">
            <v>0</v>
          </cell>
          <cell r="AW566">
            <v>352</v>
          </cell>
          <cell r="AX566">
            <v>348.48</v>
          </cell>
          <cell r="AY566">
            <v>0</v>
          </cell>
          <cell r="AZ566">
            <v>352</v>
          </cell>
          <cell r="BA566">
            <v>348.48</v>
          </cell>
          <cell r="BB566">
            <v>352</v>
          </cell>
          <cell r="BC566">
            <v>0</v>
          </cell>
          <cell r="BD566">
            <v>0</v>
          </cell>
          <cell r="BE566">
            <v>0</v>
          </cell>
          <cell r="BG566">
            <v>348.48</v>
          </cell>
          <cell r="BI566">
            <v>0</v>
          </cell>
          <cell r="BJ566">
            <v>11440</v>
          </cell>
          <cell r="BK566">
            <v>11440</v>
          </cell>
          <cell r="BL566">
            <v>11088</v>
          </cell>
          <cell r="BM566">
            <v>0</v>
          </cell>
          <cell r="BN566">
            <v>0</v>
          </cell>
          <cell r="BO566">
            <v>0</v>
          </cell>
          <cell r="BP566">
            <v>11088</v>
          </cell>
          <cell r="BQ566">
            <v>0</v>
          </cell>
          <cell r="BR566">
            <v>352</v>
          </cell>
          <cell r="BT566">
            <v>2</v>
          </cell>
          <cell r="BU566">
            <v>2</v>
          </cell>
          <cell r="BV566" t="str">
            <v>N</v>
          </cell>
          <cell r="BW566">
            <v>0</v>
          </cell>
          <cell r="BX566">
            <v>0</v>
          </cell>
          <cell r="BY566">
            <v>2026</v>
          </cell>
          <cell r="BZ566" t="str">
            <v>-</v>
          </cell>
          <cell r="CA566" t="str">
            <v>-</v>
          </cell>
        </row>
        <row r="567">
          <cell r="A567" t="str">
            <v>Lucknow</v>
          </cell>
          <cell r="B567" t="str">
            <v>Mavericks</v>
          </cell>
          <cell r="C567" t="str">
            <v>Mid Level</v>
          </cell>
          <cell r="D567" t="str">
            <v>Mohammad Fakhrul</v>
          </cell>
          <cell r="E567" t="str">
            <v>-</v>
          </cell>
          <cell r="F567" t="str">
            <v>MSP</v>
          </cell>
          <cell r="H567" t="str">
            <v>Pass Through/MSP</v>
          </cell>
          <cell r="J567" t="str">
            <v>ACH</v>
          </cell>
          <cell r="L567" t="str">
            <v>New</v>
          </cell>
          <cell r="M567">
            <v>46113</v>
          </cell>
          <cell r="N567">
            <v>89</v>
          </cell>
          <cell r="P567">
            <v>46478</v>
          </cell>
          <cell r="Q567" t="str">
            <v>PLC-Passthrough</v>
          </cell>
          <cell r="R567" t="str">
            <v>Sai Kumar Jee Bomule</v>
          </cell>
          <cell r="S567" t="str">
            <v>Individual</v>
          </cell>
          <cell r="T567" t="str">
            <v>C2C</v>
          </cell>
          <cell r="U567" t="str">
            <v>Cigniti</v>
          </cell>
          <cell r="V567">
            <v>63</v>
          </cell>
          <cell r="W567">
            <v>0</v>
          </cell>
          <cell r="X567" t="str">
            <v>USD</v>
          </cell>
          <cell r="Y567">
            <v>65</v>
          </cell>
          <cell r="Z567">
            <v>0</v>
          </cell>
          <cell r="AA567">
            <v>0</v>
          </cell>
          <cell r="AB567">
            <v>0</v>
          </cell>
          <cell r="AC567">
            <v>46157</v>
          </cell>
          <cell r="AD567">
            <v>22</v>
          </cell>
          <cell r="AE567">
            <v>46387</v>
          </cell>
          <cell r="AF567">
            <v>63</v>
          </cell>
          <cell r="AG567">
            <v>0</v>
          </cell>
          <cell r="AH567">
            <v>63</v>
          </cell>
          <cell r="AI567">
            <v>65</v>
          </cell>
          <cell r="AJ567">
            <v>0</v>
          </cell>
          <cell r="AK567">
            <v>0</v>
          </cell>
          <cell r="AL567">
            <v>2</v>
          </cell>
          <cell r="AM567">
            <v>0</v>
          </cell>
          <cell r="AN567">
            <v>2</v>
          </cell>
          <cell r="AO567">
            <v>0</v>
          </cell>
          <cell r="AP567">
            <v>2</v>
          </cell>
          <cell r="AQ567" t="str">
            <v>US_CMSP_00875</v>
          </cell>
          <cell r="AR567">
            <v>0</v>
          </cell>
          <cell r="AS567">
            <v>168</v>
          </cell>
          <cell r="AU567">
            <v>168</v>
          </cell>
          <cell r="AV567">
            <v>0</v>
          </cell>
          <cell r="AW567">
            <v>336</v>
          </cell>
          <cell r="AX567">
            <v>332.64</v>
          </cell>
          <cell r="AY567">
            <v>0</v>
          </cell>
          <cell r="AZ567">
            <v>336</v>
          </cell>
          <cell r="BA567">
            <v>332.64</v>
          </cell>
          <cell r="BB567">
            <v>336</v>
          </cell>
          <cell r="BC567">
            <v>0</v>
          </cell>
          <cell r="BD567">
            <v>0</v>
          </cell>
          <cell r="BE567">
            <v>0</v>
          </cell>
          <cell r="BG567">
            <v>332.64</v>
          </cell>
          <cell r="BI567">
            <v>0</v>
          </cell>
          <cell r="BJ567">
            <v>10920</v>
          </cell>
          <cell r="BK567">
            <v>10920</v>
          </cell>
          <cell r="BL567">
            <v>10584</v>
          </cell>
          <cell r="BM567">
            <v>0</v>
          </cell>
          <cell r="BN567">
            <v>0</v>
          </cell>
          <cell r="BO567">
            <v>0</v>
          </cell>
          <cell r="BP567">
            <v>10584</v>
          </cell>
          <cell r="BQ567">
            <v>0</v>
          </cell>
          <cell r="BR567">
            <v>336</v>
          </cell>
          <cell r="BT567">
            <v>2</v>
          </cell>
          <cell r="BU567">
            <v>2</v>
          </cell>
          <cell r="BV567" t="str">
            <v>N</v>
          </cell>
          <cell r="BW567">
            <v>0</v>
          </cell>
          <cell r="BX567">
            <v>0</v>
          </cell>
          <cell r="BY567">
            <v>2026</v>
          </cell>
          <cell r="BZ567" t="str">
            <v>-</v>
          </cell>
          <cell r="CA567" t="str">
            <v>-</v>
          </cell>
        </row>
        <row r="568">
          <cell r="A568" t="str">
            <v>Lucknow</v>
          </cell>
          <cell r="B568" t="str">
            <v>Mavericks</v>
          </cell>
          <cell r="C568" t="str">
            <v>Mid Level</v>
          </cell>
          <cell r="D568" t="str">
            <v>Mohammad Fakhrul</v>
          </cell>
          <cell r="E568" t="str">
            <v>-</v>
          </cell>
          <cell r="F568" t="str">
            <v>MSP</v>
          </cell>
          <cell r="H568" t="str">
            <v>Pass Through/MSP</v>
          </cell>
          <cell r="L568" t="str">
            <v>New</v>
          </cell>
          <cell r="M568">
            <v>46093</v>
          </cell>
          <cell r="N568">
            <v>109</v>
          </cell>
          <cell r="P568">
            <v>46458</v>
          </cell>
          <cell r="Q568" t="str">
            <v>PLC-Passthrough</v>
          </cell>
          <cell r="R568" t="str">
            <v>Sai Priya Katam</v>
          </cell>
          <cell r="S568" t="str">
            <v>Individual</v>
          </cell>
          <cell r="T568" t="str">
            <v>C2C</v>
          </cell>
          <cell r="U568" t="str">
            <v>CoForge</v>
          </cell>
          <cell r="V568">
            <v>80</v>
          </cell>
          <cell r="W568">
            <v>0</v>
          </cell>
          <cell r="X568" t="str">
            <v>USD</v>
          </cell>
          <cell r="Y568">
            <v>81</v>
          </cell>
          <cell r="Z568">
            <v>0</v>
          </cell>
          <cell r="AA568">
            <v>0</v>
          </cell>
          <cell r="AB568">
            <v>0</v>
          </cell>
          <cell r="AC568">
            <v>46096</v>
          </cell>
          <cell r="AD568">
            <v>14</v>
          </cell>
          <cell r="AE568">
            <v>46387</v>
          </cell>
          <cell r="AF568">
            <v>80</v>
          </cell>
          <cell r="AG568">
            <v>0</v>
          </cell>
          <cell r="AH568">
            <v>80</v>
          </cell>
          <cell r="AI568">
            <v>81</v>
          </cell>
          <cell r="AJ568">
            <v>0</v>
          </cell>
          <cell r="AK568">
            <v>0</v>
          </cell>
          <cell r="AL568">
            <v>1</v>
          </cell>
          <cell r="AM568">
            <v>0</v>
          </cell>
          <cell r="AN568">
            <v>1</v>
          </cell>
          <cell r="AO568">
            <v>0</v>
          </cell>
          <cell r="AP568">
            <v>1</v>
          </cell>
          <cell r="AQ568" t="str">
            <v>US_CMSP_00571</v>
          </cell>
          <cell r="AR568">
            <v>0</v>
          </cell>
          <cell r="AS568">
            <v>80</v>
          </cell>
          <cell r="AU568">
            <v>80</v>
          </cell>
          <cell r="AV568">
            <v>0</v>
          </cell>
          <cell r="AW568">
            <v>80</v>
          </cell>
          <cell r="AX568">
            <v>80</v>
          </cell>
          <cell r="AY568">
            <v>0</v>
          </cell>
          <cell r="AZ568">
            <v>80</v>
          </cell>
          <cell r="BA568">
            <v>80</v>
          </cell>
          <cell r="BB568">
            <v>80</v>
          </cell>
          <cell r="BC568">
            <v>0</v>
          </cell>
          <cell r="BD568">
            <v>0</v>
          </cell>
          <cell r="BE568">
            <v>0</v>
          </cell>
          <cell r="BG568">
            <v>80</v>
          </cell>
          <cell r="BI568">
            <v>80</v>
          </cell>
          <cell r="BJ568">
            <v>6480</v>
          </cell>
          <cell r="BK568">
            <v>6480</v>
          </cell>
          <cell r="BL568">
            <v>6400</v>
          </cell>
          <cell r="BM568">
            <v>0</v>
          </cell>
          <cell r="BN568">
            <v>0</v>
          </cell>
          <cell r="BO568">
            <v>0</v>
          </cell>
          <cell r="BP568">
            <v>6400</v>
          </cell>
          <cell r="BQ568">
            <v>0</v>
          </cell>
          <cell r="BR568">
            <v>80</v>
          </cell>
          <cell r="BS568" t="str">
            <v>Y</v>
          </cell>
          <cell r="BT568">
            <v>1</v>
          </cell>
          <cell r="BU568">
            <v>1</v>
          </cell>
          <cell r="BV568" t="str">
            <v>N</v>
          </cell>
          <cell r="BW568">
            <v>0</v>
          </cell>
          <cell r="BX568">
            <v>0</v>
          </cell>
          <cell r="BY568">
            <v>2026</v>
          </cell>
          <cell r="BZ568" t="str">
            <v>-</v>
          </cell>
          <cell r="CA568" t="str">
            <v>-</v>
          </cell>
        </row>
        <row r="569">
          <cell r="A569" t="str">
            <v>Lucknow</v>
          </cell>
          <cell r="B569" t="str">
            <v>Mavericks</v>
          </cell>
          <cell r="C569" t="str">
            <v>Mid Level</v>
          </cell>
          <cell r="D569" t="str">
            <v>Mohammad Fakhrul</v>
          </cell>
          <cell r="E569" t="str">
            <v>-</v>
          </cell>
          <cell r="F569" t="str">
            <v>MSP</v>
          </cell>
          <cell r="H569" t="str">
            <v>Pass Through/MSP</v>
          </cell>
          <cell r="J569" t="str">
            <v>ACH</v>
          </cell>
          <cell r="L569" t="str">
            <v>New</v>
          </cell>
          <cell r="M569">
            <v>46093</v>
          </cell>
          <cell r="N569">
            <v>109</v>
          </cell>
          <cell r="P569">
            <v>46458</v>
          </cell>
          <cell r="Q569" t="str">
            <v>PLC-Passthrough</v>
          </cell>
          <cell r="R569" t="str">
            <v>Sai Priya Katam</v>
          </cell>
          <cell r="S569" t="str">
            <v>Individual</v>
          </cell>
          <cell r="T569" t="str">
            <v>C2C</v>
          </cell>
          <cell r="U569" t="str">
            <v>CoForge</v>
          </cell>
          <cell r="V569">
            <v>80</v>
          </cell>
          <cell r="W569">
            <v>0</v>
          </cell>
          <cell r="X569" t="str">
            <v>USD</v>
          </cell>
          <cell r="Y569">
            <v>81</v>
          </cell>
          <cell r="Z569">
            <v>0</v>
          </cell>
          <cell r="AA569">
            <v>0</v>
          </cell>
          <cell r="AB569">
            <v>0</v>
          </cell>
          <cell r="AC569">
            <v>46127</v>
          </cell>
          <cell r="AD569">
            <v>22</v>
          </cell>
          <cell r="AE569">
            <v>46387</v>
          </cell>
          <cell r="AF569">
            <v>80</v>
          </cell>
          <cell r="AG569">
            <v>0</v>
          </cell>
          <cell r="AH569">
            <v>80</v>
          </cell>
          <cell r="AI569">
            <v>81</v>
          </cell>
          <cell r="AJ569">
            <v>0</v>
          </cell>
          <cell r="AK569">
            <v>0</v>
          </cell>
          <cell r="AL569">
            <v>1</v>
          </cell>
          <cell r="AM569">
            <v>0</v>
          </cell>
          <cell r="AN569">
            <v>1</v>
          </cell>
          <cell r="AO569">
            <v>0</v>
          </cell>
          <cell r="AP569">
            <v>1</v>
          </cell>
          <cell r="AQ569" t="str">
            <v>US_CMSP_00712</v>
          </cell>
          <cell r="AR569">
            <v>0</v>
          </cell>
          <cell r="AS569">
            <v>176</v>
          </cell>
          <cell r="AU569">
            <v>176</v>
          </cell>
          <cell r="AV569">
            <v>0</v>
          </cell>
          <cell r="AW569">
            <v>176</v>
          </cell>
          <cell r="AX569">
            <v>174.24</v>
          </cell>
          <cell r="AY569">
            <v>0</v>
          </cell>
          <cell r="AZ569">
            <v>176</v>
          </cell>
          <cell r="BA569">
            <v>174.24</v>
          </cell>
          <cell r="BB569">
            <v>176</v>
          </cell>
          <cell r="BC569">
            <v>0</v>
          </cell>
          <cell r="BD569">
            <v>0</v>
          </cell>
          <cell r="BE569">
            <v>0</v>
          </cell>
          <cell r="BG569">
            <v>174.24</v>
          </cell>
          <cell r="BI569">
            <v>174.24</v>
          </cell>
          <cell r="BJ569">
            <v>14256</v>
          </cell>
          <cell r="BK569">
            <v>14256</v>
          </cell>
          <cell r="BL569">
            <v>14080</v>
          </cell>
          <cell r="BM569">
            <v>0</v>
          </cell>
          <cell r="BN569">
            <v>0</v>
          </cell>
          <cell r="BO569">
            <v>0</v>
          </cell>
          <cell r="BP569">
            <v>14080</v>
          </cell>
          <cell r="BQ569">
            <v>0</v>
          </cell>
          <cell r="BR569">
            <v>176</v>
          </cell>
          <cell r="BT569">
            <v>2</v>
          </cell>
          <cell r="BU569">
            <v>1</v>
          </cell>
          <cell r="BV569" t="str">
            <v>N</v>
          </cell>
          <cell r="BW569">
            <v>0</v>
          </cell>
          <cell r="BX569">
            <v>0</v>
          </cell>
          <cell r="BY569">
            <v>2026</v>
          </cell>
          <cell r="BZ569" t="str">
            <v>-</v>
          </cell>
          <cell r="CA569" t="str">
            <v>-</v>
          </cell>
        </row>
        <row r="570">
          <cell r="A570" t="str">
            <v>Lucknow</v>
          </cell>
          <cell r="B570" t="str">
            <v>Mavericks</v>
          </cell>
          <cell r="C570" t="str">
            <v>Mid Level</v>
          </cell>
          <cell r="D570" t="str">
            <v>Mohammad Fakhrul</v>
          </cell>
          <cell r="E570" t="str">
            <v>-</v>
          </cell>
          <cell r="F570" t="str">
            <v>MSP</v>
          </cell>
          <cell r="H570" t="str">
            <v>Pass Through/MSP</v>
          </cell>
          <cell r="J570" t="str">
            <v>ACH</v>
          </cell>
          <cell r="L570" t="str">
            <v>New</v>
          </cell>
          <cell r="M570">
            <v>46093</v>
          </cell>
          <cell r="N570">
            <v>109</v>
          </cell>
          <cell r="P570">
            <v>46458</v>
          </cell>
          <cell r="Q570" t="str">
            <v>PLC-Passthrough</v>
          </cell>
          <cell r="R570" t="str">
            <v>Sai Priya Katam</v>
          </cell>
          <cell r="S570" t="str">
            <v>Individual</v>
          </cell>
          <cell r="T570" t="str">
            <v>C2C</v>
          </cell>
          <cell r="U570" t="str">
            <v>CoForge</v>
          </cell>
          <cell r="V570">
            <v>80</v>
          </cell>
          <cell r="W570">
            <v>0</v>
          </cell>
          <cell r="X570" t="str">
            <v>USD</v>
          </cell>
          <cell r="Y570">
            <v>81</v>
          </cell>
          <cell r="Z570">
            <v>0</v>
          </cell>
          <cell r="AA570">
            <v>0</v>
          </cell>
          <cell r="AB570">
            <v>0</v>
          </cell>
          <cell r="AC570">
            <v>46157</v>
          </cell>
          <cell r="AD570">
            <v>22</v>
          </cell>
          <cell r="AE570">
            <v>46387</v>
          </cell>
          <cell r="AF570">
            <v>80</v>
          </cell>
          <cell r="AG570">
            <v>0</v>
          </cell>
          <cell r="AH570">
            <v>80</v>
          </cell>
          <cell r="AI570">
            <v>81</v>
          </cell>
          <cell r="AJ570">
            <v>0</v>
          </cell>
          <cell r="AK570">
            <v>0</v>
          </cell>
          <cell r="AL570">
            <v>1</v>
          </cell>
          <cell r="AM570">
            <v>0</v>
          </cell>
          <cell r="AN570">
            <v>1</v>
          </cell>
          <cell r="AO570">
            <v>0</v>
          </cell>
          <cell r="AP570">
            <v>1</v>
          </cell>
          <cell r="AQ570" t="str">
            <v>US_CMSP_00864</v>
          </cell>
          <cell r="AR570">
            <v>0</v>
          </cell>
          <cell r="AS570">
            <v>168</v>
          </cell>
          <cell r="AU570">
            <v>168</v>
          </cell>
          <cell r="AV570">
            <v>0</v>
          </cell>
          <cell r="AW570">
            <v>168</v>
          </cell>
          <cell r="AX570">
            <v>166.32</v>
          </cell>
          <cell r="AY570">
            <v>0</v>
          </cell>
          <cell r="AZ570">
            <v>168</v>
          </cell>
          <cell r="BA570">
            <v>166.32</v>
          </cell>
          <cell r="BB570">
            <v>168</v>
          </cell>
          <cell r="BC570">
            <v>0</v>
          </cell>
          <cell r="BD570">
            <v>0</v>
          </cell>
          <cell r="BE570">
            <v>0</v>
          </cell>
          <cell r="BG570">
            <v>166.32</v>
          </cell>
          <cell r="BI570">
            <v>166.32</v>
          </cell>
          <cell r="BJ570">
            <v>13608</v>
          </cell>
          <cell r="BK570">
            <v>13608</v>
          </cell>
          <cell r="BL570">
            <v>13440</v>
          </cell>
          <cell r="BM570">
            <v>0</v>
          </cell>
          <cell r="BN570">
            <v>0</v>
          </cell>
          <cell r="BO570">
            <v>0</v>
          </cell>
          <cell r="BP570">
            <v>13440</v>
          </cell>
          <cell r="BQ570">
            <v>0</v>
          </cell>
          <cell r="BR570">
            <v>168</v>
          </cell>
          <cell r="BT570">
            <v>2</v>
          </cell>
          <cell r="BU570">
            <v>1</v>
          </cell>
          <cell r="BV570" t="str">
            <v>N</v>
          </cell>
          <cell r="BW570">
            <v>0</v>
          </cell>
          <cell r="BX570">
            <v>0</v>
          </cell>
          <cell r="BY570">
            <v>2026</v>
          </cell>
          <cell r="BZ570" t="str">
            <v>-</v>
          </cell>
          <cell r="CA570" t="str">
            <v>-</v>
          </cell>
        </row>
        <row r="571">
          <cell r="A571" t="str">
            <v>Lucknow</v>
          </cell>
          <cell r="B571" t="str">
            <v>Trust</v>
          </cell>
          <cell r="C571" t="str">
            <v>Mid Level</v>
          </cell>
          <cell r="D571" t="str">
            <v>Bhanu Pratap Singh</v>
          </cell>
          <cell r="F571" t="str">
            <v>Non-MSP</v>
          </cell>
          <cell r="H571" t="str">
            <v>Pass Through</v>
          </cell>
          <cell r="J571" t="str">
            <v>ACH</v>
          </cell>
          <cell r="L571" t="str">
            <v>New</v>
          </cell>
          <cell r="M571">
            <v>46132</v>
          </cell>
          <cell r="N571">
            <v>70</v>
          </cell>
          <cell r="P571">
            <v>46497</v>
          </cell>
          <cell r="Q571" t="str">
            <v>PLC-4834</v>
          </cell>
          <cell r="R571" t="str">
            <v>Sai Sunayana Swayambhatla</v>
          </cell>
          <cell r="S571" t="str">
            <v>Individual</v>
          </cell>
          <cell r="T571" t="str">
            <v>C2C</v>
          </cell>
          <cell r="U571" t="str">
            <v>Birlasoft</v>
          </cell>
          <cell r="V571">
            <v>68</v>
          </cell>
          <cell r="W571">
            <v>0</v>
          </cell>
          <cell r="X571" t="str">
            <v>USD</v>
          </cell>
          <cell r="Y571">
            <v>69.7</v>
          </cell>
          <cell r="Z571">
            <v>0</v>
          </cell>
          <cell r="AA571">
            <v>0</v>
          </cell>
          <cell r="AB571">
            <v>0</v>
          </cell>
          <cell r="AC571">
            <v>46127</v>
          </cell>
          <cell r="AD571">
            <v>9</v>
          </cell>
          <cell r="AE571">
            <v>46387</v>
          </cell>
          <cell r="AF571">
            <v>68</v>
          </cell>
          <cell r="AG571">
            <v>0</v>
          </cell>
          <cell r="AH571">
            <v>68</v>
          </cell>
          <cell r="AI571">
            <v>69.7</v>
          </cell>
          <cell r="AJ571">
            <v>0</v>
          </cell>
          <cell r="AK571">
            <v>0</v>
          </cell>
          <cell r="AL571">
            <v>1.7000000000000028</v>
          </cell>
          <cell r="AM571">
            <v>0</v>
          </cell>
          <cell r="AN571">
            <v>1.7000000000000028</v>
          </cell>
          <cell r="AO571">
            <v>0</v>
          </cell>
          <cell r="AP571">
            <v>1.7000000000000028</v>
          </cell>
          <cell r="AQ571" t="str">
            <v>US_27705</v>
          </cell>
          <cell r="AR571">
            <v>0</v>
          </cell>
          <cell r="AS571">
            <v>72</v>
          </cell>
          <cell r="AU571">
            <v>72</v>
          </cell>
          <cell r="AV571">
            <v>0</v>
          </cell>
          <cell r="AW571">
            <v>122.4000000000002</v>
          </cell>
          <cell r="AX571">
            <v>121.1760000000002</v>
          </cell>
          <cell r="AY571">
            <v>0</v>
          </cell>
          <cell r="AZ571">
            <v>122.4000000000002</v>
          </cell>
          <cell r="BA571">
            <v>121.1760000000002</v>
          </cell>
          <cell r="BB571">
            <v>122.4000000000002</v>
          </cell>
          <cell r="BC571">
            <v>0</v>
          </cell>
          <cell r="BD571">
            <v>0</v>
          </cell>
          <cell r="BE571">
            <v>0</v>
          </cell>
          <cell r="BG571">
            <v>121.1760000000002</v>
          </cell>
          <cell r="BI571">
            <v>0</v>
          </cell>
          <cell r="BJ571">
            <v>5018.4000000000005</v>
          </cell>
          <cell r="BK571">
            <v>5018.4000000000005</v>
          </cell>
          <cell r="BL571">
            <v>4896</v>
          </cell>
          <cell r="BM571">
            <v>0</v>
          </cell>
          <cell r="BN571">
            <v>0</v>
          </cell>
          <cell r="BO571">
            <v>0</v>
          </cell>
          <cell r="BP571">
            <v>4896</v>
          </cell>
          <cell r="BQ571">
            <v>0</v>
          </cell>
          <cell r="BR571">
            <v>122.40000000000055</v>
          </cell>
          <cell r="BT571">
            <v>2</v>
          </cell>
          <cell r="BU571">
            <v>2</v>
          </cell>
          <cell r="BV571" t="str">
            <v>Y</v>
          </cell>
          <cell r="BW571">
            <v>0</v>
          </cell>
          <cell r="BX571">
            <v>0</v>
          </cell>
          <cell r="BY571">
            <v>2026</v>
          </cell>
          <cell r="BZ571" t="str">
            <v>-</v>
          </cell>
          <cell r="CA571" t="str">
            <v>-</v>
          </cell>
        </row>
        <row r="572">
          <cell r="A572" t="str">
            <v>Lucknow</v>
          </cell>
          <cell r="B572" t="str">
            <v>Trust</v>
          </cell>
          <cell r="C572" t="str">
            <v>Mid Level</v>
          </cell>
          <cell r="D572" t="str">
            <v>Bhanu Pratap Singh</v>
          </cell>
          <cell r="F572" t="str">
            <v>Non-MSP</v>
          </cell>
          <cell r="H572" t="str">
            <v>Pass Through</v>
          </cell>
          <cell r="J572" t="str">
            <v>ACH</v>
          </cell>
          <cell r="L572" t="str">
            <v>New</v>
          </cell>
          <cell r="M572">
            <v>46132</v>
          </cell>
          <cell r="N572">
            <v>70</v>
          </cell>
          <cell r="P572">
            <v>46497</v>
          </cell>
          <cell r="Q572" t="str">
            <v>PLC-4834</v>
          </cell>
          <cell r="R572" t="str">
            <v>Sai Sunayana Swayambhatla</v>
          </cell>
          <cell r="S572" t="str">
            <v>Individual</v>
          </cell>
          <cell r="T572" t="str">
            <v>C2C</v>
          </cell>
          <cell r="U572" t="str">
            <v>Birlasoft</v>
          </cell>
          <cell r="V572">
            <v>68</v>
          </cell>
          <cell r="W572">
            <v>0</v>
          </cell>
          <cell r="X572" t="str">
            <v>USD</v>
          </cell>
          <cell r="Y572">
            <v>69.7</v>
          </cell>
          <cell r="Z572">
            <v>0</v>
          </cell>
          <cell r="AA572">
            <v>0</v>
          </cell>
          <cell r="AB572">
            <v>0</v>
          </cell>
          <cell r="AC572">
            <v>46157</v>
          </cell>
          <cell r="AD572">
            <v>9</v>
          </cell>
          <cell r="AE572">
            <v>46387</v>
          </cell>
          <cell r="AF572">
            <v>68</v>
          </cell>
          <cell r="AG572">
            <v>0</v>
          </cell>
          <cell r="AH572">
            <v>68</v>
          </cell>
          <cell r="AI572">
            <v>69.7</v>
          </cell>
          <cell r="AJ572">
            <v>0</v>
          </cell>
          <cell r="AK572">
            <v>0</v>
          </cell>
          <cell r="AL572">
            <v>1.7000000000000028</v>
          </cell>
          <cell r="AM572">
            <v>0</v>
          </cell>
          <cell r="AN572">
            <v>1.7000000000000028</v>
          </cell>
          <cell r="AO572">
            <v>0</v>
          </cell>
          <cell r="AP572">
            <v>1.7000000000000028</v>
          </cell>
          <cell r="AQ572" t="str">
            <v>US_27947</v>
          </cell>
          <cell r="AR572">
            <v>0</v>
          </cell>
          <cell r="AS572">
            <v>160</v>
          </cell>
          <cell r="AU572">
            <v>160</v>
          </cell>
          <cell r="AV572">
            <v>0</v>
          </cell>
          <cell r="AW572">
            <v>272.00000000000045</v>
          </cell>
          <cell r="AX572">
            <v>269.28000000000043</v>
          </cell>
          <cell r="AY572">
            <v>0</v>
          </cell>
          <cell r="AZ572">
            <v>272.00000000000045</v>
          </cell>
          <cell r="BA572">
            <v>269.28000000000043</v>
          </cell>
          <cell r="BB572">
            <v>272.00000000000045</v>
          </cell>
          <cell r="BC572">
            <v>0</v>
          </cell>
          <cell r="BD572">
            <v>0</v>
          </cell>
          <cell r="BE572">
            <v>0</v>
          </cell>
          <cell r="BG572">
            <v>269.28000000000043</v>
          </cell>
          <cell r="BI572">
            <v>0</v>
          </cell>
          <cell r="BJ572">
            <v>11152</v>
          </cell>
          <cell r="BK572">
            <v>11152</v>
          </cell>
          <cell r="BL572">
            <v>10880</v>
          </cell>
          <cell r="BM572">
            <v>0</v>
          </cell>
          <cell r="BN572">
            <v>0</v>
          </cell>
          <cell r="BO572">
            <v>0</v>
          </cell>
          <cell r="BP572">
            <v>10880</v>
          </cell>
          <cell r="BQ572">
            <v>0</v>
          </cell>
          <cell r="BR572">
            <v>272</v>
          </cell>
          <cell r="BT572">
            <v>2</v>
          </cell>
          <cell r="BU572">
            <v>2</v>
          </cell>
          <cell r="BV572" t="str">
            <v>Y</v>
          </cell>
          <cell r="BW572">
            <v>0</v>
          </cell>
          <cell r="BX572">
            <v>0</v>
          </cell>
          <cell r="BY572">
            <v>2026</v>
          </cell>
          <cell r="BZ572" t="str">
            <v>-</v>
          </cell>
          <cell r="CA572" t="str">
            <v>-</v>
          </cell>
        </row>
        <row r="573">
          <cell r="A573" t="str">
            <v>Lucknow</v>
          </cell>
          <cell r="B573" t="str">
            <v>Titans</v>
          </cell>
          <cell r="C573" t="str">
            <v>Mid Level</v>
          </cell>
          <cell r="D573" t="str">
            <v>Aditya Yadav</v>
          </cell>
          <cell r="E573" t="str">
            <v>-</v>
          </cell>
          <cell r="F573" t="str">
            <v>Non-MSP</v>
          </cell>
          <cell r="H573" t="str">
            <v>Aditya Yadav</v>
          </cell>
          <cell r="L573" t="str">
            <v>New</v>
          </cell>
          <cell r="M573">
            <v>46055</v>
          </cell>
          <cell r="N573">
            <v>147</v>
          </cell>
          <cell r="P573">
            <v>46420</v>
          </cell>
          <cell r="Q573" t="str">
            <v>PLC-4829</v>
          </cell>
          <cell r="R573" t="str">
            <v>Sai Vijay Nookala</v>
          </cell>
          <cell r="S573" t="str">
            <v>Individual</v>
          </cell>
          <cell r="T573" t="str">
            <v>C2C</v>
          </cell>
          <cell r="U573" t="str">
            <v>Cyient</v>
          </cell>
          <cell r="V573">
            <v>69</v>
          </cell>
          <cell r="W573">
            <v>0</v>
          </cell>
          <cell r="X573" t="str">
            <v>USD</v>
          </cell>
          <cell r="Y573">
            <v>72</v>
          </cell>
          <cell r="Z573">
            <v>0</v>
          </cell>
          <cell r="AA573">
            <v>0</v>
          </cell>
          <cell r="AB573">
            <v>0</v>
          </cell>
          <cell r="AC573">
            <v>46068</v>
          </cell>
          <cell r="AD573">
            <v>18</v>
          </cell>
          <cell r="AE573">
            <v>46387</v>
          </cell>
          <cell r="AF573">
            <v>69</v>
          </cell>
          <cell r="AG573">
            <v>0</v>
          </cell>
          <cell r="AH573">
            <v>69</v>
          </cell>
          <cell r="AI573">
            <v>72</v>
          </cell>
          <cell r="AJ573">
            <v>0</v>
          </cell>
          <cell r="AK573">
            <v>0</v>
          </cell>
          <cell r="AL573">
            <v>3</v>
          </cell>
          <cell r="AM573">
            <v>0</v>
          </cell>
          <cell r="AN573">
            <v>3</v>
          </cell>
          <cell r="AO573">
            <v>0</v>
          </cell>
          <cell r="AP573">
            <v>3</v>
          </cell>
          <cell r="AQ573" t="str">
            <v>US_27176</v>
          </cell>
          <cell r="AR573">
            <v>0</v>
          </cell>
          <cell r="AS573">
            <v>160</v>
          </cell>
          <cell r="AU573">
            <v>160</v>
          </cell>
          <cell r="AV573">
            <v>0</v>
          </cell>
          <cell r="AW573">
            <v>480</v>
          </cell>
          <cell r="AX573">
            <v>480</v>
          </cell>
          <cell r="AY573">
            <v>0</v>
          </cell>
          <cell r="AZ573">
            <v>480</v>
          </cell>
          <cell r="BA573">
            <v>480</v>
          </cell>
          <cell r="BB573">
            <v>480</v>
          </cell>
          <cell r="BC573">
            <v>0</v>
          </cell>
          <cell r="BD573">
            <v>0</v>
          </cell>
          <cell r="BE573">
            <v>0</v>
          </cell>
          <cell r="BG573">
            <v>480</v>
          </cell>
          <cell r="BI573">
            <v>480</v>
          </cell>
          <cell r="BJ573">
            <v>11520</v>
          </cell>
          <cell r="BK573">
            <v>11520</v>
          </cell>
          <cell r="BL573">
            <v>11040</v>
          </cell>
          <cell r="BM573">
            <v>0</v>
          </cell>
          <cell r="BN573">
            <v>0</v>
          </cell>
          <cell r="BO573">
            <v>0</v>
          </cell>
          <cell r="BP573">
            <v>11040</v>
          </cell>
          <cell r="BQ573">
            <v>0</v>
          </cell>
          <cell r="BR573">
            <v>480</v>
          </cell>
          <cell r="BS573" t="str">
            <v>Y</v>
          </cell>
          <cell r="BT573">
            <v>1</v>
          </cell>
          <cell r="BU573">
            <v>1</v>
          </cell>
          <cell r="BV573" t="str">
            <v>N</v>
          </cell>
          <cell r="BW573">
            <v>0</v>
          </cell>
          <cell r="BX573">
            <v>0</v>
          </cell>
          <cell r="BY573">
            <v>2026</v>
          </cell>
          <cell r="BZ573" t="str">
            <v>-</v>
          </cell>
          <cell r="CA573" t="str">
            <v>-</v>
          </cell>
        </row>
        <row r="574">
          <cell r="A574" t="str">
            <v>Lucknow</v>
          </cell>
          <cell r="B574" t="str">
            <v>Titans</v>
          </cell>
          <cell r="C574" t="str">
            <v>Mid Level</v>
          </cell>
          <cell r="D574" t="str">
            <v>Aditya Yadav</v>
          </cell>
          <cell r="E574" t="str">
            <v>-</v>
          </cell>
          <cell r="F574" t="str">
            <v>Non-MSP</v>
          </cell>
          <cell r="H574" t="str">
            <v>Aditya Yadav</v>
          </cell>
          <cell r="L574" t="str">
            <v>New</v>
          </cell>
          <cell r="M574">
            <v>46055</v>
          </cell>
          <cell r="N574">
            <v>147</v>
          </cell>
          <cell r="P574">
            <v>46420</v>
          </cell>
          <cell r="Q574" t="str">
            <v>PLC-4829</v>
          </cell>
          <cell r="R574" t="str">
            <v>Sai Vijay Nookala</v>
          </cell>
          <cell r="S574" t="str">
            <v>Individual</v>
          </cell>
          <cell r="T574" t="str">
            <v>C2C</v>
          </cell>
          <cell r="U574" t="str">
            <v>Cyient</v>
          </cell>
          <cell r="V574">
            <v>69</v>
          </cell>
          <cell r="W574">
            <v>0</v>
          </cell>
          <cell r="X574" t="str">
            <v>USD</v>
          </cell>
          <cell r="Y574">
            <v>72</v>
          </cell>
          <cell r="Z574">
            <v>0</v>
          </cell>
          <cell r="AA574">
            <v>0</v>
          </cell>
          <cell r="AB574">
            <v>0</v>
          </cell>
          <cell r="AC574">
            <v>46096</v>
          </cell>
          <cell r="AD574">
            <v>22</v>
          </cell>
          <cell r="AE574">
            <v>46387</v>
          </cell>
          <cell r="AF574">
            <v>69</v>
          </cell>
          <cell r="AG574">
            <v>0</v>
          </cell>
          <cell r="AH574">
            <v>69</v>
          </cell>
          <cell r="AI574">
            <v>72</v>
          </cell>
          <cell r="AJ574">
            <v>0</v>
          </cell>
          <cell r="AK574">
            <v>0</v>
          </cell>
          <cell r="AL574">
            <v>3</v>
          </cell>
          <cell r="AM574">
            <v>0</v>
          </cell>
          <cell r="AN574">
            <v>3</v>
          </cell>
          <cell r="AO574">
            <v>0</v>
          </cell>
          <cell r="AP574">
            <v>3</v>
          </cell>
          <cell r="AQ574" t="str">
            <v>US_27459</v>
          </cell>
          <cell r="AR574">
            <v>0</v>
          </cell>
          <cell r="AS574">
            <v>176</v>
          </cell>
          <cell r="AU574">
            <v>176</v>
          </cell>
          <cell r="AV574">
            <v>0</v>
          </cell>
          <cell r="AW574">
            <v>528</v>
          </cell>
          <cell r="AX574">
            <v>528</v>
          </cell>
          <cell r="AY574">
            <v>0</v>
          </cell>
          <cell r="AZ574">
            <v>528</v>
          </cell>
          <cell r="BA574">
            <v>528</v>
          </cell>
          <cell r="BB574">
            <v>528</v>
          </cell>
          <cell r="BC574">
            <v>0</v>
          </cell>
          <cell r="BD574">
            <v>0</v>
          </cell>
          <cell r="BE574">
            <v>0</v>
          </cell>
          <cell r="BG574">
            <v>528</v>
          </cell>
          <cell r="BI574">
            <v>528</v>
          </cell>
          <cell r="BJ574">
            <v>12672</v>
          </cell>
          <cell r="BK574">
            <v>12672</v>
          </cell>
          <cell r="BL574">
            <v>12144</v>
          </cell>
          <cell r="BM574">
            <v>0</v>
          </cell>
          <cell r="BN574">
            <v>0</v>
          </cell>
          <cell r="BO574">
            <v>0</v>
          </cell>
          <cell r="BP574">
            <v>12144</v>
          </cell>
          <cell r="BQ574">
            <v>0</v>
          </cell>
          <cell r="BR574">
            <v>528</v>
          </cell>
          <cell r="BS574" t="str">
            <v>Y</v>
          </cell>
          <cell r="BT574">
            <v>1</v>
          </cell>
          <cell r="BU574">
            <v>1</v>
          </cell>
          <cell r="BV574" t="str">
            <v>N</v>
          </cell>
          <cell r="BW574">
            <v>0</v>
          </cell>
          <cell r="BX574">
            <v>0</v>
          </cell>
          <cell r="BY574">
            <v>2026</v>
          </cell>
          <cell r="BZ574" t="str">
            <v>-</v>
          </cell>
          <cell r="CA574" t="str">
            <v>-</v>
          </cell>
        </row>
        <row r="575">
          <cell r="A575" t="str">
            <v>Lucknow</v>
          </cell>
          <cell r="B575" t="str">
            <v>Titans</v>
          </cell>
          <cell r="C575" t="str">
            <v>Mid Level</v>
          </cell>
          <cell r="D575" t="str">
            <v>Aditya Yadav</v>
          </cell>
          <cell r="E575" t="str">
            <v>-</v>
          </cell>
          <cell r="F575" t="str">
            <v>Non-MSP</v>
          </cell>
          <cell r="H575" t="str">
            <v>Aditya Yadav</v>
          </cell>
          <cell r="J575" t="str">
            <v>ACH</v>
          </cell>
          <cell r="L575" t="str">
            <v>New</v>
          </cell>
          <cell r="M575">
            <v>46055</v>
          </cell>
          <cell r="N575">
            <v>147</v>
          </cell>
          <cell r="P575">
            <v>46420</v>
          </cell>
          <cell r="Q575" t="str">
            <v>PLC-4829</v>
          </cell>
          <cell r="R575" t="str">
            <v>Sai Vijay Nookala</v>
          </cell>
          <cell r="S575" t="str">
            <v>Individual</v>
          </cell>
          <cell r="T575" t="str">
            <v>C2C</v>
          </cell>
          <cell r="U575" t="str">
            <v>Cyient</v>
          </cell>
          <cell r="V575">
            <v>69</v>
          </cell>
          <cell r="W575">
            <v>0</v>
          </cell>
          <cell r="X575" t="str">
            <v>USD</v>
          </cell>
          <cell r="Y575">
            <v>72</v>
          </cell>
          <cell r="Z575">
            <v>0</v>
          </cell>
          <cell r="AA575">
            <v>0</v>
          </cell>
          <cell r="AB575">
            <v>0</v>
          </cell>
          <cell r="AC575">
            <v>46127</v>
          </cell>
          <cell r="AD575">
            <v>22</v>
          </cell>
          <cell r="AE575">
            <v>46387</v>
          </cell>
          <cell r="AF575">
            <v>69</v>
          </cell>
          <cell r="AG575">
            <v>0</v>
          </cell>
          <cell r="AH575">
            <v>69</v>
          </cell>
          <cell r="AI575">
            <v>72</v>
          </cell>
          <cell r="AJ575">
            <v>0</v>
          </cell>
          <cell r="AK575">
            <v>0</v>
          </cell>
          <cell r="AL575">
            <v>3</v>
          </cell>
          <cell r="AM575">
            <v>0</v>
          </cell>
          <cell r="AN575">
            <v>3</v>
          </cell>
          <cell r="AO575">
            <v>0</v>
          </cell>
          <cell r="AP575">
            <v>3</v>
          </cell>
          <cell r="AQ575" t="str">
            <v>US_27675</v>
          </cell>
          <cell r="AR575">
            <v>0</v>
          </cell>
          <cell r="AS575">
            <v>176</v>
          </cell>
          <cell r="AU575">
            <v>176</v>
          </cell>
          <cell r="AV575">
            <v>0</v>
          </cell>
          <cell r="AW575">
            <v>528</v>
          </cell>
          <cell r="AX575">
            <v>522.72</v>
          </cell>
          <cell r="AY575">
            <v>0</v>
          </cell>
          <cell r="AZ575">
            <v>528</v>
          </cell>
          <cell r="BA575">
            <v>522.72</v>
          </cell>
          <cell r="BB575">
            <v>528</v>
          </cell>
          <cell r="BC575">
            <v>0</v>
          </cell>
          <cell r="BD575">
            <v>0</v>
          </cell>
          <cell r="BE575">
            <v>0</v>
          </cell>
          <cell r="BG575">
            <v>522.72</v>
          </cell>
          <cell r="BI575">
            <v>522.72</v>
          </cell>
          <cell r="BJ575">
            <v>12672</v>
          </cell>
          <cell r="BK575">
            <v>12672</v>
          </cell>
          <cell r="BL575">
            <v>12144</v>
          </cell>
          <cell r="BM575">
            <v>0</v>
          </cell>
          <cell r="BN575">
            <v>0</v>
          </cell>
          <cell r="BO575">
            <v>0</v>
          </cell>
          <cell r="BP575">
            <v>12144</v>
          </cell>
          <cell r="BQ575">
            <v>0</v>
          </cell>
          <cell r="BR575">
            <v>528</v>
          </cell>
          <cell r="BT575">
            <v>2</v>
          </cell>
          <cell r="BU575">
            <v>1</v>
          </cell>
          <cell r="BV575" t="str">
            <v>Y</v>
          </cell>
          <cell r="BW575">
            <v>0</v>
          </cell>
          <cell r="BX575">
            <v>0</v>
          </cell>
          <cell r="BY575">
            <v>2026</v>
          </cell>
          <cell r="BZ575" t="str">
            <v>-</v>
          </cell>
          <cell r="CA575" t="str">
            <v>-</v>
          </cell>
        </row>
        <row r="576">
          <cell r="A576" t="str">
            <v>Lucknow</v>
          </cell>
          <cell r="B576" t="str">
            <v>Titans</v>
          </cell>
          <cell r="C576" t="str">
            <v>Mid Level</v>
          </cell>
          <cell r="D576" t="str">
            <v>Aditya Yadav</v>
          </cell>
          <cell r="E576" t="str">
            <v>-</v>
          </cell>
          <cell r="F576" t="str">
            <v>Non-MSP</v>
          </cell>
          <cell r="H576" t="str">
            <v>Aditya Yadav</v>
          </cell>
          <cell r="J576" t="str">
            <v>ACH</v>
          </cell>
          <cell r="L576" t="str">
            <v>New</v>
          </cell>
          <cell r="M576">
            <v>46055</v>
          </cell>
          <cell r="N576">
            <v>147</v>
          </cell>
          <cell r="P576">
            <v>46420</v>
          </cell>
          <cell r="Q576" t="str">
            <v>PLC-4829</v>
          </cell>
          <cell r="R576" t="str">
            <v>Sai Vijay Nookala</v>
          </cell>
          <cell r="S576" t="str">
            <v>Individual</v>
          </cell>
          <cell r="T576" t="str">
            <v>C2C</v>
          </cell>
          <cell r="U576" t="str">
            <v>Cyient</v>
          </cell>
          <cell r="V576">
            <v>69</v>
          </cell>
          <cell r="W576">
            <v>0</v>
          </cell>
          <cell r="X576" t="str">
            <v>USD</v>
          </cell>
          <cell r="Y576">
            <v>72</v>
          </cell>
          <cell r="Z576">
            <v>0</v>
          </cell>
          <cell r="AA576">
            <v>0</v>
          </cell>
          <cell r="AB576">
            <v>0</v>
          </cell>
          <cell r="AC576">
            <v>46157</v>
          </cell>
          <cell r="AD576">
            <v>22</v>
          </cell>
          <cell r="AE576">
            <v>46387</v>
          </cell>
          <cell r="AF576">
            <v>69</v>
          </cell>
          <cell r="AG576">
            <v>0</v>
          </cell>
          <cell r="AH576">
            <v>69</v>
          </cell>
          <cell r="AI576">
            <v>72</v>
          </cell>
          <cell r="AJ576">
            <v>0</v>
          </cell>
          <cell r="AK576">
            <v>0</v>
          </cell>
          <cell r="AL576">
            <v>3</v>
          </cell>
          <cell r="AM576">
            <v>0</v>
          </cell>
          <cell r="AN576">
            <v>3</v>
          </cell>
          <cell r="AO576">
            <v>0</v>
          </cell>
          <cell r="AP576">
            <v>3</v>
          </cell>
          <cell r="AU576">
            <v>176</v>
          </cell>
          <cell r="BB576">
            <v>528</v>
          </cell>
          <cell r="BC576">
            <v>0</v>
          </cell>
          <cell r="BD576">
            <v>0</v>
          </cell>
          <cell r="BE576">
            <v>0</v>
          </cell>
          <cell r="BK576">
            <v>12672</v>
          </cell>
          <cell r="BL576">
            <v>12144</v>
          </cell>
          <cell r="BM576">
            <v>0</v>
          </cell>
          <cell r="BN576">
            <v>0</v>
          </cell>
          <cell r="BO576">
            <v>0</v>
          </cell>
          <cell r="BP576">
            <v>12144</v>
          </cell>
          <cell r="BQ576">
            <v>0</v>
          </cell>
          <cell r="BR576">
            <v>528</v>
          </cell>
          <cell r="BT576">
            <v>2</v>
          </cell>
          <cell r="BU576">
            <v>1</v>
          </cell>
          <cell r="BV576" t="str">
            <v>Y</v>
          </cell>
          <cell r="BW576">
            <v>0</v>
          </cell>
          <cell r="BX576">
            <v>0</v>
          </cell>
          <cell r="BY576">
            <v>2026</v>
          </cell>
          <cell r="BZ576" t="str">
            <v>-</v>
          </cell>
          <cell r="CA576" t="str">
            <v>-</v>
          </cell>
        </row>
        <row r="577">
          <cell r="A577" t="str">
            <v>Lucknow</v>
          </cell>
          <cell r="B577" t="str">
            <v>Trust</v>
          </cell>
          <cell r="C577" t="str">
            <v>Mid Level</v>
          </cell>
          <cell r="D577" t="str">
            <v>Harsh Agarwal</v>
          </cell>
          <cell r="E577" t="str">
            <v>-</v>
          </cell>
          <cell r="F577" t="str">
            <v>Non-MSP</v>
          </cell>
          <cell r="H577" t="str">
            <v>Virendra Vikram Singh</v>
          </cell>
          <cell r="L577" t="str">
            <v>New</v>
          </cell>
          <cell r="M577">
            <v>46050</v>
          </cell>
          <cell r="N577">
            <v>152</v>
          </cell>
          <cell r="P577">
            <v>46415</v>
          </cell>
          <cell r="Q577" t="str">
            <v>PLC-4677</v>
          </cell>
          <cell r="R577" t="str">
            <v>Saichand Pothana</v>
          </cell>
          <cell r="S577" t="str">
            <v>Individual</v>
          </cell>
          <cell r="T577" t="str">
            <v>C2C</v>
          </cell>
          <cell r="U577" t="str">
            <v>Movate</v>
          </cell>
          <cell r="V577">
            <v>70</v>
          </cell>
          <cell r="W577">
            <v>0</v>
          </cell>
          <cell r="X577" t="str">
            <v>USD</v>
          </cell>
          <cell r="Y577">
            <v>88</v>
          </cell>
          <cell r="Z577">
            <v>0</v>
          </cell>
          <cell r="AA577">
            <v>0</v>
          </cell>
          <cell r="AB577">
            <v>0</v>
          </cell>
          <cell r="AC577">
            <v>46037</v>
          </cell>
          <cell r="AD577">
            <v>3</v>
          </cell>
          <cell r="AE577">
            <v>46387</v>
          </cell>
          <cell r="AF577">
            <v>70</v>
          </cell>
          <cell r="AG577">
            <v>0</v>
          </cell>
          <cell r="AH577">
            <v>70</v>
          </cell>
          <cell r="AI577">
            <v>88</v>
          </cell>
          <cell r="AJ577">
            <v>0</v>
          </cell>
          <cell r="AK577">
            <v>0</v>
          </cell>
          <cell r="AL577">
            <v>18</v>
          </cell>
          <cell r="AM577">
            <v>0</v>
          </cell>
          <cell r="AN577">
            <v>18</v>
          </cell>
          <cell r="AO577">
            <v>0</v>
          </cell>
          <cell r="AP577">
            <v>18</v>
          </cell>
          <cell r="AQ577" t="str">
            <v>US_26968</v>
          </cell>
          <cell r="AR577">
            <v>0</v>
          </cell>
          <cell r="AS577">
            <v>24</v>
          </cell>
          <cell r="AU577">
            <v>24</v>
          </cell>
          <cell r="AV577">
            <v>0</v>
          </cell>
          <cell r="AW577">
            <v>432</v>
          </cell>
          <cell r="AX577">
            <v>432</v>
          </cell>
          <cell r="AY577">
            <v>0</v>
          </cell>
          <cell r="AZ577">
            <v>432</v>
          </cell>
          <cell r="BA577">
            <v>432</v>
          </cell>
          <cell r="BB577">
            <v>432</v>
          </cell>
          <cell r="BC577">
            <v>75</v>
          </cell>
          <cell r="BD577">
            <v>570.24</v>
          </cell>
          <cell r="BE577">
            <v>570.24</v>
          </cell>
          <cell r="BF577">
            <v>39</v>
          </cell>
          <cell r="BG577">
            <v>432</v>
          </cell>
          <cell r="BH577">
            <v>237.6</v>
          </cell>
          <cell r="BI577">
            <v>432</v>
          </cell>
          <cell r="BJ577">
            <v>2112</v>
          </cell>
          <cell r="BK577">
            <v>2112</v>
          </cell>
          <cell r="BL577">
            <v>1680</v>
          </cell>
          <cell r="BM577">
            <v>0</v>
          </cell>
          <cell r="BN577">
            <v>0</v>
          </cell>
          <cell r="BO577">
            <v>0</v>
          </cell>
          <cell r="BP577">
            <v>1680</v>
          </cell>
          <cell r="BQ577">
            <v>0</v>
          </cell>
          <cell r="BR577">
            <v>432</v>
          </cell>
          <cell r="BS577" t="str">
            <v>Y</v>
          </cell>
          <cell r="BT577">
            <v>1</v>
          </cell>
          <cell r="BU577">
            <v>1</v>
          </cell>
          <cell r="BV577" t="str">
            <v>Y</v>
          </cell>
          <cell r="BW577">
            <v>1140.48</v>
          </cell>
          <cell r="BX577">
            <v>1140.48</v>
          </cell>
          <cell r="BY577">
            <v>2026</v>
          </cell>
          <cell r="BZ577" t="str">
            <v>-</v>
          </cell>
          <cell r="CA577" t="str">
            <v>-</v>
          </cell>
        </row>
        <row r="578">
          <cell r="A578" t="str">
            <v>Lucknow</v>
          </cell>
          <cell r="B578" t="str">
            <v>Trust</v>
          </cell>
          <cell r="C578" t="str">
            <v>Mid Level</v>
          </cell>
          <cell r="D578" t="str">
            <v>Harsh Agarwal</v>
          </cell>
          <cell r="E578" t="str">
            <v>-</v>
          </cell>
          <cell r="F578" t="str">
            <v>Non-MSP</v>
          </cell>
          <cell r="H578" t="str">
            <v>Virendra Vikram Singh</v>
          </cell>
          <cell r="L578" t="str">
            <v>New</v>
          </cell>
          <cell r="M578">
            <v>46050</v>
          </cell>
          <cell r="N578">
            <v>152</v>
          </cell>
          <cell r="P578">
            <v>46415</v>
          </cell>
          <cell r="Q578" t="str">
            <v>PLC-4677</v>
          </cell>
          <cell r="R578" t="str">
            <v>Saichand Pothana</v>
          </cell>
          <cell r="S578" t="str">
            <v>Individual</v>
          </cell>
          <cell r="T578" t="str">
            <v>C2C</v>
          </cell>
          <cell r="U578" t="str">
            <v>Movate</v>
          </cell>
          <cell r="V578">
            <v>70</v>
          </cell>
          <cell r="W578">
            <v>0</v>
          </cell>
          <cell r="X578" t="str">
            <v>USD</v>
          </cell>
          <cell r="Y578">
            <v>88</v>
          </cell>
          <cell r="Z578">
            <v>0</v>
          </cell>
          <cell r="AA578">
            <v>0</v>
          </cell>
          <cell r="AB578">
            <v>0</v>
          </cell>
          <cell r="AC578">
            <v>46068</v>
          </cell>
          <cell r="AD578">
            <v>20</v>
          </cell>
          <cell r="AE578">
            <v>46387</v>
          </cell>
          <cell r="AF578">
            <v>70</v>
          </cell>
          <cell r="AG578">
            <v>0</v>
          </cell>
          <cell r="AH578">
            <v>70</v>
          </cell>
          <cell r="AI578">
            <v>88</v>
          </cell>
          <cell r="AJ578">
            <v>0</v>
          </cell>
          <cell r="AK578">
            <v>0</v>
          </cell>
          <cell r="AL578">
            <v>18</v>
          </cell>
          <cell r="AM578">
            <v>0</v>
          </cell>
          <cell r="AN578">
            <v>18</v>
          </cell>
          <cell r="AO578">
            <v>0</v>
          </cell>
          <cell r="AP578">
            <v>18</v>
          </cell>
          <cell r="AQ578" t="str">
            <v>US_27162</v>
          </cell>
          <cell r="AR578">
            <v>0</v>
          </cell>
          <cell r="AS578">
            <v>160</v>
          </cell>
          <cell r="AU578">
            <v>160</v>
          </cell>
          <cell r="AV578">
            <v>0</v>
          </cell>
          <cell r="AW578">
            <v>2880</v>
          </cell>
          <cell r="AX578">
            <v>2880</v>
          </cell>
          <cell r="AY578">
            <v>0</v>
          </cell>
          <cell r="AZ578">
            <v>2880</v>
          </cell>
          <cell r="BA578">
            <v>2880</v>
          </cell>
          <cell r="BB578">
            <v>2880</v>
          </cell>
          <cell r="BC578">
            <v>75</v>
          </cell>
          <cell r="BD578">
            <v>3801.6</v>
          </cell>
          <cell r="BE578">
            <v>3801.6</v>
          </cell>
          <cell r="BF578">
            <v>39</v>
          </cell>
          <cell r="BG578">
            <v>2880</v>
          </cell>
          <cell r="BH578">
            <v>1584</v>
          </cell>
          <cell r="BI578">
            <v>2880</v>
          </cell>
          <cell r="BJ578">
            <v>14080</v>
          </cell>
          <cell r="BK578">
            <v>14080</v>
          </cell>
          <cell r="BL578">
            <v>11200</v>
          </cell>
          <cell r="BM578">
            <v>0</v>
          </cell>
          <cell r="BN578">
            <v>0</v>
          </cell>
          <cell r="BO578">
            <v>0</v>
          </cell>
          <cell r="BP578">
            <v>11200</v>
          </cell>
          <cell r="BQ578">
            <v>0</v>
          </cell>
          <cell r="BR578">
            <v>2880</v>
          </cell>
          <cell r="BS578" t="str">
            <v>Y</v>
          </cell>
          <cell r="BT578">
            <v>1</v>
          </cell>
          <cell r="BU578">
            <v>1</v>
          </cell>
          <cell r="BV578" t="str">
            <v>Y</v>
          </cell>
          <cell r="BW578">
            <v>7603.2</v>
          </cell>
          <cell r="BX578">
            <v>7603.2</v>
          </cell>
          <cell r="BY578">
            <v>2026</v>
          </cell>
          <cell r="BZ578" t="str">
            <v>-</v>
          </cell>
          <cell r="CA578" t="str">
            <v>-</v>
          </cell>
        </row>
        <row r="579">
          <cell r="A579" t="str">
            <v>Lucknow</v>
          </cell>
          <cell r="B579" t="str">
            <v>Trust</v>
          </cell>
          <cell r="C579" t="str">
            <v>Mid Level</v>
          </cell>
          <cell r="D579" t="str">
            <v>Harsh Agarwal</v>
          </cell>
          <cell r="E579" t="str">
            <v>-</v>
          </cell>
          <cell r="F579" t="str">
            <v>Non-MSP</v>
          </cell>
          <cell r="H579" t="str">
            <v>Virendra Vikram Singh</v>
          </cell>
          <cell r="L579" t="str">
            <v>New</v>
          </cell>
          <cell r="M579">
            <v>46050</v>
          </cell>
          <cell r="N579">
            <v>152</v>
          </cell>
          <cell r="P579">
            <v>46415</v>
          </cell>
          <cell r="Q579" t="str">
            <v>PLC-4677</v>
          </cell>
          <cell r="R579" t="str">
            <v>Saichand Pothana</v>
          </cell>
          <cell r="S579" t="str">
            <v>Individual</v>
          </cell>
          <cell r="T579" t="str">
            <v>C2C</v>
          </cell>
          <cell r="U579" t="str">
            <v>Movate</v>
          </cell>
          <cell r="V579">
            <v>70</v>
          </cell>
          <cell r="W579">
            <v>0</v>
          </cell>
          <cell r="X579" t="str">
            <v>USD</v>
          </cell>
          <cell r="Y579">
            <v>88</v>
          </cell>
          <cell r="Z579">
            <v>0</v>
          </cell>
          <cell r="AA579">
            <v>0</v>
          </cell>
          <cell r="AB579">
            <v>0</v>
          </cell>
          <cell r="AC579">
            <v>46096</v>
          </cell>
          <cell r="AD579">
            <v>22</v>
          </cell>
          <cell r="AE579">
            <v>46387</v>
          </cell>
          <cell r="AF579">
            <v>70</v>
          </cell>
          <cell r="AG579">
            <v>0</v>
          </cell>
          <cell r="AH579">
            <v>70</v>
          </cell>
          <cell r="AI579">
            <v>88</v>
          </cell>
          <cell r="AJ579">
            <v>0</v>
          </cell>
          <cell r="AK579">
            <v>0</v>
          </cell>
          <cell r="AL579">
            <v>18</v>
          </cell>
          <cell r="AM579">
            <v>0</v>
          </cell>
          <cell r="AN579">
            <v>18</v>
          </cell>
          <cell r="AO579">
            <v>0</v>
          </cell>
          <cell r="AP579">
            <v>18</v>
          </cell>
          <cell r="AQ579" t="str">
            <v>US_27377</v>
          </cell>
          <cell r="AR579">
            <v>0</v>
          </cell>
          <cell r="AS579">
            <v>176</v>
          </cell>
          <cell r="AU579">
            <v>176</v>
          </cell>
          <cell r="AV579">
            <v>0</v>
          </cell>
          <cell r="AW579">
            <v>3168</v>
          </cell>
          <cell r="AX579">
            <v>3168</v>
          </cell>
          <cell r="AY579">
            <v>0</v>
          </cell>
          <cell r="AZ579">
            <v>3168</v>
          </cell>
          <cell r="BA579">
            <v>3168</v>
          </cell>
          <cell r="BB579">
            <v>3168</v>
          </cell>
          <cell r="BC579">
            <v>75</v>
          </cell>
          <cell r="BD579">
            <v>4181.76</v>
          </cell>
          <cell r="BE579">
            <v>4181.76</v>
          </cell>
          <cell r="BF579">
            <v>39</v>
          </cell>
          <cell r="BG579">
            <v>3168</v>
          </cell>
          <cell r="BH579">
            <v>1742.4</v>
          </cell>
          <cell r="BI579">
            <v>3168</v>
          </cell>
          <cell r="BJ579">
            <v>15488</v>
          </cell>
          <cell r="BK579">
            <v>15488</v>
          </cell>
          <cell r="BL579">
            <v>12320</v>
          </cell>
          <cell r="BM579">
            <v>0</v>
          </cell>
          <cell r="BN579">
            <v>0</v>
          </cell>
          <cell r="BO579">
            <v>0</v>
          </cell>
          <cell r="BP579">
            <v>12320</v>
          </cell>
          <cell r="BQ579">
            <v>0</v>
          </cell>
          <cell r="BR579">
            <v>3168</v>
          </cell>
          <cell r="BS579" t="str">
            <v>Y</v>
          </cell>
          <cell r="BT579">
            <v>1</v>
          </cell>
          <cell r="BU579">
            <v>1</v>
          </cell>
          <cell r="BV579" t="str">
            <v>Y</v>
          </cell>
          <cell r="BW579">
            <v>8363.52</v>
          </cell>
          <cell r="BX579">
            <v>8363.52</v>
          </cell>
          <cell r="BY579">
            <v>2026</v>
          </cell>
          <cell r="BZ579" t="str">
            <v>-</v>
          </cell>
          <cell r="CA579" t="str">
            <v>-</v>
          </cell>
        </row>
        <row r="580">
          <cell r="A580" t="str">
            <v>Lucknow</v>
          </cell>
          <cell r="B580" t="str">
            <v>Trust</v>
          </cell>
          <cell r="C580" t="str">
            <v>Mid Level</v>
          </cell>
          <cell r="D580" t="str">
            <v>Harsh Agarwal</v>
          </cell>
          <cell r="E580" t="str">
            <v>-</v>
          </cell>
          <cell r="F580" t="str">
            <v>Non-MSP</v>
          </cell>
          <cell r="H580" t="str">
            <v>Virendra Vikram Singh</v>
          </cell>
          <cell r="J580" t="str">
            <v>ACH</v>
          </cell>
          <cell r="L580" t="str">
            <v>New</v>
          </cell>
          <cell r="M580">
            <v>46050</v>
          </cell>
          <cell r="N580">
            <v>152</v>
          </cell>
          <cell r="P580">
            <v>46415</v>
          </cell>
          <cell r="Q580" t="str">
            <v>PLC-4677</v>
          </cell>
          <cell r="R580" t="str">
            <v>Saichand Pothana</v>
          </cell>
          <cell r="S580" t="str">
            <v>Individual</v>
          </cell>
          <cell r="T580" t="str">
            <v>C2C</v>
          </cell>
          <cell r="U580" t="str">
            <v>Movate</v>
          </cell>
          <cell r="V580">
            <v>70</v>
          </cell>
          <cell r="W580">
            <v>0</v>
          </cell>
          <cell r="X580" t="str">
            <v>USD</v>
          </cell>
          <cell r="Y580">
            <v>88</v>
          </cell>
          <cell r="Z580">
            <v>0</v>
          </cell>
          <cell r="AA580">
            <v>0</v>
          </cell>
          <cell r="AB580">
            <v>0</v>
          </cell>
          <cell r="AC580">
            <v>46127</v>
          </cell>
          <cell r="AD580">
            <v>22</v>
          </cell>
          <cell r="AE580">
            <v>46387</v>
          </cell>
          <cell r="AF580">
            <v>70</v>
          </cell>
          <cell r="AG580">
            <v>0</v>
          </cell>
          <cell r="AH580">
            <v>70</v>
          </cell>
          <cell r="AI580">
            <v>88</v>
          </cell>
          <cell r="AJ580">
            <v>0</v>
          </cell>
          <cell r="AK580">
            <v>0</v>
          </cell>
          <cell r="AL580">
            <v>18</v>
          </cell>
          <cell r="AM580">
            <v>0</v>
          </cell>
          <cell r="AN580">
            <v>18</v>
          </cell>
          <cell r="AO580">
            <v>0</v>
          </cell>
          <cell r="AP580">
            <v>18</v>
          </cell>
          <cell r="AQ580" t="str">
            <v>US_27614</v>
          </cell>
          <cell r="AR580">
            <v>0</v>
          </cell>
          <cell r="AS580">
            <v>176</v>
          </cell>
          <cell r="AU580">
            <v>176</v>
          </cell>
          <cell r="AV580">
            <v>0</v>
          </cell>
          <cell r="AW580">
            <v>3168</v>
          </cell>
          <cell r="AX580">
            <v>3136.32</v>
          </cell>
          <cell r="AY580">
            <v>0</v>
          </cell>
          <cell r="AZ580">
            <v>3168</v>
          </cell>
          <cell r="BA580">
            <v>3136.32</v>
          </cell>
          <cell r="BB580">
            <v>3168</v>
          </cell>
          <cell r="BC580">
            <v>75</v>
          </cell>
          <cell r="BD580">
            <v>4139.9424000000008</v>
          </cell>
          <cell r="BE580">
            <v>4139.9424000000008</v>
          </cell>
          <cell r="BF580">
            <v>39</v>
          </cell>
          <cell r="BG580">
            <v>3136.32</v>
          </cell>
          <cell r="BH580">
            <v>1724.9760000000001</v>
          </cell>
          <cell r="BI580">
            <v>3136.32</v>
          </cell>
          <cell r="BJ580">
            <v>15488</v>
          </cell>
          <cell r="BK580">
            <v>15488</v>
          </cell>
          <cell r="BL580">
            <v>12320</v>
          </cell>
          <cell r="BM580">
            <v>0</v>
          </cell>
          <cell r="BN580">
            <v>0</v>
          </cell>
          <cell r="BO580">
            <v>0</v>
          </cell>
          <cell r="BP580">
            <v>12320</v>
          </cell>
          <cell r="BQ580">
            <v>0</v>
          </cell>
          <cell r="BR580">
            <v>3168</v>
          </cell>
          <cell r="BT580">
            <v>2</v>
          </cell>
          <cell r="BU580">
            <v>1</v>
          </cell>
          <cell r="BV580" t="str">
            <v>Y</v>
          </cell>
          <cell r="BW580">
            <v>8279.8848000000016</v>
          </cell>
          <cell r="BX580">
            <v>8279.8848000000016</v>
          </cell>
          <cell r="BY580">
            <v>2026</v>
          </cell>
          <cell r="BZ580" t="str">
            <v>-</v>
          </cell>
          <cell r="CA580" t="str">
            <v>-</v>
          </cell>
        </row>
        <row r="581">
          <cell r="A581" t="str">
            <v>Lucknow</v>
          </cell>
          <cell r="B581" t="str">
            <v>Trust</v>
          </cell>
          <cell r="C581" t="str">
            <v>Mid Level</v>
          </cell>
          <cell r="D581" t="str">
            <v>Harsh Agarwal</v>
          </cell>
          <cell r="E581" t="str">
            <v>-</v>
          </cell>
          <cell r="F581" t="str">
            <v>Non-MSP</v>
          </cell>
          <cell r="H581" t="str">
            <v>Virendra Vikram Singh</v>
          </cell>
          <cell r="J581" t="str">
            <v>ACH</v>
          </cell>
          <cell r="L581" t="str">
            <v>New</v>
          </cell>
          <cell r="M581">
            <v>46050</v>
          </cell>
          <cell r="N581">
            <v>152</v>
          </cell>
          <cell r="P581">
            <v>46415</v>
          </cell>
          <cell r="Q581" t="str">
            <v>PLC-4677</v>
          </cell>
          <cell r="R581" t="str">
            <v>Saichand Pothana</v>
          </cell>
          <cell r="S581" t="str">
            <v>Individual</v>
          </cell>
          <cell r="T581" t="str">
            <v>C2C</v>
          </cell>
          <cell r="U581" t="str">
            <v>Movate</v>
          </cell>
          <cell r="V581">
            <v>70</v>
          </cell>
          <cell r="W581">
            <v>0</v>
          </cell>
          <cell r="X581" t="str">
            <v>USD</v>
          </cell>
          <cell r="Y581">
            <v>88</v>
          </cell>
          <cell r="Z581">
            <v>0</v>
          </cell>
          <cell r="AA581">
            <v>0</v>
          </cell>
          <cell r="AB581">
            <v>0</v>
          </cell>
          <cell r="AC581">
            <v>46157</v>
          </cell>
          <cell r="AD581">
            <v>22</v>
          </cell>
          <cell r="AE581">
            <v>46387</v>
          </cell>
          <cell r="AF581">
            <v>70</v>
          </cell>
          <cell r="AG581">
            <v>0</v>
          </cell>
          <cell r="AH581">
            <v>70</v>
          </cell>
          <cell r="AI581">
            <v>88</v>
          </cell>
          <cell r="AJ581">
            <v>0</v>
          </cell>
          <cell r="AK581">
            <v>0</v>
          </cell>
          <cell r="AL581">
            <v>18</v>
          </cell>
          <cell r="AM581">
            <v>0</v>
          </cell>
          <cell r="AN581">
            <v>18</v>
          </cell>
          <cell r="AO581">
            <v>0</v>
          </cell>
          <cell r="AP581">
            <v>18</v>
          </cell>
          <cell r="AQ581" t="str">
            <v>US_27906</v>
          </cell>
          <cell r="AR581">
            <v>0</v>
          </cell>
          <cell r="AS581">
            <v>160</v>
          </cell>
          <cell r="AU581">
            <v>160</v>
          </cell>
          <cell r="AV581">
            <v>0</v>
          </cell>
          <cell r="AW581">
            <v>2880</v>
          </cell>
          <cell r="AX581">
            <v>2851.2</v>
          </cell>
          <cell r="AY581">
            <v>0</v>
          </cell>
          <cell r="AZ581">
            <v>2880</v>
          </cell>
          <cell r="BA581">
            <v>2851.2</v>
          </cell>
          <cell r="BB581">
            <v>2880</v>
          </cell>
          <cell r="BC581">
            <v>75</v>
          </cell>
          <cell r="BD581">
            <v>3763.5839999999998</v>
          </cell>
          <cell r="BE581">
            <v>3763.5839999999998</v>
          </cell>
          <cell r="BF581">
            <v>39</v>
          </cell>
          <cell r="BG581">
            <v>2851.2</v>
          </cell>
          <cell r="BH581">
            <v>1568.16</v>
          </cell>
          <cell r="BI581">
            <v>2851.2</v>
          </cell>
          <cell r="BJ581">
            <v>14080</v>
          </cell>
          <cell r="BK581">
            <v>14080</v>
          </cell>
          <cell r="BL581">
            <v>11200</v>
          </cell>
          <cell r="BM581">
            <v>0</v>
          </cell>
          <cell r="BN581">
            <v>0</v>
          </cell>
          <cell r="BO581">
            <v>0</v>
          </cell>
          <cell r="BP581">
            <v>11200</v>
          </cell>
          <cell r="BQ581">
            <v>0</v>
          </cell>
          <cell r="BR581">
            <v>2880</v>
          </cell>
          <cell r="BT581">
            <v>2</v>
          </cell>
          <cell r="BU581">
            <v>1</v>
          </cell>
          <cell r="BV581" t="str">
            <v>Y</v>
          </cell>
          <cell r="BW581">
            <v>7527.1679999999997</v>
          </cell>
          <cell r="BX581">
            <v>7527.1679999999997</v>
          </cell>
          <cell r="BY581">
            <v>2026</v>
          </cell>
          <cell r="BZ581" t="str">
            <v>-</v>
          </cell>
          <cell r="CA581" t="str">
            <v>-</v>
          </cell>
        </row>
        <row r="582">
          <cell r="A582" t="str">
            <v>Lucknow</v>
          </cell>
          <cell r="B582" t="str">
            <v>Mavericks</v>
          </cell>
          <cell r="C582" t="str">
            <v>Mid Level</v>
          </cell>
          <cell r="D582" t="str">
            <v>Akash Saxena</v>
          </cell>
          <cell r="E582" t="str">
            <v>-</v>
          </cell>
          <cell r="F582" t="str">
            <v>Non-MSP</v>
          </cell>
          <cell r="H582" t="str">
            <v>Hemant Kumar</v>
          </cell>
          <cell r="L582" t="str">
            <v>New</v>
          </cell>
          <cell r="M582">
            <v>46139</v>
          </cell>
          <cell r="N582">
            <v>63</v>
          </cell>
          <cell r="P582">
            <v>46504</v>
          </cell>
          <cell r="Q582" t="str">
            <v>PLC-4853</v>
          </cell>
          <cell r="R582" t="str">
            <v>Salil Chopra</v>
          </cell>
          <cell r="S582" t="str">
            <v>Individual</v>
          </cell>
          <cell r="T582" t="str">
            <v>FTE</v>
          </cell>
          <cell r="U582" t="str">
            <v>Hexaware</v>
          </cell>
          <cell r="V582">
            <v>0</v>
          </cell>
          <cell r="W582">
            <v>0</v>
          </cell>
          <cell r="X582" t="str">
            <v>USD</v>
          </cell>
          <cell r="Y582">
            <v>4225</v>
          </cell>
          <cell r="Z582">
            <v>0</v>
          </cell>
          <cell r="AA582">
            <v>0</v>
          </cell>
          <cell r="AB582">
            <v>0</v>
          </cell>
          <cell r="AC582">
            <v>46127</v>
          </cell>
          <cell r="AD582">
            <v>1</v>
          </cell>
          <cell r="AE582">
            <v>46387</v>
          </cell>
          <cell r="AF582">
            <v>0</v>
          </cell>
          <cell r="AG582">
            <v>0</v>
          </cell>
          <cell r="AH582">
            <v>0</v>
          </cell>
          <cell r="AI582">
            <v>4225</v>
          </cell>
          <cell r="AJ582">
            <v>0</v>
          </cell>
          <cell r="AK582">
            <v>0</v>
          </cell>
          <cell r="AL582">
            <v>4225</v>
          </cell>
          <cell r="AM582">
            <v>0</v>
          </cell>
          <cell r="AN582">
            <v>4225</v>
          </cell>
          <cell r="AO582">
            <v>0</v>
          </cell>
          <cell r="AP582">
            <v>4225</v>
          </cell>
          <cell r="AQ582" t="str">
            <v>US_27690</v>
          </cell>
          <cell r="AR582">
            <v>0</v>
          </cell>
          <cell r="AS582">
            <v>1</v>
          </cell>
          <cell r="AU582">
            <v>1</v>
          </cell>
          <cell r="AV582">
            <v>0</v>
          </cell>
          <cell r="AW582">
            <v>4225</v>
          </cell>
          <cell r="AX582">
            <v>4225</v>
          </cell>
          <cell r="AY582">
            <v>0</v>
          </cell>
          <cell r="AZ582">
            <v>4225</v>
          </cell>
          <cell r="BA582">
            <v>4225</v>
          </cell>
          <cell r="BB582">
            <v>4225</v>
          </cell>
          <cell r="BC582">
            <v>80</v>
          </cell>
          <cell r="BD582">
            <v>7436</v>
          </cell>
          <cell r="BE582">
            <v>7436</v>
          </cell>
          <cell r="BG582">
            <v>4225</v>
          </cell>
          <cell r="BI582">
            <v>0</v>
          </cell>
          <cell r="BJ582">
            <v>4225</v>
          </cell>
          <cell r="BK582">
            <v>4225</v>
          </cell>
          <cell r="BL582">
            <v>0</v>
          </cell>
          <cell r="BM582">
            <v>0</v>
          </cell>
          <cell r="BN582">
            <v>0</v>
          </cell>
          <cell r="BO582">
            <v>0</v>
          </cell>
          <cell r="BP582">
            <v>0</v>
          </cell>
          <cell r="BQ582">
            <v>0</v>
          </cell>
          <cell r="BR582">
            <v>4225</v>
          </cell>
          <cell r="BT582">
            <v>2</v>
          </cell>
          <cell r="BU582">
            <v>2</v>
          </cell>
          <cell r="BV582" t="str">
            <v>Y</v>
          </cell>
          <cell r="BW582">
            <v>14872</v>
          </cell>
          <cell r="BX582">
            <v>14872</v>
          </cell>
          <cell r="BY582">
            <v>2026</v>
          </cell>
          <cell r="BZ582" t="str">
            <v>-</v>
          </cell>
          <cell r="CA582" t="str">
            <v>-</v>
          </cell>
        </row>
        <row r="583">
          <cell r="A583" t="str">
            <v>Lucknow</v>
          </cell>
          <cell r="B583" t="str">
            <v>Mavericks</v>
          </cell>
          <cell r="C583" t="str">
            <v>Mid Level</v>
          </cell>
          <cell r="D583" t="str">
            <v>Kashif Nabi</v>
          </cell>
          <cell r="E583" t="str">
            <v>Khatib Ur Rahman</v>
          </cell>
          <cell r="F583" t="str">
            <v>Non-MSP</v>
          </cell>
          <cell r="H583" t="str">
            <v>Khatib Rahman</v>
          </cell>
          <cell r="L583" t="str">
            <v>New</v>
          </cell>
          <cell r="M583">
            <v>46097</v>
          </cell>
          <cell r="N583">
            <v>105</v>
          </cell>
          <cell r="P583">
            <v>46462</v>
          </cell>
          <cell r="Q583" t="str">
            <v>PLC-4738</v>
          </cell>
          <cell r="R583" t="str">
            <v>Sandeep Yadav Mukkamala</v>
          </cell>
          <cell r="S583" t="str">
            <v>Individual</v>
          </cell>
          <cell r="T583" t="str">
            <v>C2C</v>
          </cell>
          <cell r="U583" t="str">
            <v>GRI</v>
          </cell>
          <cell r="V583">
            <v>65</v>
          </cell>
          <cell r="W583">
            <v>0</v>
          </cell>
          <cell r="X583" t="str">
            <v>USD</v>
          </cell>
          <cell r="Y583">
            <v>77</v>
          </cell>
          <cell r="Z583">
            <v>0</v>
          </cell>
          <cell r="AA583">
            <v>0</v>
          </cell>
          <cell r="AB583">
            <v>0</v>
          </cell>
          <cell r="AC583">
            <v>46096</v>
          </cell>
          <cell r="AD583">
            <v>12</v>
          </cell>
          <cell r="AE583">
            <v>46387</v>
          </cell>
          <cell r="AF583">
            <v>65</v>
          </cell>
          <cell r="AG583">
            <v>0</v>
          </cell>
          <cell r="AH583">
            <v>65</v>
          </cell>
          <cell r="AI583">
            <v>75.167400000000001</v>
          </cell>
          <cell r="AJ583">
            <v>0</v>
          </cell>
          <cell r="AK583">
            <v>0</v>
          </cell>
          <cell r="AL583">
            <v>10.167400000000001</v>
          </cell>
          <cell r="AM583">
            <v>0</v>
          </cell>
          <cell r="AN583">
            <v>10.167400000000001</v>
          </cell>
          <cell r="AO583">
            <v>0</v>
          </cell>
          <cell r="AP583">
            <v>10.167400000000001</v>
          </cell>
          <cell r="AQ583" t="str">
            <v>GRI123535</v>
          </cell>
          <cell r="AR583">
            <v>0</v>
          </cell>
          <cell r="AS583">
            <v>80</v>
          </cell>
          <cell r="AU583">
            <v>80</v>
          </cell>
          <cell r="AV583">
            <v>0</v>
          </cell>
          <cell r="AW583">
            <v>813.39200000000005</v>
          </cell>
          <cell r="AX583">
            <v>813.39200000000005</v>
          </cell>
          <cell r="AY583">
            <v>0</v>
          </cell>
          <cell r="AZ583">
            <v>813.39200000000005</v>
          </cell>
          <cell r="BA583">
            <v>813.39200000000005</v>
          </cell>
          <cell r="BB583">
            <v>813.39200000000005</v>
          </cell>
          <cell r="BC583">
            <v>0</v>
          </cell>
          <cell r="BD583">
            <v>0</v>
          </cell>
          <cell r="BE583">
            <v>0</v>
          </cell>
          <cell r="BG583">
            <v>813.39200000000005</v>
          </cell>
          <cell r="BI583">
            <v>813.39200000000005</v>
          </cell>
          <cell r="BJ583">
            <v>6160</v>
          </cell>
          <cell r="BK583">
            <v>6013.3919999999998</v>
          </cell>
          <cell r="BL583">
            <v>5200</v>
          </cell>
          <cell r="BM583">
            <v>0</v>
          </cell>
          <cell r="BN583">
            <v>0</v>
          </cell>
          <cell r="BO583">
            <v>0</v>
          </cell>
          <cell r="BP583">
            <v>5200</v>
          </cell>
          <cell r="BQ583">
            <v>0</v>
          </cell>
          <cell r="BR583">
            <v>813.39199999999983</v>
          </cell>
          <cell r="BS583" t="str">
            <v>Y</v>
          </cell>
          <cell r="BT583">
            <v>1</v>
          </cell>
          <cell r="BU583">
            <v>1</v>
          </cell>
          <cell r="BV583" t="str">
            <v>Y</v>
          </cell>
          <cell r="BW583">
            <v>0</v>
          </cell>
          <cell r="BX583">
            <v>0</v>
          </cell>
          <cell r="BY583">
            <v>2026</v>
          </cell>
          <cell r="BZ583" t="str">
            <v>-</v>
          </cell>
          <cell r="CA583" t="str">
            <v>-</v>
          </cell>
        </row>
        <row r="584">
          <cell r="A584" t="str">
            <v>Lucknow</v>
          </cell>
          <cell r="B584" t="str">
            <v>Mavericks</v>
          </cell>
          <cell r="C584" t="str">
            <v>Mid Level</v>
          </cell>
          <cell r="D584" t="str">
            <v>Kashif Nabi</v>
          </cell>
          <cell r="E584" t="str">
            <v>Khatib Ur Rahman</v>
          </cell>
          <cell r="F584" t="str">
            <v>Non-MSP</v>
          </cell>
          <cell r="H584" t="str">
            <v>Khatib Rahman</v>
          </cell>
          <cell r="J584" t="str">
            <v>ACH</v>
          </cell>
          <cell r="L584" t="str">
            <v>New</v>
          </cell>
          <cell r="M584">
            <v>46097</v>
          </cell>
          <cell r="N584">
            <v>105</v>
          </cell>
          <cell r="P584">
            <v>46462</v>
          </cell>
          <cell r="Q584" t="str">
            <v>PLC-4738</v>
          </cell>
          <cell r="R584" t="str">
            <v>Sandeep Yadav Mukkamala</v>
          </cell>
          <cell r="S584" t="str">
            <v>Individual</v>
          </cell>
          <cell r="T584" t="str">
            <v>C2C</v>
          </cell>
          <cell r="U584" t="str">
            <v>GRI</v>
          </cell>
          <cell r="V584">
            <v>65</v>
          </cell>
          <cell r="W584">
            <v>0</v>
          </cell>
          <cell r="X584" t="str">
            <v>USD</v>
          </cell>
          <cell r="Y584">
            <v>77</v>
          </cell>
          <cell r="Z584">
            <v>0</v>
          </cell>
          <cell r="AA584">
            <v>0</v>
          </cell>
          <cell r="AB584">
            <v>0</v>
          </cell>
          <cell r="AC584">
            <v>46127</v>
          </cell>
          <cell r="AD584">
            <v>22</v>
          </cell>
          <cell r="AE584">
            <v>46387</v>
          </cell>
          <cell r="AF584">
            <v>65</v>
          </cell>
          <cell r="AG584">
            <v>0</v>
          </cell>
          <cell r="AH584">
            <v>65</v>
          </cell>
          <cell r="AI584">
            <v>75.167400000000001</v>
          </cell>
          <cell r="AJ584">
            <v>0</v>
          </cell>
          <cell r="AK584">
            <v>0</v>
          </cell>
          <cell r="AL584">
            <v>10.167400000000001</v>
          </cell>
          <cell r="AM584">
            <v>0</v>
          </cell>
          <cell r="AN584">
            <v>10.167400000000001</v>
          </cell>
          <cell r="AO584">
            <v>0</v>
          </cell>
          <cell r="AP584">
            <v>10.167400000000001</v>
          </cell>
          <cell r="AQ584" t="str">
            <v>GRI123536</v>
          </cell>
          <cell r="AR584">
            <v>0</v>
          </cell>
          <cell r="AS584">
            <v>160</v>
          </cell>
          <cell r="AU584">
            <v>160</v>
          </cell>
          <cell r="AV584">
            <v>0</v>
          </cell>
          <cell r="AW584">
            <v>1626.7840000000001</v>
          </cell>
          <cell r="AX584">
            <v>1610.5161600000001</v>
          </cell>
          <cell r="AY584">
            <v>0</v>
          </cell>
          <cell r="AZ584">
            <v>1626.7840000000001</v>
          </cell>
          <cell r="BA584">
            <v>1610.5161600000001</v>
          </cell>
          <cell r="BB584">
            <v>1626.7840000000001</v>
          </cell>
          <cell r="BC584">
            <v>0</v>
          </cell>
          <cell r="BD584">
            <v>0</v>
          </cell>
          <cell r="BE584">
            <v>0</v>
          </cell>
          <cell r="BG584">
            <v>1610.5161600000001</v>
          </cell>
          <cell r="BI584">
            <v>1610.5161600000001</v>
          </cell>
          <cell r="BJ584">
            <v>12320</v>
          </cell>
          <cell r="BK584">
            <v>12026.784</v>
          </cell>
          <cell r="BL584">
            <v>10400</v>
          </cell>
          <cell r="BM584">
            <v>0</v>
          </cell>
          <cell r="BN584">
            <v>0</v>
          </cell>
          <cell r="BO584">
            <v>0</v>
          </cell>
          <cell r="BP584">
            <v>10400</v>
          </cell>
          <cell r="BQ584">
            <v>0</v>
          </cell>
          <cell r="BR584">
            <v>1626.7839999999997</v>
          </cell>
          <cell r="BS584" t="str">
            <v>Y</v>
          </cell>
          <cell r="BT584">
            <v>2</v>
          </cell>
          <cell r="BU584">
            <v>1</v>
          </cell>
          <cell r="BV584" t="str">
            <v>Y</v>
          </cell>
          <cell r="BW584">
            <v>0</v>
          </cell>
          <cell r="BX584">
            <v>0</v>
          </cell>
          <cell r="BY584">
            <v>2026</v>
          </cell>
          <cell r="BZ584" t="str">
            <v>-</v>
          </cell>
          <cell r="CA584" t="str">
            <v>-</v>
          </cell>
        </row>
        <row r="585">
          <cell r="A585" t="str">
            <v>Lucknow</v>
          </cell>
          <cell r="B585" t="str">
            <v>Mavericks</v>
          </cell>
          <cell r="C585" t="str">
            <v>Mid Level</v>
          </cell>
          <cell r="D585" t="str">
            <v>Kashif Nabi</v>
          </cell>
          <cell r="E585" t="str">
            <v>Khatib Ur Rahman</v>
          </cell>
          <cell r="F585" t="str">
            <v>Non-MSP</v>
          </cell>
          <cell r="H585" t="str">
            <v>Khatib Rahman</v>
          </cell>
          <cell r="J585" t="str">
            <v>ACH</v>
          </cell>
          <cell r="L585" t="str">
            <v>New</v>
          </cell>
          <cell r="M585">
            <v>46097</v>
          </cell>
          <cell r="N585">
            <v>105</v>
          </cell>
          <cell r="P585">
            <v>46462</v>
          </cell>
          <cell r="Q585" t="str">
            <v>PLC-4738</v>
          </cell>
          <cell r="R585" t="str">
            <v>Sandeep Yadav Mukkamala</v>
          </cell>
          <cell r="S585" t="str">
            <v>Individual</v>
          </cell>
          <cell r="T585" t="str">
            <v>C2C</v>
          </cell>
          <cell r="U585" t="str">
            <v>GRI</v>
          </cell>
          <cell r="V585">
            <v>65</v>
          </cell>
          <cell r="W585">
            <v>0</v>
          </cell>
          <cell r="X585" t="str">
            <v>USD</v>
          </cell>
          <cell r="Y585">
            <v>77</v>
          </cell>
          <cell r="Z585">
            <v>0</v>
          </cell>
          <cell r="AA585">
            <v>0</v>
          </cell>
          <cell r="AB585">
            <v>0</v>
          </cell>
          <cell r="AC585">
            <v>46157</v>
          </cell>
          <cell r="AD585">
            <v>22</v>
          </cell>
          <cell r="AE585">
            <v>46387</v>
          </cell>
          <cell r="AF585">
            <v>65</v>
          </cell>
          <cell r="AG585">
            <v>0</v>
          </cell>
          <cell r="AH585">
            <v>65</v>
          </cell>
          <cell r="AI585">
            <v>75.167400000000001</v>
          </cell>
          <cell r="AJ585">
            <v>0</v>
          </cell>
          <cell r="AK585">
            <v>0</v>
          </cell>
          <cell r="AL585">
            <v>10.167400000000001</v>
          </cell>
          <cell r="AM585">
            <v>0</v>
          </cell>
          <cell r="AN585">
            <v>10.167400000000001</v>
          </cell>
          <cell r="AO585">
            <v>0</v>
          </cell>
          <cell r="AP585">
            <v>10.167400000000001</v>
          </cell>
          <cell r="AQ585" t="str">
            <v>GRI123537</v>
          </cell>
          <cell r="AR585">
            <v>0</v>
          </cell>
          <cell r="AS585">
            <v>40</v>
          </cell>
          <cell r="AU585">
            <v>40</v>
          </cell>
          <cell r="AV585">
            <v>0</v>
          </cell>
          <cell r="AW585">
            <v>406.69600000000003</v>
          </cell>
          <cell r="AX585">
            <v>402.62904000000003</v>
          </cell>
          <cell r="AY585">
            <v>0</v>
          </cell>
          <cell r="AZ585">
            <v>406.69600000000003</v>
          </cell>
          <cell r="BA585">
            <v>402.62904000000003</v>
          </cell>
          <cell r="BB585">
            <v>406.69600000000003</v>
          </cell>
          <cell r="BC585">
            <v>0</v>
          </cell>
          <cell r="BD585">
            <v>0</v>
          </cell>
          <cell r="BE585">
            <v>0</v>
          </cell>
          <cell r="BG585">
            <v>402.62904000000003</v>
          </cell>
          <cell r="BI585">
            <v>402.62904000000003</v>
          </cell>
          <cell r="BJ585">
            <v>3080</v>
          </cell>
          <cell r="BK585">
            <v>3006.6959999999999</v>
          </cell>
          <cell r="BL585">
            <v>2600</v>
          </cell>
          <cell r="BM585">
            <v>0</v>
          </cell>
          <cell r="BN585">
            <v>0</v>
          </cell>
          <cell r="BO585">
            <v>0</v>
          </cell>
          <cell r="BP585">
            <v>2600</v>
          </cell>
          <cell r="BQ585">
            <v>0</v>
          </cell>
          <cell r="BR585">
            <v>406.69599999999991</v>
          </cell>
          <cell r="BS585" t="str">
            <v>Y</v>
          </cell>
          <cell r="BT585">
            <v>2</v>
          </cell>
          <cell r="BU585">
            <v>1</v>
          </cell>
          <cell r="BV585" t="str">
            <v>Y</v>
          </cell>
          <cell r="BW585">
            <v>0</v>
          </cell>
          <cell r="BX585">
            <v>0</v>
          </cell>
          <cell r="BY585">
            <v>2026</v>
          </cell>
          <cell r="BZ585" t="str">
            <v>-</v>
          </cell>
          <cell r="CA585" t="str">
            <v>-</v>
          </cell>
        </row>
        <row r="586">
          <cell r="A586" t="str">
            <v>Lucknow</v>
          </cell>
          <cell r="B586" t="str">
            <v>Mavericks</v>
          </cell>
          <cell r="C586" t="str">
            <v>Mid Level</v>
          </cell>
          <cell r="D586" t="str">
            <v>Kashif Nabi</v>
          </cell>
          <cell r="E586" t="str">
            <v>-</v>
          </cell>
          <cell r="F586" t="str">
            <v>Non-MSP</v>
          </cell>
          <cell r="H586" t="str">
            <v>Harshita Mani Srivastava</v>
          </cell>
          <cell r="L586" t="str">
            <v>New</v>
          </cell>
          <cell r="M586">
            <v>46058</v>
          </cell>
          <cell r="N586">
            <v>144</v>
          </cell>
          <cell r="P586">
            <v>46423</v>
          </cell>
          <cell r="Q586" t="str">
            <v>PLC-4672</v>
          </cell>
          <cell r="R586" t="str">
            <v>Sandeep Choudary Paleru</v>
          </cell>
          <cell r="S586" t="str">
            <v>Individual</v>
          </cell>
          <cell r="T586" t="str">
            <v>C2C</v>
          </cell>
          <cell r="U586" t="str">
            <v>Genpact</v>
          </cell>
          <cell r="V586">
            <v>97</v>
          </cell>
          <cell r="W586">
            <v>0</v>
          </cell>
          <cell r="X586" t="str">
            <v>USD</v>
          </cell>
          <cell r="Y586">
            <v>100</v>
          </cell>
          <cell r="Z586">
            <v>0</v>
          </cell>
          <cell r="AA586">
            <v>0</v>
          </cell>
          <cell r="AB586">
            <v>0</v>
          </cell>
          <cell r="AC586">
            <v>46068</v>
          </cell>
          <cell r="AD586">
            <v>17</v>
          </cell>
          <cell r="AE586">
            <v>46387</v>
          </cell>
          <cell r="AF586">
            <v>97</v>
          </cell>
          <cell r="AG586">
            <v>0</v>
          </cell>
          <cell r="AH586">
            <v>97</v>
          </cell>
          <cell r="AI586">
            <v>100</v>
          </cell>
          <cell r="AJ586">
            <v>0</v>
          </cell>
          <cell r="AK586">
            <v>0</v>
          </cell>
          <cell r="AL586">
            <v>3</v>
          </cell>
          <cell r="AM586">
            <v>0</v>
          </cell>
          <cell r="AN586">
            <v>3</v>
          </cell>
          <cell r="AO586">
            <v>0</v>
          </cell>
          <cell r="AP586">
            <v>3</v>
          </cell>
          <cell r="AQ586" t="str">
            <v>US_27170</v>
          </cell>
          <cell r="AR586">
            <v>0</v>
          </cell>
          <cell r="AS586">
            <v>136</v>
          </cell>
          <cell r="AU586">
            <v>136</v>
          </cell>
          <cell r="AV586">
            <v>0</v>
          </cell>
          <cell r="AW586">
            <v>408</v>
          </cell>
          <cell r="AX586">
            <v>408</v>
          </cell>
          <cell r="AY586">
            <v>0</v>
          </cell>
          <cell r="AZ586">
            <v>408</v>
          </cell>
          <cell r="BA586">
            <v>408</v>
          </cell>
          <cell r="BB586">
            <v>408</v>
          </cell>
          <cell r="BC586">
            <v>0</v>
          </cell>
          <cell r="BD586">
            <v>0</v>
          </cell>
          <cell r="BE586">
            <v>0</v>
          </cell>
          <cell r="BG586">
            <v>408</v>
          </cell>
          <cell r="BI586">
            <v>408</v>
          </cell>
          <cell r="BJ586">
            <v>13600</v>
          </cell>
          <cell r="BK586">
            <v>13600</v>
          </cell>
          <cell r="BL586">
            <v>13192</v>
          </cell>
          <cell r="BM586">
            <v>0</v>
          </cell>
          <cell r="BN586">
            <v>0</v>
          </cell>
          <cell r="BO586">
            <v>0</v>
          </cell>
          <cell r="BP586">
            <v>13192</v>
          </cell>
          <cell r="BQ586">
            <v>0</v>
          </cell>
          <cell r="BR586">
            <v>408</v>
          </cell>
          <cell r="BS586" t="str">
            <v>Y</v>
          </cell>
          <cell r="BT586">
            <v>1</v>
          </cell>
          <cell r="BU586">
            <v>1</v>
          </cell>
          <cell r="BV586" t="str">
            <v>Y</v>
          </cell>
          <cell r="BW586">
            <v>0</v>
          </cell>
          <cell r="BX586">
            <v>0</v>
          </cell>
          <cell r="BY586">
            <v>2026</v>
          </cell>
          <cell r="BZ586" t="str">
            <v>-</v>
          </cell>
          <cell r="CA586" t="str">
            <v>-</v>
          </cell>
        </row>
        <row r="587">
          <cell r="A587" t="str">
            <v>Lucknow</v>
          </cell>
          <cell r="B587" t="str">
            <v>Mavericks</v>
          </cell>
          <cell r="C587" t="str">
            <v>Mid Level</v>
          </cell>
          <cell r="D587" t="str">
            <v>Kashif Nabi</v>
          </cell>
          <cell r="E587" t="str">
            <v>-</v>
          </cell>
          <cell r="F587" t="str">
            <v>Non-MSP</v>
          </cell>
          <cell r="H587" t="str">
            <v>Harshita Mani Srivastava</v>
          </cell>
          <cell r="L587" t="str">
            <v>New</v>
          </cell>
          <cell r="M587">
            <v>46058</v>
          </cell>
          <cell r="N587">
            <v>144</v>
          </cell>
          <cell r="P587">
            <v>46423</v>
          </cell>
          <cell r="Q587" t="str">
            <v>PLC-4672</v>
          </cell>
          <cell r="R587" t="str">
            <v>Sandeep Choudary Paleru</v>
          </cell>
          <cell r="S587" t="str">
            <v>Individual</v>
          </cell>
          <cell r="T587" t="str">
            <v>C2C</v>
          </cell>
          <cell r="U587" t="str">
            <v>Genpact</v>
          </cell>
          <cell r="V587">
            <v>97</v>
          </cell>
          <cell r="W587">
            <v>0</v>
          </cell>
          <cell r="X587" t="str">
            <v>USD</v>
          </cell>
          <cell r="Y587">
            <v>100</v>
          </cell>
          <cell r="Z587">
            <v>0</v>
          </cell>
          <cell r="AA587">
            <v>0</v>
          </cell>
          <cell r="AB587">
            <v>0</v>
          </cell>
          <cell r="AC587">
            <v>46096</v>
          </cell>
          <cell r="AD587">
            <v>22</v>
          </cell>
          <cell r="AE587">
            <v>46387</v>
          </cell>
          <cell r="AF587">
            <v>97</v>
          </cell>
          <cell r="AG587">
            <v>0</v>
          </cell>
          <cell r="AH587">
            <v>97</v>
          </cell>
          <cell r="AI587">
            <v>100</v>
          </cell>
          <cell r="AJ587">
            <v>0</v>
          </cell>
          <cell r="AK587">
            <v>0</v>
          </cell>
          <cell r="AL587">
            <v>3</v>
          </cell>
          <cell r="AM587">
            <v>0</v>
          </cell>
          <cell r="AN587">
            <v>3</v>
          </cell>
          <cell r="AO587">
            <v>0</v>
          </cell>
          <cell r="AP587">
            <v>3</v>
          </cell>
          <cell r="AQ587" t="str">
            <v>US_27385</v>
          </cell>
          <cell r="AR587">
            <v>0</v>
          </cell>
          <cell r="AS587">
            <v>176</v>
          </cell>
          <cell r="AU587">
            <v>176</v>
          </cell>
          <cell r="AV587">
            <v>0</v>
          </cell>
          <cell r="AW587">
            <v>528</v>
          </cell>
          <cell r="AX587">
            <v>528</v>
          </cell>
          <cell r="AY587">
            <v>0</v>
          </cell>
          <cell r="AZ587">
            <v>528</v>
          </cell>
          <cell r="BA587">
            <v>528</v>
          </cell>
          <cell r="BB587">
            <v>528</v>
          </cell>
          <cell r="BC587">
            <v>0</v>
          </cell>
          <cell r="BD587">
            <v>0</v>
          </cell>
          <cell r="BE587">
            <v>0</v>
          </cell>
          <cell r="BG587">
            <v>528</v>
          </cell>
          <cell r="BI587">
            <v>528</v>
          </cell>
          <cell r="BJ587">
            <v>17600</v>
          </cell>
          <cell r="BK587">
            <v>17600</v>
          </cell>
          <cell r="BL587">
            <v>17072</v>
          </cell>
          <cell r="BM587">
            <v>0</v>
          </cell>
          <cell r="BN587">
            <v>0</v>
          </cell>
          <cell r="BO587">
            <v>0</v>
          </cell>
          <cell r="BP587">
            <v>17072</v>
          </cell>
          <cell r="BQ587">
            <v>0</v>
          </cell>
          <cell r="BR587">
            <v>528</v>
          </cell>
          <cell r="BS587" t="str">
            <v>Y</v>
          </cell>
          <cell r="BT587">
            <v>1</v>
          </cell>
          <cell r="BU587">
            <v>1</v>
          </cell>
          <cell r="BV587" t="str">
            <v>Y</v>
          </cell>
          <cell r="BW587">
            <v>0</v>
          </cell>
          <cell r="BX587">
            <v>0</v>
          </cell>
          <cell r="BY587">
            <v>2026</v>
          </cell>
          <cell r="BZ587" t="str">
            <v>-</v>
          </cell>
          <cell r="CA587" t="str">
            <v>-</v>
          </cell>
        </row>
        <row r="588">
          <cell r="A588" t="str">
            <v>Lucknow</v>
          </cell>
          <cell r="B588" t="str">
            <v>Mavericks</v>
          </cell>
          <cell r="C588" t="str">
            <v>Mid Level</v>
          </cell>
          <cell r="D588" t="str">
            <v>Kashif Nabi</v>
          </cell>
          <cell r="E588" t="str">
            <v>-</v>
          </cell>
          <cell r="F588" t="str">
            <v>Non-MSP</v>
          </cell>
          <cell r="H588" t="str">
            <v>Harshita Mani Srivastava</v>
          </cell>
          <cell r="J588" t="str">
            <v>ACH</v>
          </cell>
          <cell r="L588" t="str">
            <v>New</v>
          </cell>
          <cell r="M588">
            <v>46058</v>
          </cell>
          <cell r="N588">
            <v>144</v>
          </cell>
          <cell r="P588">
            <v>46423</v>
          </cell>
          <cell r="Q588" t="str">
            <v>PLC-4672</v>
          </cell>
          <cell r="R588" t="str">
            <v>Sandeep Choudary Paleru</v>
          </cell>
          <cell r="S588" t="str">
            <v>Individual</v>
          </cell>
          <cell r="T588" t="str">
            <v>C2C</v>
          </cell>
          <cell r="U588" t="str">
            <v>Genpact</v>
          </cell>
          <cell r="V588">
            <v>97</v>
          </cell>
          <cell r="W588">
            <v>0</v>
          </cell>
          <cell r="X588" t="str">
            <v>USD</v>
          </cell>
          <cell r="Y588">
            <v>100</v>
          </cell>
          <cell r="Z588">
            <v>0</v>
          </cell>
          <cell r="AA588">
            <v>0</v>
          </cell>
          <cell r="AB588">
            <v>0</v>
          </cell>
          <cell r="AC588">
            <v>46127</v>
          </cell>
          <cell r="AD588">
            <v>22</v>
          </cell>
          <cell r="AE588">
            <v>46387</v>
          </cell>
          <cell r="AF588">
            <v>97</v>
          </cell>
          <cell r="AG588">
            <v>0</v>
          </cell>
          <cell r="AH588">
            <v>97</v>
          </cell>
          <cell r="AI588">
            <v>100</v>
          </cell>
          <cell r="AJ588">
            <v>0</v>
          </cell>
          <cell r="AK588">
            <v>0</v>
          </cell>
          <cell r="AL588">
            <v>3</v>
          </cell>
          <cell r="AM588">
            <v>0</v>
          </cell>
          <cell r="AN588">
            <v>3</v>
          </cell>
          <cell r="AO588">
            <v>0</v>
          </cell>
          <cell r="AP588">
            <v>3</v>
          </cell>
          <cell r="AQ588" t="str">
            <v>US_27620</v>
          </cell>
          <cell r="AR588">
            <v>0</v>
          </cell>
          <cell r="AS588">
            <v>176</v>
          </cell>
          <cell r="AU588">
            <v>176</v>
          </cell>
          <cell r="AV588">
            <v>0</v>
          </cell>
          <cell r="AW588">
            <v>528</v>
          </cell>
          <cell r="AX588">
            <v>522.72</v>
          </cell>
          <cell r="AY588">
            <v>0</v>
          </cell>
          <cell r="AZ588">
            <v>528</v>
          </cell>
          <cell r="BA588">
            <v>522.72</v>
          </cell>
          <cell r="BB588">
            <v>528</v>
          </cell>
          <cell r="BC588">
            <v>0</v>
          </cell>
          <cell r="BD588">
            <v>0</v>
          </cell>
          <cell r="BE588">
            <v>0</v>
          </cell>
          <cell r="BG588">
            <v>522.72</v>
          </cell>
          <cell r="BI588">
            <v>522.72</v>
          </cell>
          <cell r="BJ588">
            <v>17600</v>
          </cell>
          <cell r="BK588">
            <v>17600</v>
          </cell>
          <cell r="BL588">
            <v>17072</v>
          </cell>
          <cell r="BM588">
            <v>0</v>
          </cell>
          <cell r="BN588">
            <v>0</v>
          </cell>
          <cell r="BO588">
            <v>0</v>
          </cell>
          <cell r="BP588">
            <v>17072</v>
          </cell>
          <cell r="BQ588">
            <v>0</v>
          </cell>
          <cell r="BR588">
            <v>528</v>
          </cell>
          <cell r="BT588">
            <v>2</v>
          </cell>
          <cell r="BU588">
            <v>1</v>
          </cell>
          <cell r="BV588" t="str">
            <v>Y</v>
          </cell>
          <cell r="BW588">
            <v>0</v>
          </cell>
          <cell r="BX588">
            <v>0</v>
          </cell>
          <cell r="BY588">
            <v>2026</v>
          </cell>
          <cell r="BZ588" t="str">
            <v>-</v>
          </cell>
          <cell r="CA588" t="str">
            <v>-</v>
          </cell>
        </row>
        <row r="589">
          <cell r="A589" t="str">
            <v>Lucknow</v>
          </cell>
          <cell r="B589" t="str">
            <v>Mavericks</v>
          </cell>
          <cell r="C589" t="str">
            <v>Mid Level</v>
          </cell>
          <cell r="D589" t="str">
            <v>Kashif Nabi</v>
          </cell>
          <cell r="E589" t="str">
            <v>-</v>
          </cell>
          <cell r="F589" t="str">
            <v>Non-MSP</v>
          </cell>
          <cell r="H589" t="str">
            <v>Harshita Mani Srivastava</v>
          </cell>
          <cell r="J589" t="str">
            <v>ACH</v>
          </cell>
          <cell r="L589" t="str">
            <v>New</v>
          </cell>
          <cell r="M589">
            <v>46058</v>
          </cell>
          <cell r="N589">
            <v>144</v>
          </cell>
          <cell r="P589">
            <v>46423</v>
          </cell>
          <cell r="Q589" t="str">
            <v>PLC-4672</v>
          </cell>
          <cell r="R589" t="str">
            <v>Sandeep Choudary Paleru</v>
          </cell>
          <cell r="S589" t="str">
            <v>Individual</v>
          </cell>
          <cell r="T589" t="str">
            <v>C2C</v>
          </cell>
          <cell r="U589" t="str">
            <v>Genpact</v>
          </cell>
          <cell r="V589">
            <v>97</v>
          </cell>
          <cell r="W589">
            <v>0</v>
          </cell>
          <cell r="X589" t="str">
            <v>USD</v>
          </cell>
          <cell r="Y589">
            <v>100</v>
          </cell>
          <cell r="Z589">
            <v>0</v>
          </cell>
          <cell r="AA589">
            <v>0</v>
          </cell>
          <cell r="AB589">
            <v>0</v>
          </cell>
          <cell r="AC589">
            <v>46157</v>
          </cell>
          <cell r="AD589">
            <v>22</v>
          </cell>
          <cell r="AE589">
            <v>46387</v>
          </cell>
          <cell r="AF589">
            <v>97</v>
          </cell>
          <cell r="AG589">
            <v>0</v>
          </cell>
          <cell r="AH589">
            <v>97</v>
          </cell>
          <cell r="AI589">
            <v>100</v>
          </cell>
          <cell r="AJ589">
            <v>0</v>
          </cell>
          <cell r="AK589">
            <v>0</v>
          </cell>
          <cell r="AL589">
            <v>3</v>
          </cell>
          <cell r="AM589">
            <v>0</v>
          </cell>
          <cell r="AN589">
            <v>3</v>
          </cell>
          <cell r="AO589">
            <v>0</v>
          </cell>
          <cell r="AP589">
            <v>3</v>
          </cell>
          <cell r="AQ589" t="str">
            <v>US_27763</v>
          </cell>
          <cell r="AR589">
            <v>0</v>
          </cell>
          <cell r="AS589">
            <v>168</v>
          </cell>
          <cell r="AU589">
            <v>168</v>
          </cell>
          <cell r="AV589">
            <v>0</v>
          </cell>
          <cell r="AW589">
            <v>504</v>
          </cell>
          <cell r="AX589">
            <v>498.96</v>
          </cell>
          <cell r="AY589">
            <v>0</v>
          </cell>
          <cell r="AZ589">
            <v>504</v>
          </cell>
          <cell r="BA589">
            <v>498.96</v>
          </cell>
          <cell r="BB589">
            <v>504</v>
          </cell>
          <cell r="BC589">
            <v>0</v>
          </cell>
          <cell r="BD589">
            <v>0</v>
          </cell>
          <cell r="BE589">
            <v>0</v>
          </cell>
          <cell r="BG589">
            <v>498.96</v>
          </cell>
          <cell r="BI589">
            <v>498.96</v>
          </cell>
          <cell r="BJ589">
            <v>16800</v>
          </cell>
          <cell r="BK589">
            <v>16800</v>
          </cell>
          <cell r="BL589">
            <v>16296</v>
          </cell>
          <cell r="BM589">
            <v>0</v>
          </cell>
          <cell r="BN589">
            <v>0</v>
          </cell>
          <cell r="BO589">
            <v>0</v>
          </cell>
          <cell r="BP589">
            <v>16296</v>
          </cell>
          <cell r="BQ589">
            <v>0</v>
          </cell>
          <cell r="BR589">
            <v>504</v>
          </cell>
          <cell r="BT589">
            <v>2</v>
          </cell>
          <cell r="BU589">
            <v>1</v>
          </cell>
          <cell r="BV589" t="str">
            <v>Y</v>
          </cell>
          <cell r="BW589">
            <v>0</v>
          </cell>
          <cell r="BX589">
            <v>0</v>
          </cell>
          <cell r="BY589">
            <v>2026</v>
          </cell>
          <cell r="BZ589" t="str">
            <v>-</v>
          </cell>
          <cell r="CA589" t="str">
            <v>-</v>
          </cell>
        </row>
        <row r="590">
          <cell r="A590" t="str">
            <v>Lucknow</v>
          </cell>
          <cell r="B590" t="str">
            <v>Chennai</v>
          </cell>
          <cell r="C590" t="str">
            <v>Mid Level</v>
          </cell>
          <cell r="D590" t="str">
            <v>Vinoth L</v>
          </cell>
          <cell r="F590" t="str">
            <v>Non-MSP</v>
          </cell>
          <cell r="H590" t="str">
            <v>Dinesh Kumar Veluchamy</v>
          </cell>
          <cell r="J590" t="str">
            <v>ACH</v>
          </cell>
          <cell r="L590" t="str">
            <v>New</v>
          </cell>
          <cell r="M590">
            <v>46142</v>
          </cell>
          <cell r="N590">
            <v>60</v>
          </cell>
          <cell r="P590">
            <v>46507</v>
          </cell>
          <cell r="Q590" t="str">
            <v>PLC-4866</v>
          </cell>
          <cell r="R590" t="str">
            <v>Sandhya Lakshmi Bondalakunta</v>
          </cell>
          <cell r="S590" t="str">
            <v>Individual</v>
          </cell>
          <cell r="T590" t="str">
            <v>W2</v>
          </cell>
          <cell r="U590" t="str">
            <v>LTM</v>
          </cell>
          <cell r="V590">
            <v>54</v>
          </cell>
          <cell r="W590">
            <v>0</v>
          </cell>
          <cell r="X590" t="str">
            <v>USD</v>
          </cell>
          <cell r="Y590">
            <v>70</v>
          </cell>
          <cell r="Z590">
            <v>0</v>
          </cell>
          <cell r="AA590">
            <v>0</v>
          </cell>
          <cell r="AB590">
            <v>0</v>
          </cell>
          <cell r="AC590">
            <v>46127</v>
          </cell>
          <cell r="AD590">
            <v>1</v>
          </cell>
          <cell r="AE590">
            <v>46387</v>
          </cell>
          <cell r="AF590">
            <v>62.099999999999994</v>
          </cell>
          <cell r="AG590">
            <v>0</v>
          </cell>
          <cell r="AH590">
            <v>62.099999999999994</v>
          </cell>
          <cell r="AI590">
            <v>70</v>
          </cell>
          <cell r="AJ590">
            <v>0</v>
          </cell>
          <cell r="AK590">
            <v>0</v>
          </cell>
          <cell r="AL590">
            <v>7.9000000000000057</v>
          </cell>
          <cell r="AM590">
            <v>0</v>
          </cell>
          <cell r="AN590">
            <v>7.9000000000000057</v>
          </cell>
          <cell r="AO590">
            <v>0</v>
          </cell>
          <cell r="AP590">
            <v>7.9000000000000057</v>
          </cell>
          <cell r="AQ590" t="str">
            <v>US_27720</v>
          </cell>
          <cell r="AR590">
            <v>0</v>
          </cell>
          <cell r="AS590">
            <v>8</v>
          </cell>
          <cell r="AU590">
            <v>8</v>
          </cell>
          <cell r="AV590">
            <v>0</v>
          </cell>
          <cell r="AW590">
            <v>63.200000000000045</v>
          </cell>
          <cell r="AX590">
            <v>62.568000000000048</v>
          </cell>
          <cell r="AY590">
            <v>0</v>
          </cell>
          <cell r="AZ590">
            <v>63.200000000000045</v>
          </cell>
          <cell r="BA590">
            <v>62.568000000000048</v>
          </cell>
          <cell r="BB590">
            <v>63.200000000000045</v>
          </cell>
          <cell r="BC590">
            <v>116.66666666666667</v>
          </cell>
          <cell r="BD590">
            <v>110.11968000000007</v>
          </cell>
          <cell r="BE590">
            <v>110.11968000000007</v>
          </cell>
          <cell r="BG590">
            <v>62.568000000000048</v>
          </cell>
          <cell r="BI590">
            <v>0</v>
          </cell>
          <cell r="BJ590">
            <v>560</v>
          </cell>
          <cell r="BK590">
            <v>560</v>
          </cell>
          <cell r="BL590">
            <v>432</v>
          </cell>
          <cell r="BM590">
            <v>8.1</v>
          </cell>
          <cell r="BN590">
            <v>0</v>
          </cell>
          <cell r="BO590">
            <v>64.8</v>
          </cell>
          <cell r="BP590">
            <v>496.8</v>
          </cell>
          <cell r="BQ590">
            <v>8.1</v>
          </cell>
          <cell r="BR590">
            <v>63.2</v>
          </cell>
          <cell r="BT590">
            <v>2</v>
          </cell>
          <cell r="BU590">
            <v>2</v>
          </cell>
          <cell r="BV590" t="str">
            <v>Y</v>
          </cell>
          <cell r="BW590">
            <v>220.23936000000015</v>
          </cell>
          <cell r="BX590">
            <v>220.23936000000015</v>
          </cell>
          <cell r="BY590">
            <v>2026</v>
          </cell>
          <cell r="BZ590" t="str">
            <v>-</v>
          </cell>
          <cell r="CA590" t="str">
            <v>-</v>
          </cell>
        </row>
        <row r="591">
          <cell r="A591" t="str">
            <v>Lucknow</v>
          </cell>
          <cell r="B591" t="str">
            <v>Chennai</v>
          </cell>
          <cell r="C591" t="str">
            <v>Mid Level</v>
          </cell>
          <cell r="D591" t="str">
            <v>Vinoth L</v>
          </cell>
          <cell r="F591" t="str">
            <v>Non-MSP</v>
          </cell>
          <cell r="H591" t="str">
            <v>Dinesh Kumar Veluchamy</v>
          </cell>
          <cell r="J591" t="str">
            <v>ACH</v>
          </cell>
          <cell r="L591" t="str">
            <v>New</v>
          </cell>
          <cell r="M591">
            <v>46142</v>
          </cell>
          <cell r="N591">
            <v>60</v>
          </cell>
          <cell r="P591">
            <v>46507</v>
          </cell>
          <cell r="Q591" t="str">
            <v>PLC-4866</v>
          </cell>
          <cell r="R591" t="str">
            <v>Sandhya Lakshmi Bondalakunta</v>
          </cell>
          <cell r="S591" t="str">
            <v>Individual</v>
          </cell>
          <cell r="T591" t="str">
            <v>W2</v>
          </cell>
          <cell r="U591" t="str">
            <v>LTM</v>
          </cell>
          <cell r="V591">
            <v>54</v>
          </cell>
          <cell r="W591">
            <v>0</v>
          </cell>
          <cell r="X591" t="str">
            <v>USD</v>
          </cell>
          <cell r="Y591">
            <v>70</v>
          </cell>
          <cell r="Z591">
            <v>0</v>
          </cell>
          <cell r="AA591">
            <v>0</v>
          </cell>
          <cell r="AB591">
            <v>0</v>
          </cell>
          <cell r="AC591">
            <v>46157</v>
          </cell>
          <cell r="AD591">
            <v>1</v>
          </cell>
          <cell r="AE591">
            <v>46387</v>
          </cell>
          <cell r="AF591">
            <v>62.099999999999994</v>
          </cell>
          <cell r="AG591">
            <v>0</v>
          </cell>
          <cell r="AH591">
            <v>62.099999999999994</v>
          </cell>
          <cell r="AI591">
            <v>70</v>
          </cell>
          <cell r="AJ591">
            <v>0</v>
          </cell>
          <cell r="AK591">
            <v>0</v>
          </cell>
          <cell r="AL591">
            <v>7.9000000000000057</v>
          </cell>
          <cell r="AM591">
            <v>0</v>
          </cell>
          <cell r="AN591">
            <v>7.9000000000000057</v>
          </cell>
          <cell r="AO591">
            <v>0</v>
          </cell>
          <cell r="AP591">
            <v>7.9000000000000057</v>
          </cell>
          <cell r="AQ591" t="str">
            <v>US_27956</v>
          </cell>
          <cell r="AR591">
            <v>0</v>
          </cell>
          <cell r="AS591">
            <v>160</v>
          </cell>
          <cell r="AU591">
            <v>160</v>
          </cell>
          <cell r="AV591">
            <v>0</v>
          </cell>
          <cell r="AW591">
            <v>1264.0000000000009</v>
          </cell>
          <cell r="AX591">
            <v>1251.3600000000008</v>
          </cell>
          <cell r="AY591">
            <v>0</v>
          </cell>
          <cell r="AZ591">
            <v>1264.0000000000009</v>
          </cell>
          <cell r="BA591">
            <v>1251.3600000000008</v>
          </cell>
          <cell r="BB591">
            <v>1264.0000000000009</v>
          </cell>
          <cell r="BC591">
            <v>116.66666666666667</v>
          </cell>
          <cell r="BD591">
            <v>2202.3936000000012</v>
          </cell>
          <cell r="BE591">
            <v>2202.3936000000012</v>
          </cell>
          <cell r="BG591">
            <v>1251.3600000000008</v>
          </cell>
          <cell r="BI591">
            <v>0</v>
          </cell>
          <cell r="BJ591">
            <v>11200</v>
          </cell>
          <cell r="BK591">
            <v>11200</v>
          </cell>
          <cell r="BL591">
            <v>8640</v>
          </cell>
          <cell r="BM591">
            <v>8.1</v>
          </cell>
          <cell r="BN591">
            <v>0</v>
          </cell>
          <cell r="BO591">
            <v>1296</v>
          </cell>
          <cell r="BP591">
            <v>9936</v>
          </cell>
          <cell r="BQ591">
            <v>8.1</v>
          </cell>
          <cell r="BR591">
            <v>1264</v>
          </cell>
          <cell r="BT591">
            <v>2</v>
          </cell>
          <cell r="BU591">
            <v>2</v>
          </cell>
          <cell r="BV591" t="str">
            <v>Y</v>
          </cell>
          <cell r="BW591">
            <v>4404.7872000000025</v>
          </cell>
          <cell r="BX591">
            <v>4404.7872000000025</v>
          </cell>
          <cell r="BY591">
            <v>2026</v>
          </cell>
          <cell r="BZ591" t="str">
            <v>-</v>
          </cell>
          <cell r="CA591" t="str">
            <v>-</v>
          </cell>
        </row>
        <row r="592">
          <cell r="A592" t="str">
            <v>Lucknow</v>
          </cell>
          <cell r="B592" t="str">
            <v>Vantedge</v>
          </cell>
          <cell r="C592" t="str">
            <v>Senior</v>
          </cell>
          <cell r="D592" t="str">
            <v>Umar Mujahid Husain</v>
          </cell>
          <cell r="E592" t="str">
            <v>-</v>
          </cell>
          <cell r="F592" t="str">
            <v>Non-MSP</v>
          </cell>
          <cell r="H592" t="str">
            <v>Syed Ahrar Abbas Zaidi</v>
          </cell>
          <cell r="L592" t="str">
            <v>New</v>
          </cell>
          <cell r="M592">
            <v>46111</v>
          </cell>
          <cell r="N592">
            <v>91</v>
          </cell>
          <cell r="P592">
            <v>46476</v>
          </cell>
          <cell r="Q592" t="str">
            <v>PLC-4805</v>
          </cell>
          <cell r="R592" t="str">
            <v>Sanjib K Mondal</v>
          </cell>
          <cell r="S592" t="str">
            <v>Individual</v>
          </cell>
          <cell r="T592" t="str">
            <v>FTE</v>
          </cell>
          <cell r="U592" t="str">
            <v>BirlaSoft</v>
          </cell>
          <cell r="V592">
            <v>0</v>
          </cell>
          <cell r="W592">
            <v>0</v>
          </cell>
          <cell r="X592" t="str">
            <v>USD</v>
          </cell>
          <cell r="Y592">
            <v>40500</v>
          </cell>
          <cell r="Z592">
            <v>0</v>
          </cell>
          <cell r="AA592">
            <v>0</v>
          </cell>
          <cell r="AB592">
            <v>0</v>
          </cell>
          <cell r="AC592">
            <v>46096</v>
          </cell>
          <cell r="AD592">
            <v>1</v>
          </cell>
          <cell r="AE592">
            <v>46387</v>
          </cell>
          <cell r="AF592">
            <v>0</v>
          </cell>
          <cell r="AG592">
            <v>0</v>
          </cell>
          <cell r="AH592">
            <v>0</v>
          </cell>
          <cell r="AI592">
            <v>40500</v>
          </cell>
          <cell r="AJ592">
            <v>0</v>
          </cell>
          <cell r="AK592">
            <v>0</v>
          </cell>
          <cell r="AL592">
            <v>40500</v>
          </cell>
          <cell r="AM592">
            <v>0</v>
          </cell>
          <cell r="AN592">
            <v>40500</v>
          </cell>
          <cell r="AO592">
            <v>0</v>
          </cell>
          <cell r="AP592">
            <v>40500</v>
          </cell>
          <cell r="AQ592" t="str">
            <v>US_27454</v>
          </cell>
          <cell r="AR592">
            <v>0</v>
          </cell>
          <cell r="AS592">
            <v>1</v>
          </cell>
          <cell r="AU592">
            <v>1</v>
          </cell>
          <cell r="AV592">
            <v>0</v>
          </cell>
          <cell r="AW592">
            <v>40500</v>
          </cell>
          <cell r="AX592">
            <v>40500</v>
          </cell>
          <cell r="AY592">
            <v>0</v>
          </cell>
          <cell r="AZ592">
            <v>40500</v>
          </cell>
          <cell r="BA592">
            <v>40500</v>
          </cell>
          <cell r="BB592">
            <v>40500</v>
          </cell>
          <cell r="BC592">
            <v>116.25000000000001</v>
          </cell>
          <cell r="BD592">
            <v>66825</v>
          </cell>
          <cell r="BE592">
            <v>66825</v>
          </cell>
          <cell r="BF592">
            <v>43</v>
          </cell>
          <cell r="BG592">
            <v>40500</v>
          </cell>
          <cell r="BH592">
            <v>22275</v>
          </cell>
          <cell r="BI592">
            <v>40500</v>
          </cell>
          <cell r="BJ592">
            <v>40500</v>
          </cell>
          <cell r="BK592">
            <v>40500</v>
          </cell>
          <cell r="BL592">
            <v>0</v>
          </cell>
          <cell r="BM592">
            <v>0</v>
          </cell>
          <cell r="BN592">
            <v>0</v>
          </cell>
          <cell r="BO592">
            <v>0</v>
          </cell>
          <cell r="BP592">
            <v>0</v>
          </cell>
          <cell r="BQ592">
            <v>0</v>
          </cell>
          <cell r="BR592">
            <v>40500</v>
          </cell>
          <cell r="BT592">
            <v>1</v>
          </cell>
          <cell r="BU592">
            <v>1</v>
          </cell>
          <cell r="BV592" t="str">
            <v>N</v>
          </cell>
          <cell r="BW592">
            <v>133650</v>
          </cell>
          <cell r="BX592">
            <v>133650</v>
          </cell>
          <cell r="BY592">
            <v>2026</v>
          </cell>
          <cell r="BZ592" t="str">
            <v>-</v>
          </cell>
          <cell r="CA592" t="str">
            <v>-</v>
          </cell>
        </row>
        <row r="593">
          <cell r="A593" t="str">
            <v>Lucknow</v>
          </cell>
          <cell r="B593" t="str">
            <v>Mavericks</v>
          </cell>
          <cell r="C593" t="str">
            <v>Mid Level</v>
          </cell>
          <cell r="D593" t="str">
            <v>Mohammad Fakhrul</v>
          </cell>
          <cell r="E593" t="str">
            <v>-</v>
          </cell>
          <cell r="F593" t="str">
            <v>MSP</v>
          </cell>
          <cell r="H593" t="str">
            <v>Pass Through/MSP</v>
          </cell>
          <cell r="L593" t="str">
            <v>New</v>
          </cell>
          <cell r="M593">
            <v>46098</v>
          </cell>
          <cell r="N593">
            <v>104</v>
          </cell>
          <cell r="P593">
            <v>46463</v>
          </cell>
          <cell r="Q593" t="str">
            <v>PLC-Passthrough</v>
          </cell>
          <cell r="R593" t="str">
            <v>Santosh Kumar Molugu</v>
          </cell>
          <cell r="S593" t="str">
            <v>Individual</v>
          </cell>
          <cell r="T593" t="str">
            <v>C2C</v>
          </cell>
          <cell r="U593" t="str">
            <v>CoForge</v>
          </cell>
          <cell r="V593">
            <v>75</v>
          </cell>
          <cell r="W593">
            <v>0</v>
          </cell>
          <cell r="X593" t="str">
            <v>USD</v>
          </cell>
          <cell r="Y593">
            <v>76</v>
          </cell>
          <cell r="Z593">
            <v>0</v>
          </cell>
          <cell r="AA593">
            <v>0</v>
          </cell>
          <cell r="AB593">
            <v>0</v>
          </cell>
          <cell r="AC593">
            <v>46096</v>
          </cell>
          <cell r="AD593">
            <v>11</v>
          </cell>
          <cell r="AE593">
            <v>46387</v>
          </cell>
          <cell r="AF593">
            <v>75</v>
          </cell>
          <cell r="AG593">
            <v>0</v>
          </cell>
          <cell r="AH593">
            <v>75</v>
          </cell>
          <cell r="AI593">
            <v>76</v>
          </cell>
          <cell r="AJ593">
            <v>0</v>
          </cell>
          <cell r="AK593">
            <v>0</v>
          </cell>
          <cell r="AL593">
            <v>1</v>
          </cell>
          <cell r="AM593">
            <v>0</v>
          </cell>
          <cell r="AN593">
            <v>1</v>
          </cell>
          <cell r="AO593">
            <v>0</v>
          </cell>
          <cell r="AP593">
            <v>1</v>
          </cell>
          <cell r="AQ593" t="str">
            <v>US_CMSP_00570</v>
          </cell>
          <cell r="AR593">
            <v>0</v>
          </cell>
          <cell r="AS593">
            <v>88</v>
          </cell>
          <cell r="AU593">
            <v>88</v>
          </cell>
          <cell r="AV593">
            <v>0</v>
          </cell>
          <cell r="AW593">
            <v>88</v>
          </cell>
          <cell r="AX593">
            <v>88</v>
          </cell>
          <cell r="AY593">
            <v>0</v>
          </cell>
          <cell r="AZ593">
            <v>88</v>
          </cell>
          <cell r="BA593">
            <v>88</v>
          </cell>
          <cell r="BB593">
            <v>88</v>
          </cell>
          <cell r="BC593">
            <v>0</v>
          </cell>
          <cell r="BD593">
            <v>0</v>
          </cell>
          <cell r="BE593">
            <v>0</v>
          </cell>
          <cell r="BG593">
            <v>88</v>
          </cell>
          <cell r="BI593">
            <v>88</v>
          </cell>
          <cell r="BJ593">
            <v>6688</v>
          </cell>
          <cell r="BK593">
            <v>6688</v>
          </cell>
          <cell r="BL593">
            <v>6600</v>
          </cell>
          <cell r="BM593">
            <v>0</v>
          </cell>
          <cell r="BN593">
            <v>0</v>
          </cell>
          <cell r="BO593">
            <v>0</v>
          </cell>
          <cell r="BP593">
            <v>6600</v>
          </cell>
          <cell r="BQ593">
            <v>0</v>
          </cell>
          <cell r="BR593">
            <v>88</v>
          </cell>
          <cell r="BS593" t="str">
            <v>Y</v>
          </cell>
          <cell r="BT593">
            <v>1</v>
          </cell>
          <cell r="BU593">
            <v>1</v>
          </cell>
          <cell r="BV593" t="str">
            <v>N</v>
          </cell>
          <cell r="BW593">
            <v>0</v>
          </cell>
          <cell r="BX593">
            <v>0</v>
          </cell>
          <cell r="BY593">
            <v>2026</v>
          </cell>
          <cell r="BZ593" t="str">
            <v>-</v>
          </cell>
          <cell r="CA593" t="str">
            <v>-</v>
          </cell>
        </row>
        <row r="594">
          <cell r="A594" t="str">
            <v>Lucknow</v>
          </cell>
          <cell r="B594" t="str">
            <v>Mavericks</v>
          </cell>
          <cell r="C594" t="str">
            <v>Mid Level</v>
          </cell>
          <cell r="D594" t="str">
            <v>Mohammad Fakhrul</v>
          </cell>
          <cell r="E594" t="str">
            <v>-</v>
          </cell>
          <cell r="F594" t="str">
            <v>MSP</v>
          </cell>
          <cell r="H594" t="str">
            <v>Pass Through/MSP</v>
          </cell>
          <cell r="J594" t="str">
            <v>ACH</v>
          </cell>
          <cell r="L594" t="str">
            <v>New</v>
          </cell>
          <cell r="M594">
            <v>46098</v>
          </cell>
          <cell r="N594">
            <v>104</v>
          </cell>
          <cell r="P594">
            <v>46463</v>
          </cell>
          <cell r="Q594" t="str">
            <v>PLC-Passthrough</v>
          </cell>
          <cell r="R594" t="str">
            <v>Santosh Kumar Molugu</v>
          </cell>
          <cell r="S594" t="str">
            <v>Individual</v>
          </cell>
          <cell r="T594" t="str">
            <v>C2C</v>
          </cell>
          <cell r="U594" t="str">
            <v>CoForge</v>
          </cell>
          <cell r="V594">
            <v>75</v>
          </cell>
          <cell r="W594">
            <v>0</v>
          </cell>
          <cell r="X594" t="str">
            <v>USD</v>
          </cell>
          <cell r="Y594">
            <v>76</v>
          </cell>
          <cell r="Z594">
            <v>0</v>
          </cell>
          <cell r="AA594">
            <v>0</v>
          </cell>
          <cell r="AB594">
            <v>0</v>
          </cell>
          <cell r="AC594">
            <v>46127</v>
          </cell>
          <cell r="AD594">
            <v>22</v>
          </cell>
          <cell r="AE594">
            <v>46387</v>
          </cell>
          <cell r="AF594">
            <v>75</v>
          </cell>
          <cell r="AG594">
            <v>0</v>
          </cell>
          <cell r="AH594">
            <v>75</v>
          </cell>
          <cell r="AI594">
            <v>76</v>
          </cell>
          <cell r="AJ594">
            <v>0</v>
          </cell>
          <cell r="AK594">
            <v>0</v>
          </cell>
          <cell r="AL594">
            <v>1</v>
          </cell>
          <cell r="AM594">
            <v>0</v>
          </cell>
          <cell r="AN594">
            <v>1</v>
          </cell>
          <cell r="AO594">
            <v>0</v>
          </cell>
          <cell r="AP594">
            <v>1</v>
          </cell>
          <cell r="AQ594" t="str">
            <v>US_CMSP_00711</v>
          </cell>
          <cell r="AR594">
            <v>0</v>
          </cell>
          <cell r="AS594">
            <v>168</v>
          </cell>
          <cell r="AU594">
            <v>168</v>
          </cell>
          <cell r="AV594">
            <v>0</v>
          </cell>
          <cell r="AW594">
            <v>168</v>
          </cell>
          <cell r="AX594">
            <v>166.32</v>
          </cell>
          <cell r="AY594">
            <v>0</v>
          </cell>
          <cell r="AZ594">
            <v>168</v>
          </cell>
          <cell r="BA594">
            <v>166.32</v>
          </cell>
          <cell r="BB594">
            <v>168</v>
          </cell>
          <cell r="BC594">
            <v>0</v>
          </cell>
          <cell r="BD594">
            <v>0</v>
          </cell>
          <cell r="BE594">
            <v>0</v>
          </cell>
          <cell r="BG594">
            <v>166.32</v>
          </cell>
          <cell r="BI594">
            <v>166.32</v>
          </cell>
          <cell r="BJ594">
            <v>12768</v>
          </cell>
          <cell r="BK594">
            <v>12768</v>
          </cell>
          <cell r="BL594">
            <v>12600</v>
          </cell>
          <cell r="BM594">
            <v>0</v>
          </cell>
          <cell r="BN594">
            <v>0</v>
          </cell>
          <cell r="BO594">
            <v>0</v>
          </cell>
          <cell r="BP594">
            <v>12600</v>
          </cell>
          <cell r="BQ594">
            <v>0</v>
          </cell>
          <cell r="BR594">
            <v>168</v>
          </cell>
          <cell r="BS594" t="str">
            <v>Y</v>
          </cell>
          <cell r="BT594">
            <v>2</v>
          </cell>
          <cell r="BU594">
            <v>1</v>
          </cell>
          <cell r="BV594" t="str">
            <v>N</v>
          </cell>
          <cell r="BW594">
            <v>0</v>
          </cell>
          <cell r="BX594">
            <v>0</v>
          </cell>
          <cell r="BY594">
            <v>2026</v>
          </cell>
          <cell r="BZ594" t="str">
            <v>-</v>
          </cell>
          <cell r="CA594" t="str">
            <v>-</v>
          </cell>
        </row>
        <row r="595">
          <cell r="A595" t="str">
            <v>Lucknow</v>
          </cell>
          <cell r="B595" t="str">
            <v>Mavericks</v>
          </cell>
          <cell r="C595" t="str">
            <v>Mid Level</v>
          </cell>
          <cell r="D595" t="str">
            <v>Mohammad Fakhrul</v>
          </cell>
          <cell r="E595" t="str">
            <v>-</v>
          </cell>
          <cell r="F595" t="str">
            <v>MSP</v>
          </cell>
          <cell r="H595" t="str">
            <v>Pass Through/MSP</v>
          </cell>
          <cell r="J595" t="str">
            <v>ACH</v>
          </cell>
          <cell r="L595" t="str">
            <v>New</v>
          </cell>
          <cell r="M595">
            <v>46098</v>
          </cell>
          <cell r="N595">
            <v>104</v>
          </cell>
          <cell r="P595">
            <v>46463</v>
          </cell>
          <cell r="Q595" t="str">
            <v>PLC-Passthrough</v>
          </cell>
          <cell r="R595" t="str">
            <v>Santosh Kumar Molugu</v>
          </cell>
          <cell r="S595" t="str">
            <v>Individual</v>
          </cell>
          <cell r="T595" t="str">
            <v>C2C</v>
          </cell>
          <cell r="U595" t="str">
            <v>CoForge</v>
          </cell>
          <cell r="V595">
            <v>75</v>
          </cell>
          <cell r="W595">
            <v>0</v>
          </cell>
          <cell r="X595" t="str">
            <v>USD</v>
          </cell>
          <cell r="Y595">
            <v>76</v>
          </cell>
          <cell r="Z595">
            <v>0</v>
          </cell>
          <cell r="AA595">
            <v>0</v>
          </cell>
          <cell r="AB595">
            <v>0</v>
          </cell>
          <cell r="AC595">
            <v>46157</v>
          </cell>
          <cell r="AD595">
            <v>22</v>
          </cell>
          <cell r="AE595">
            <v>46387</v>
          </cell>
          <cell r="AF595">
            <v>75</v>
          </cell>
          <cell r="AG595">
            <v>0</v>
          </cell>
          <cell r="AH595">
            <v>75</v>
          </cell>
          <cell r="AI595">
            <v>76</v>
          </cell>
          <cell r="AJ595">
            <v>0</v>
          </cell>
          <cell r="AK595">
            <v>0</v>
          </cell>
          <cell r="AL595">
            <v>1</v>
          </cell>
          <cell r="AM595">
            <v>0</v>
          </cell>
          <cell r="AN595">
            <v>1</v>
          </cell>
          <cell r="AO595">
            <v>0</v>
          </cell>
          <cell r="AP595">
            <v>1</v>
          </cell>
          <cell r="AQ595" t="str">
            <v>US_CMSP_00760</v>
          </cell>
          <cell r="AR595">
            <v>0</v>
          </cell>
          <cell r="AS595">
            <v>160</v>
          </cell>
          <cell r="AU595">
            <v>160</v>
          </cell>
          <cell r="AV595">
            <v>0</v>
          </cell>
          <cell r="AW595">
            <v>160</v>
          </cell>
          <cell r="AX595">
            <v>158.4</v>
          </cell>
          <cell r="AY595">
            <v>0</v>
          </cell>
          <cell r="AZ595">
            <v>160</v>
          </cell>
          <cell r="BA595">
            <v>158.4</v>
          </cell>
          <cell r="BB595">
            <v>160</v>
          </cell>
          <cell r="BC595">
            <v>0</v>
          </cell>
          <cell r="BD595">
            <v>0</v>
          </cell>
          <cell r="BE595">
            <v>0</v>
          </cell>
          <cell r="BG595">
            <v>158.4</v>
          </cell>
          <cell r="BI595">
            <v>158.4</v>
          </cell>
          <cell r="BJ595">
            <v>12160</v>
          </cell>
          <cell r="BK595">
            <v>12160</v>
          </cell>
          <cell r="BL595">
            <v>12000</v>
          </cell>
          <cell r="BM595">
            <v>0</v>
          </cell>
          <cell r="BN595">
            <v>0</v>
          </cell>
          <cell r="BO595">
            <v>0</v>
          </cell>
          <cell r="BP595">
            <v>12000</v>
          </cell>
          <cell r="BQ595">
            <v>0</v>
          </cell>
          <cell r="BR595">
            <v>160</v>
          </cell>
          <cell r="BT595">
            <v>2</v>
          </cell>
          <cell r="BU595">
            <v>1</v>
          </cell>
          <cell r="BV595" t="str">
            <v>N</v>
          </cell>
          <cell r="BW595">
            <v>0</v>
          </cell>
          <cell r="BX595">
            <v>0</v>
          </cell>
          <cell r="BY595">
            <v>2026</v>
          </cell>
          <cell r="BZ595" t="str">
            <v>-</v>
          </cell>
          <cell r="CA595" t="str">
            <v>-</v>
          </cell>
        </row>
        <row r="596">
          <cell r="A596" t="str">
            <v>Lucknow</v>
          </cell>
          <cell r="B596" t="str">
            <v>Mavericks</v>
          </cell>
          <cell r="C596" t="str">
            <v>Mid Level</v>
          </cell>
          <cell r="D596" t="str">
            <v>Akbar Ibrahim</v>
          </cell>
          <cell r="E596" t="str">
            <v>-</v>
          </cell>
          <cell r="F596" t="str">
            <v>MSP</v>
          </cell>
          <cell r="H596" t="str">
            <v>Pass Through</v>
          </cell>
          <cell r="L596" t="str">
            <v>New</v>
          </cell>
          <cell r="M596">
            <v>46034</v>
          </cell>
          <cell r="N596">
            <v>168</v>
          </cell>
          <cell r="O596">
            <v>46136</v>
          </cell>
          <cell r="P596">
            <v>46399</v>
          </cell>
          <cell r="Q596" t="str">
            <v>PLC-Passthrough</v>
          </cell>
          <cell r="R596" t="str">
            <v>Sarabjeet Singh Sethi</v>
          </cell>
          <cell r="S596" t="str">
            <v>Individual</v>
          </cell>
          <cell r="T596" t="str">
            <v>C2C Canada</v>
          </cell>
          <cell r="U596" t="str">
            <v>CoForge</v>
          </cell>
          <cell r="V596">
            <v>92</v>
          </cell>
          <cell r="W596">
            <v>0</v>
          </cell>
          <cell r="X596" t="str">
            <v>CAD</v>
          </cell>
          <cell r="Y596">
            <v>94</v>
          </cell>
          <cell r="Z596">
            <v>0</v>
          </cell>
          <cell r="AA596">
            <v>0</v>
          </cell>
          <cell r="AB596">
            <v>0</v>
          </cell>
          <cell r="AC596">
            <v>46037</v>
          </cell>
          <cell r="AD596">
            <v>15</v>
          </cell>
          <cell r="AE596">
            <v>46387</v>
          </cell>
          <cell r="AF596">
            <v>65.319999999999993</v>
          </cell>
          <cell r="AG596">
            <v>0</v>
          </cell>
          <cell r="AH596">
            <v>65.319999999999993</v>
          </cell>
          <cell r="AI596">
            <v>66.739999999999995</v>
          </cell>
          <cell r="AJ596">
            <v>0</v>
          </cell>
          <cell r="AK596">
            <v>0</v>
          </cell>
          <cell r="AL596">
            <v>1.4200000000000017</v>
          </cell>
          <cell r="AM596">
            <v>0</v>
          </cell>
          <cell r="AN596">
            <v>1.4200000000000017</v>
          </cell>
          <cell r="AO596">
            <v>0</v>
          </cell>
          <cell r="AP596">
            <v>1.4200000000000017</v>
          </cell>
          <cell r="AQ596" t="str">
            <v>CAD_1907</v>
          </cell>
          <cell r="AR596">
            <v>0</v>
          </cell>
          <cell r="AS596">
            <v>80</v>
          </cell>
          <cell r="AU596">
            <v>80</v>
          </cell>
          <cell r="AV596">
            <v>0</v>
          </cell>
          <cell r="AW596">
            <v>113.60000000000014</v>
          </cell>
          <cell r="AX596">
            <v>113.60000000000014</v>
          </cell>
          <cell r="AY596">
            <v>0</v>
          </cell>
          <cell r="AZ596">
            <v>113.60000000000014</v>
          </cell>
          <cell r="BA596">
            <v>113.60000000000014</v>
          </cell>
          <cell r="BB596">
            <v>113.60000000000014</v>
          </cell>
          <cell r="BC596">
            <v>0</v>
          </cell>
          <cell r="BD596">
            <v>0</v>
          </cell>
          <cell r="BE596">
            <v>0</v>
          </cell>
          <cell r="BG596">
            <v>113.60000000000014</v>
          </cell>
          <cell r="BI596">
            <v>113.60000000000014</v>
          </cell>
          <cell r="BJ596">
            <v>7520</v>
          </cell>
          <cell r="BK596">
            <v>5339.2</v>
          </cell>
          <cell r="BL596">
            <v>5453.0240000000003</v>
          </cell>
          <cell r="BM596">
            <v>0</v>
          </cell>
          <cell r="BN596">
            <v>0</v>
          </cell>
          <cell r="BO596">
            <v>0</v>
          </cell>
          <cell r="BP596">
            <v>5453.0240000000003</v>
          </cell>
          <cell r="BQ596">
            <v>0</v>
          </cell>
          <cell r="BR596">
            <v>-113.82400000000052</v>
          </cell>
          <cell r="BS596" t="str">
            <v>Y</v>
          </cell>
          <cell r="BT596">
            <v>1</v>
          </cell>
          <cell r="BU596">
            <v>1</v>
          </cell>
          <cell r="BV596" t="str">
            <v>Y</v>
          </cell>
          <cell r="BW596">
            <v>0</v>
          </cell>
          <cell r="BX596">
            <v>0</v>
          </cell>
          <cell r="BY596">
            <v>2026</v>
          </cell>
          <cell r="BZ596" t="str">
            <v>-</v>
          </cell>
          <cell r="CA596" t="str">
            <v>-</v>
          </cell>
        </row>
        <row r="597">
          <cell r="A597" t="str">
            <v>Lucknow</v>
          </cell>
          <cell r="B597" t="str">
            <v>Mavericks</v>
          </cell>
          <cell r="C597" t="str">
            <v>Mid Level</v>
          </cell>
          <cell r="D597" t="str">
            <v>Akbar Ibrahim</v>
          </cell>
          <cell r="E597" t="str">
            <v>-</v>
          </cell>
          <cell r="F597" t="str">
            <v>MSP</v>
          </cell>
          <cell r="H597" t="str">
            <v>Pass Through</v>
          </cell>
          <cell r="L597" t="str">
            <v>New</v>
          </cell>
          <cell r="M597">
            <v>46034</v>
          </cell>
          <cell r="N597">
            <v>168</v>
          </cell>
          <cell r="O597">
            <v>46136</v>
          </cell>
          <cell r="P597">
            <v>46399</v>
          </cell>
          <cell r="Q597" t="str">
            <v>PLC-Passthrough</v>
          </cell>
          <cell r="R597" t="str">
            <v>Sarabjeet Singh Sethi</v>
          </cell>
          <cell r="S597" t="str">
            <v>Individual</v>
          </cell>
          <cell r="T597" t="str">
            <v>C2C Canada</v>
          </cell>
          <cell r="U597" t="str">
            <v>CoForge</v>
          </cell>
          <cell r="V597">
            <v>92</v>
          </cell>
          <cell r="W597">
            <v>0</v>
          </cell>
          <cell r="X597" t="str">
            <v>CAD</v>
          </cell>
          <cell r="Y597">
            <v>94</v>
          </cell>
          <cell r="Z597">
            <v>0</v>
          </cell>
          <cell r="AA597">
            <v>0</v>
          </cell>
          <cell r="AB597">
            <v>0</v>
          </cell>
          <cell r="AC597">
            <v>46068</v>
          </cell>
          <cell r="AD597">
            <v>20</v>
          </cell>
          <cell r="AE597">
            <v>46387</v>
          </cell>
          <cell r="AF597">
            <v>65.319999999999993</v>
          </cell>
          <cell r="AG597">
            <v>0</v>
          </cell>
          <cell r="AH597">
            <v>65.319999999999993</v>
          </cell>
          <cell r="AI597">
            <v>66.739999999999995</v>
          </cell>
          <cell r="AJ597">
            <v>0</v>
          </cell>
          <cell r="AK597">
            <v>0</v>
          </cell>
          <cell r="AL597">
            <v>1.4200000000000017</v>
          </cell>
          <cell r="AM597">
            <v>0</v>
          </cell>
          <cell r="AN597">
            <v>1.4200000000000017</v>
          </cell>
          <cell r="AO597">
            <v>0</v>
          </cell>
          <cell r="AP597">
            <v>1.4200000000000017</v>
          </cell>
          <cell r="AQ597" t="str">
            <v>CAD_1972</v>
          </cell>
          <cell r="AR597">
            <v>0</v>
          </cell>
          <cell r="AS597">
            <v>160</v>
          </cell>
          <cell r="AU597">
            <v>160</v>
          </cell>
          <cell r="AV597">
            <v>0</v>
          </cell>
          <cell r="AW597">
            <v>227.20000000000027</v>
          </cell>
          <cell r="AX597">
            <v>227.20000000000027</v>
          </cell>
          <cell r="AY597">
            <v>0</v>
          </cell>
          <cell r="AZ597">
            <v>227.20000000000027</v>
          </cell>
          <cell r="BA597">
            <v>227.20000000000027</v>
          </cell>
          <cell r="BB597">
            <v>227.20000000000027</v>
          </cell>
          <cell r="BC597">
            <v>0</v>
          </cell>
          <cell r="BD597">
            <v>0</v>
          </cell>
          <cell r="BE597">
            <v>0</v>
          </cell>
          <cell r="BG597">
            <v>227.20000000000027</v>
          </cell>
          <cell r="BI597">
            <v>227.20000000000027</v>
          </cell>
          <cell r="BJ597">
            <v>15040</v>
          </cell>
          <cell r="BK597">
            <v>10678.4</v>
          </cell>
          <cell r="BL597">
            <v>10906.048000000001</v>
          </cell>
          <cell r="BM597">
            <v>0</v>
          </cell>
          <cell r="BN597">
            <v>0</v>
          </cell>
          <cell r="BO597">
            <v>0</v>
          </cell>
          <cell r="BP597">
            <v>10906.048000000001</v>
          </cell>
          <cell r="BQ597">
            <v>0</v>
          </cell>
          <cell r="BR597">
            <v>-227.64800000000105</v>
          </cell>
          <cell r="BS597" t="str">
            <v>Y</v>
          </cell>
          <cell r="BT597">
            <v>1</v>
          </cell>
          <cell r="BU597">
            <v>1</v>
          </cell>
          <cell r="BV597" t="str">
            <v>Y</v>
          </cell>
          <cell r="BW597">
            <v>0</v>
          </cell>
          <cell r="BX597">
            <v>0</v>
          </cell>
          <cell r="BY597">
            <v>2026</v>
          </cell>
          <cell r="BZ597" t="str">
            <v>-</v>
          </cell>
          <cell r="CA597" t="str">
            <v>-</v>
          </cell>
        </row>
        <row r="598">
          <cell r="A598" t="str">
            <v>Lucknow</v>
          </cell>
          <cell r="B598" t="str">
            <v>Mavericks</v>
          </cell>
          <cell r="C598" t="str">
            <v>Mid Level</v>
          </cell>
          <cell r="D598" t="str">
            <v>Akbar Ibrahim</v>
          </cell>
          <cell r="E598" t="str">
            <v>-</v>
          </cell>
          <cell r="F598" t="str">
            <v>MSP</v>
          </cell>
          <cell r="H598" t="str">
            <v>Pass Through</v>
          </cell>
          <cell r="L598" t="str">
            <v>New</v>
          </cell>
          <cell r="M598">
            <v>46034</v>
          </cell>
          <cell r="N598">
            <v>168</v>
          </cell>
          <cell r="O598">
            <v>46136</v>
          </cell>
          <cell r="P598">
            <v>46399</v>
          </cell>
          <cell r="Q598" t="str">
            <v>PLC-Passthrough</v>
          </cell>
          <cell r="R598" t="str">
            <v>Sarabjeet Singh Sethi</v>
          </cell>
          <cell r="S598" t="str">
            <v>Individual</v>
          </cell>
          <cell r="T598" t="str">
            <v>C2C Canada</v>
          </cell>
          <cell r="U598" t="str">
            <v>CoForge</v>
          </cell>
          <cell r="V598">
            <v>92</v>
          </cell>
          <cell r="W598">
            <v>0</v>
          </cell>
          <cell r="X598" t="str">
            <v>CAD</v>
          </cell>
          <cell r="Y598">
            <v>94</v>
          </cell>
          <cell r="Z598">
            <v>0</v>
          </cell>
          <cell r="AA598">
            <v>0</v>
          </cell>
          <cell r="AB598">
            <v>0</v>
          </cell>
          <cell r="AC598">
            <v>46096</v>
          </cell>
          <cell r="AD598">
            <v>22</v>
          </cell>
          <cell r="AE598">
            <v>46387</v>
          </cell>
          <cell r="AF598">
            <v>65.319999999999993</v>
          </cell>
          <cell r="AG598">
            <v>0</v>
          </cell>
          <cell r="AH598">
            <v>65.319999999999993</v>
          </cell>
          <cell r="AI598">
            <v>66.739999999999995</v>
          </cell>
          <cell r="AJ598">
            <v>0</v>
          </cell>
          <cell r="AK598">
            <v>0</v>
          </cell>
          <cell r="AL598">
            <v>1.4200000000000017</v>
          </cell>
          <cell r="AM598">
            <v>0</v>
          </cell>
          <cell r="AN598">
            <v>1.4200000000000017</v>
          </cell>
          <cell r="AO598">
            <v>0</v>
          </cell>
          <cell r="AP598">
            <v>1.4200000000000017</v>
          </cell>
          <cell r="AQ598" t="str">
            <v>CAD_2022</v>
          </cell>
          <cell r="AR598">
            <v>0</v>
          </cell>
          <cell r="AS598">
            <v>176</v>
          </cell>
          <cell r="AU598">
            <v>176</v>
          </cell>
          <cell r="AV598">
            <v>0</v>
          </cell>
          <cell r="AW598">
            <v>249.9200000000003</v>
          </cell>
          <cell r="AX598">
            <v>249.9200000000003</v>
          </cell>
          <cell r="AY598">
            <v>0</v>
          </cell>
          <cell r="AZ598">
            <v>249.9200000000003</v>
          </cell>
          <cell r="BA598">
            <v>249.9200000000003</v>
          </cell>
          <cell r="BB598">
            <v>249.9200000000003</v>
          </cell>
          <cell r="BC598">
            <v>0</v>
          </cell>
          <cell r="BD598">
            <v>0</v>
          </cell>
          <cell r="BE598">
            <v>0</v>
          </cell>
          <cell r="BG598">
            <v>249.9200000000003</v>
          </cell>
          <cell r="BI598">
            <v>249.9200000000003</v>
          </cell>
          <cell r="BJ598">
            <v>16544</v>
          </cell>
          <cell r="BK598">
            <v>11746.24</v>
          </cell>
          <cell r="BL598">
            <v>11996.6528</v>
          </cell>
          <cell r="BM598">
            <v>0</v>
          </cell>
          <cell r="BN598">
            <v>0</v>
          </cell>
          <cell r="BO598">
            <v>0</v>
          </cell>
          <cell r="BP598">
            <v>11996.6528</v>
          </cell>
          <cell r="BQ598">
            <v>0</v>
          </cell>
          <cell r="BR598">
            <v>-250.41280000000006</v>
          </cell>
          <cell r="BS598" t="str">
            <v>Y</v>
          </cell>
          <cell r="BT598">
            <v>1</v>
          </cell>
          <cell r="BU598">
            <v>1</v>
          </cell>
          <cell r="BV598" t="str">
            <v>Y</v>
          </cell>
          <cell r="BW598">
            <v>0</v>
          </cell>
          <cell r="BX598">
            <v>0</v>
          </cell>
          <cell r="BY598">
            <v>2026</v>
          </cell>
          <cell r="BZ598" t="str">
            <v>-</v>
          </cell>
          <cell r="CA598" t="str">
            <v>-</v>
          </cell>
        </row>
        <row r="599">
          <cell r="A599" t="str">
            <v>Lucknow</v>
          </cell>
          <cell r="B599" t="str">
            <v>Mavericks</v>
          </cell>
          <cell r="C599" t="str">
            <v>Mid Level</v>
          </cell>
          <cell r="D599" t="str">
            <v>Akbar Ibrahim</v>
          </cell>
          <cell r="E599" t="str">
            <v>-</v>
          </cell>
          <cell r="F599" t="str">
            <v>MSP</v>
          </cell>
          <cell r="H599" t="str">
            <v>Pass Through</v>
          </cell>
          <cell r="J599" t="str">
            <v>ACH</v>
          </cell>
          <cell r="L599" t="str">
            <v>New</v>
          </cell>
          <cell r="M599">
            <v>46034</v>
          </cell>
          <cell r="N599">
            <v>168</v>
          </cell>
          <cell r="O599">
            <v>46136</v>
          </cell>
          <cell r="P599">
            <v>46399</v>
          </cell>
          <cell r="Q599" t="str">
            <v>PLC-Passthrough</v>
          </cell>
          <cell r="R599" t="str">
            <v>Sarabjeet Singh Sethi</v>
          </cell>
          <cell r="S599" t="str">
            <v>Individual</v>
          </cell>
          <cell r="T599" t="str">
            <v>C2C Canada</v>
          </cell>
          <cell r="U599" t="str">
            <v>CoForge</v>
          </cell>
          <cell r="V599">
            <v>92</v>
          </cell>
          <cell r="W599">
            <v>0</v>
          </cell>
          <cell r="X599" t="str">
            <v>CAD</v>
          </cell>
          <cell r="Y599">
            <v>94</v>
          </cell>
          <cell r="Z599">
            <v>0</v>
          </cell>
          <cell r="AA599">
            <v>0</v>
          </cell>
          <cell r="AB599">
            <v>0</v>
          </cell>
          <cell r="AC599">
            <v>46127</v>
          </cell>
          <cell r="AD599">
            <v>22</v>
          </cell>
          <cell r="AE599">
            <v>46387</v>
          </cell>
          <cell r="AF599">
            <v>65.319999999999993</v>
          </cell>
          <cell r="AG599">
            <v>0</v>
          </cell>
          <cell r="AH599">
            <v>65.319999999999993</v>
          </cell>
          <cell r="AI599">
            <v>66.739999999999995</v>
          </cell>
          <cell r="AJ599">
            <v>0</v>
          </cell>
          <cell r="AK599">
            <v>0</v>
          </cell>
          <cell r="AL599">
            <v>1.4200000000000017</v>
          </cell>
          <cell r="AM599">
            <v>0</v>
          </cell>
          <cell r="AN599">
            <v>1.4200000000000017</v>
          </cell>
          <cell r="AO599">
            <v>0</v>
          </cell>
          <cell r="AP599">
            <v>1.4200000000000017</v>
          </cell>
          <cell r="AQ599" t="str">
            <v>CAD_2104</v>
          </cell>
          <cell r="AR599">
            <v>0</v>
          </cell>
          <cell r="AS599">
            <v>144</v>
          </cell>
          <cell r="AU599">
            <v>144</v>
          </cell>
          <cell r="AV599">
            <v>0</v>
          </cell>
          <cell r="AW599">
            <v>204.48000000000025</v>
          </cell>
          <cell r="AX599">
            <v>202.43520000000024</v>
          </cell>
          <cell r="AY599">
            <v>0</v>
          </cell>
          <cell r="AZ599">
            <v>204.48000000000025</v>
          </cell>
          <cell r="BA599">
            <v>202.43520000000024</v>
          </cell>
          <cell r="BB599">
            <v>204.48000000000025</v>
          </cell>
          <cell r="BC599">
            <v>0</v>
          </cell>
          <cell r="BD599">
            <v>0</v>
          </cell>
          <cell r="BE599">
            <v>0</v>
          </cell>
          <cell r="BG599">
            <v>202.43520000000024</v>
          </cell>
          <cell r="BI599">
            <v>202.43520000000024</v>
          </cell>
          <cell r="BJ599">
            <v>13536</v>
          </cell>
          <cell r="BK599">
            <v>9610.56</v>
          </cell>
          <cell r="BL599">
            <v>9815.4431999999997</v>
          </cell>
          <cell r="BM599">
            <v>0</v>
          </cell>
          <cell r="BN599">
            <v>0</v>
          </cell>
          <cell r="BO599">
            <v>0</v>
          </cell>
          <cell r="BP599">
            <v>9815.4431999999997</v>
          </cell>
          <cell r="BQ599">
            <v>0</v>
          </cell>
          <cell r="BR599">
            <v>-204.88320000000022</v>
          </cell>
          <cell r="BT599">
            <v>2</v>
          </cell>
          <cell r="BU599">
            <v>1</v>
          </cell>
          <cell r="BV599" t="str">
            <v>Y</v>
          </cell>
          <cell r="BW599">
            <v>0</v>
          </cell>
          <cell r="BX599">
            <v>0</v>
          </cell>
          <cell r="BY599">
            <v>2026</v>
          </cell>
          <cell r="BZ599" t="str">
            <v>-</v>
          </cell>
          <cell r="CA599" t="str">
            <v>-</v>
          </cell>
        </row>
        <row r="600">
          <cell r="A600" t="str">
            <v>Noida</v>
          </cell>
          <cell r="B600" t="str">
            <v>Noida IT</v>
          </cell>
          <cell r="C600" t="str">
            <v>Mid Level</v>
          </cell>
          <cell r="D600" t="str">
            <v>Akash Saxena</v>
          </cell>
          <cell r="E600" t="str">
            <v>-</v>
          </cell>
          <cell r="F600" t="str">
            <v>Non-MSP</v>
          </cell>
          <cell r="H600" t="str">
            <v>Pass Through</v>
          </cell>
          <cell r="L600" t="str">
            <v>New</v>
          </cell>
          <cell r="M600">
            <v>46062</v>
          </cell>
          <cell r="N600">
            <v>140</v>
          </cell>
          <cell r="P600">
            <v>46427</v>
          </cell>
          <cell r="Q600" t="str">
            <v>PLC-Passthrough</v>
          </cell>
          <cell r="R600" t="str">
            <v>Sarat Chandrika Brahmandam</v>
          </cell>
          <cell r="S600" t="str">
            <v>Individual</v>
          </cell>
          <cell r="T600" t="str">
            <v>C2C</v>
          </cell>
          <cell r="U600" t="str">
            <v>Hexaware</v>
          </cell>
          <cell r="V600">
            <v>74</v>
          </cell>
          <cell r="W600">
            <v>0</v>
          </cell>
          <cell r="X600" t="str">
            <v>USD</v>
          </cell>
          <cell r="Y600">
            <v>87</v>
          </cell>
          <cell r="Z600">
            <v>0</v>
          </cell>
          <cell r="AA600">
            <v>0</v>
          </cell>
          <cell r="AB600">
            <v>10</v>
          </cell>
          <cell r="AC600">
            <v>46068</v>
          </cell>
          <cell r="AD600">
            <v>15</v>
          </cell>
          <cell r="AE600">
            <v>46387</v>
          </cell>
          <cell r="AF600">
            <v>74</v>
          </cell>
          <cell r="AG600">
            <v>0</v>
          </cell>
          <cell r="AH600">
            <v>84</v>
          </cell>
          <cell r="AI600">
            <v>87</v>
          </cell>
          <cell r="AJ600">
            <v>0</v>
          </cell>
          <cell r="AK600">
            <v>0</v>
          </cell>
          <cell r="AL600">
            <v>3</v>
          </cell>
          <cell r="AM600">
            <v>0</v>
          </cell>
          <cell r="AN600">
            <v>3</v>
          </cell>
          <cell r="AO600">
            <v>0</v>
          </cell>
          <cell r="AP600">
            <v>3</v>
          </cell>
          <cell r="AQ600" t="str">
            <v>US_27185</v>
          </cell>
          <cell r="AR600">
            <v>0</v>
          </cell>
          <cell r="AS600">
            <v>120</v>
          </cell>
          <cell r="AU600">
            <v>120</v>
          </cell>
          <cell r="AV600">
            <v>0</v>
          </cell>
          <cell r="AW600">
            <v>360</v>
          </cell>
          <cell r="AX600">
            <v>360</v>
          </cell>
          <cell r="AY600">
            <v>0</v>
          </cell>
          <cell r="AZ600">
            <v>360</v>
          </cell>
          <cell r="BA600">
            <v>360</v>
          </cell>
          <cell r="BB600">
            <v>360</v>
          </cell>
          <cell r="BC600">
            <v>0</v>
          </cell>
          <cell r="BD600">
            <v>0</v>
          </cell>
          <cell r="BE600">
            <v>0</v>
          </cell>
          <cell r="BG600">
            <v>360</v>
          </cell>
          <cell r="BI600">
            <v>360</v>
          </cell>
          <cell r="BJ600">
            <v>10440</v>
          </cell>
          <cell r="BK600">
            <v>10440</v>
          </cell>
          <cell r="BL600">
            <v>8880</v>
          </cell>
          <cell r="BM600">
            <v>0</v>
          </cell>
          <cell r="BN600">
            <v>1200</v>
          </cell>
          <cell r="BO600">
            <v>0</v>
          </cell>
          <cell r="BP600">
            <v>10080</v>
          </cell>
          <cell r="BQ600">
            <v>10</v>
          </cell>
          <cell r="BR600">
            <v>360</v>
          </cell>
          <cell r="BT600">
            <v>1</v>
          </cell>
          <cell r="BU600">
            <v>1</v>
          </cell>
          <cell r="BV600" t="str">
            <v>Y</v>
          </cell>
          <cell r="BW600">
            <v>0</v>
          </cell>
          <cell r="BX600">
            <v>0</v>
          </cell>
          <cell r="BY600">
            <v>2026</v>
          </cell>
          <cell r="BZ600" t="str">
            <v>-</v>
          </cell>
          <cell r="CA600" t="str">
            <v>-</v>
          </cell>
        </row>
        <row r="601">
          <cell r="A601" t="str">
            <v>Noida</v>
          </cell>
          <cell r="B601" t="str">
            <v>Noida IT</v>
          </cell>
          <cell r="C601" t="str">
            <v>Mid Level</v>
          </cell>
          <cell r="D601" t="str">
            <v>Akash Saxena</v>
          </cell>
          <cell r="E601" t="str">
            <v>-</v>
          </cell>
          <cell r="F601" t="str">
            <v>Non-MSP</v>
          </cell>
          <cell r="H601" t="str">
            <v>Pass Through</v>
          </cell>
          <cell r="L601" t="str">
            <v>New</v>
          </cell>
          <cell r="M601">
            <v>46062</v>
          </cell>
          <cell r="N601">
            <v>140</v>
          </cell>
          <cell r="P601">
            <v>46427</v>
          </cell>
          <cell r="Q601" t="str">
            <v>PLC-Passthrough</v>
          </cell>
          <cell r="R601" t="str">
            <v>Sarat Chandrika Brahmandam</v>
          </cell>
          <cell r="S601" t="str">
            <v>Individual</v>
          </cell>
          <cell r="T601" t="str">
            <v>C2C</v>
          </cell>
          <cell r="U601" t="str">
            <v>Hexaware</v>
          </cell>
          <cell r="V601">
            <v>74</v>
          </cell>
          <cell r="W601">
            <v>0</v>
          </cell>
          <cell r="X601" t="str">
            <v>USD</v>
          </cell>
          <cell r="Y601">
            <v>87</v>
          </cell>
          <cell r="Z601">
            <v>0</v>
          </cell>
          <cell r="AA601">
            <v>0</v>
          </cell>
          <cell r="AB601">
            <v>10</v>
          </cell>
          <cell r="AC601">
            <v>46096</v>
          </cell>
          <cell r="AD601">
            <v>22</v>
          </cell>
          <cell r="AE601">
            <v>46387</v>
          </cell>
          <cell r="AF601">
            <v>74</v>
          </cell>
          <cell r="AG601">
            <v>0</v>
          </cell>
          <cell r="AH601">
            <v>84</v>
          </cell>
          <cell r="AI601">
            <v>87</v>
          </cell>
          <cell r="AJ601">
            <v>0</v>
          </cell>
          <cell r="AK601">
            <v>0</v>
          </cell>
          <cell r="AL601">
            <v>3</v>
          </cell>
          <cell r="AM601">
            <v>0</v>
          </cell>
          <cell r="AN601">
            <v>3</v>
          </cell>
          <cell r="AO601">
            <v>0</v>
          </cell>
          <cell r="AP601">
            <v>3</v>
          </cell>
          <cell r="AQ601" t="str">
            <v>US_27398</v>
          </cell>
          <cell r="AR601">
            <v>0</v>
          </cell>
          <cell r="AS601">
            <v>176</v>
          </cell>
          <cell r="AU601">
            <v>176</v>
          </cell>
          <cell r="AV601">
            <v>0</v>
          </cell>
          <cell r="AW601">
            <v>528</v>
          </cell>
          <cell r="AX601">
            <v>528</v>
          </cell>
          <cell r="AY601">
            <v>0</v>
          </cell>
          <cell r="AZ601">
            <v>528</v>
          </cell>
          <cell r="BA601">
            <v>528</v>
          </cell>
          <cell r="BB601">
            <v>528</v>
          </cell>
          <cell r="BC601">
            <v>0</v>
          </cell>
          <cell r="BD601">
            <v>0</v>
          </cell>
          <cell r="BE601">
            <v>0</v>
          </cell>
          <cell r="BG601">
            <v>528</v>
          </cell>
          <cell r="BI601">
            <v>528</v>
          </cell>
          <cell r="BJ601">
            <v>15312</v>
          </cell>
          <cell r="BK601">
            <v>15312</v>
          </cell>
          <cell r="BL601">
            <v>13024</v>
          </cell>
          <cell r="BM601">
            <v>0</v>
          </cell>
          <cell r="BN601">
            <v>1760</v>
          </cell>
          <cell r="BO601">
            <v>0</v>
          </cell>
          <cell r="BP601">
            <v>14784</v>
          </cell>
          <cell r="BQ601">
            <v>10</v>
          </cell>
          <cell r="BR601">
            <v>528</v>
          </cell>
          <cell r="BT601">
            <v>1</v>
          </cell>
          <cell r="BU601">
            <v>1</v>
          </cell>
          <cell r="BV601" t="str">
            <v>Y</v>
          </cell>
          <cell r="BW601">
            <v>0</v>
          </cell>
          <cell r="BX601">
            <v>0</v>
          </cell>
          <cell r="BY601">
            <v>2026</v>
          </cell>
          <cell r="BZ601" t="str">
            <v>-</v>
          </cell>
          <cell r="CA601" t="str">
            <v>-</v>
          </cell>
        </row>
        <row r="602">
          <cell r="A602" t="str">
            <v>Noida</v>
          </cell>
          <cell r="B602" t="str">
            <v>Noida IT</v>
          </cell>
          <cell r="C602" t="str">
            <v>Mid Level</v>
          </cell>
          <cell r="D602" t="str">
            <v>Akash Saxena</v>
          </cell>
          <cell r="E602" t="str">
            <v>-</v>
          </cell>
          <cell r="F602" t="str">
            <v>Non-MSP</v>
          </cell>
          <cell r="H602" t="str">
            <v>Pass Through</v>
          </cell>
          <cell r="J602" t="str">
            <v>ACH</v>
          </cell>
          <cell r="L602" t="str">
            <v>New</v>
          </cell>
          <cell r="M602">
            <v>46062</v>
          </cell>
          <cell r="N602">
            <v>140</v>
          </cell>
          <cell r="P602">
            <v>46427</v>
          </cell>
          <cell r="Q602" t="str">
            <v>PLC-Passthrough</v>
          </cell>
          <cell r="R602" t="str">
            <v>Sarat Chandrika Brahmandam</v>
          </cell>
          <cell r="S602" t="str">
            <v>Individual</v>
          </cell>
          <cell r="T602" t="str">
            <v>C2C</v>
          </cell>
          <cell r="U602" t="str">
            <v>Hexaware</v>
          </cell>
          <cell r="V602">
            <v>74</v>
          </cell>
          <cell r="W602">
            <v>0</v>
          </cell>
          <cell r="X602" t="str">
            <v>USD</v>
          </cell>
          <cell r="Y602">
            <v>87</v>
          </cell>
          <cell r="Z602">
            <v>0</v>
          </cell>
          <cell r="AA602">
            <v>0</v>
          </cell>
          <cell r="AB602">
            <v>10</v>
          </cell>
          <cell r="AC602">
            <v>46127</v>
          </cell>
          <cell r="AD602">
            <v>22</v>
          </cell>
          <cell r="AE602">
            <v>46387</v>
          </cell>
          <cell r="AF602">
            <v>74</v>
          </cell>
          <cell r="AG602">
            <v>0</v>
          </cell>
          <cell r="AH602">
            <v>84</v>
          </cell>
          <cell r="AI602">
            <v>87</v>
          </cell>
          <cell r="AJ602">
            <v>0</v>
          </cell>
          <cell r="AK602">
            <v>0</v>
          </cell>
          <cell r="AL602">
            <v>3</v>
          </cell>
          <cell r="AM602">
            <v>0</v>
          </cell>
          <cell r="AN602">
            <v>3</v>
          </cell>
          <cell r="AO602">
            <v>0</v>
          </cell>
          <cell r="AP602">
            <v>3</v>
          </cell>
          <cell r="AQ602" t="str">
            <v>US_27631</v>
          </cell>
          <cell r="AR602">
            <v>0</v>
          </cell>
          <cell r="AS602">
            <v>176</v>
          </cell>
          <cell r="AU602">
            <v>176</v>
          </cell>
          <cell r="AV602">
            <v>0</v>
          </cell>
          <cell r="AW602">
            <v>528</v>
          </cell>
          <cell r="AX602">
            <v>522.72</v>
          </cell>
          <cell r="AY602">
            <v>0</v>
          </cell>
          <cell r="AZ602">
            <v>528</v>
          </cell>
          <cell r="BA602">
            <v>522.72</v>
          </cell>
          <cell r="BB602">
            <v>528</v>
          </cell>
          <cell r="BC602">
            <v>0</v>
          </cell>
          <cell r="BD602">
            <v>0</v>
          </cell>
          <cell r="BE602">
            <v>0</v>
          </cell>
          <cell r="BG602">
            <v>522.72</v>
          </cell>
          <cell r="BI602">
            <v>522.72</v>
          </cell>
          <cell r="BJ602">
            <v>15312</v>
          </cell>
          <cell r="BK602">
            <v>15312</v>
          </cell>
          <cell r="BL602">
            <v>13024</v>
          </cell>
          <cell r="BM602">
            <v>0</v>
          </cell>
          <cell r="BN602">
            <v>1760</v>
          </cell>
          <cell r="BO602">
            <v>0</v>
          </cell>
          <cell r="BP602">
            <v>14784</v>
          </cell>
          <cell r="BQ602">
            <v>10</v>
          </cell>
          <cell r="BR602">
            <v>528</v>
          </cell>
          <cell r="BT602">
            <v>2</v>
          </cell>
          <cell r="BU602">
            <v>1</v>
          </cell>
          <cell r="BV602" t="str">
            <v>Y</v>
          </cell>
          <cell r="BW602">
            <v>0</v>
          </cell>
          <cell r="BX602">
            <v>0</v>
          </cell>
          <cell r="BY602">
            <v>2026</v>
          </cell>
          <cell r="BZ602" t="str">
            <v>-</v>
          </cell>
          <cell r="CA602" t="str">
            <v>-</v>
          </cell>
        </row>
        <row r="603">
          <cell r="A603" t="str">
            <v>Noida</v>
          </cell>
          <cell r="B603" t="str">
            <v>Noida IT</v>
          </cell>
          <cell r="C603" t="str">
            <v>Mid Level</v>
          </cell>
          <cell r="D603" t="str">
            <v>Akash Saxena</v>
          </cell>
          <cell r="E603" t="str">
            <v>-</v>
          </cell>
          <cell r="F603" t="str">
            <v>Non-MSP</v>
          </cell>
          <cell r="H603" t="str">
            <v>Pass Through</v>
          </cell>
          <cell r="J603" t="str">
            <v>ACH</v>
          </cell>
          <cell r="L603" t="str">
            <v>New</v>
          </cell>
          <cell r="M603">
            <v>46062</v>
          </cell>
          <cell r="N603">
            <v>140</v>
          </cell>
          <cell r="P603">
            <v>46427</v>
          </cell>
          <cell r="Q603" t="str">
            <v>PLC-Passthrough</v>
          </cell>
          <cell r="R603" t="str">
            <v>Sarat Chandrika Brahmandam</v>
          </cell>
          <cell r="S603" t="str">
            <v>Individual</v>
          </cell>
          <cell r="T603" t="str">
            <v>C2C</v>
          </cell>
          <cell r="U603" t="str">
            <v>Hexaware</v>
          </cell>
          <cell r="V603">
            <v>74</v>
          </cell>
          <cell r="W603">
            <v>0</v>
          </cell>
          <cell r="X603" t="str">
            <v>USD</v>
          </cell>
          <cell r="Y603">
            <v>87</v>
          </cell>
          <cell r="Z603">
            <v>0</v>
          </cell>
          <cell r="AA603">
            <v>0</v>
          </cell>
          <cell r="AB603">
            <v>10</v>
          </cell>
          <cell r="AC603">
            <v>46157</v>
          </cell>
          <cell r="AD603">
            <v>22</v>
          </cell>
          <cell r="AE603">
            <v>46387</v>
          </cell>
          <cell r="AF603">
            <v>74</v>
          </cell>
          <cell r="AG603">
            <v>0</v>
          </cell>
          <cell r="AH603">
            <v>84</v>
          </cell>
          <cell r="AI603">
            <v>87</v>
          </cell>
          <cell r="AJ603">
            <v>0</v>
          </cell>
          <cell r="AK603">
            <v>0</v>
          </cell>
          <cell r="AL603">
            <v>3</v>
          </cell>
          <cell r="AM603">
            <v>0</v>
          </cell>
          <cell r="AN603">
            <v>3</v>
          </cell>
          <cell r="AO603">
            <v>0</v>
          </cell>
          <cell r="AP603">
            <v>3</v>
          </cell>
          <cell r="AQ603" t="str">
            <v>US_27753</v>
          </cell>
          <cell r="AR603">
            <v>0</v>
          </cell>
          <cell r="AS603">
            <v>160</v>
          </cell>
          <cell r="AU603">
            <v>160</v>
          </cell>
          <cell r="AV603">
            <v>0</v>
          </cell>
          <cell r="AW603">
            <v>480</v>
          </cell>
          <cell r="AX603">
            <v>475.2</v>
          </cell>
          <cell r="AY603">
            <v>0</v>
          </cell>
          <cell r="AZ603">
            <v>480</v>
          </cell>
          <cell r="BA603">
            <v>475.2</v>
          </cell>
          <cell r="BB603">
            <v>480</v>
          </cell>
          <cell r="BC603">
            <v>0</v>
          </cell>
          <cell r="BD603">
            <v>0</v>
          </cell>
          <cell r="BE603">
            <v>0</v>
          </cell>
          <cell r="BG603">
            <v>475.2</v>
          </cell>
          <cell r="BI603">
            <v>475.2</v>
          </cell>
          <cell r="BJ603">
            <v>13920</v>
          </cell>
          <cell r="BK603">
            <v>13920</v>
          </cell>
          <cell r="BL603">
            <v>11840</v>
          </cell>
          <cell r="BM603">
            <v>0</v>
          </cell>
          <cell r="BN603">
            <v>1600</v>
          </cell>
          <cell r="BO603">
            <v>0</v>
          </cell>
          <cell r="BP603">
            <v>13440</v>
          </cell>
          <cell r="BQ603">
            <v>10</v>
          </cell>
          <cell r="BR603">
            <v>480</v>
          </cell>
          <cell r="BT603">
            <v>2</v>
          </cell>
          <cell r="BU603">
            <v>1</v>
          </cell>
          <cell r="BV603" t="str">
            <v>Y</v>
          </cell>
          <cell r="BW603">
            <v>0</v>
          </cell>
          <cell r="BX603">
            <v>0</v>
          </cell>
          <cell r="BY603">
            <v>2026</v>
          </cell>
          <cell r="BZ603" t="str">
            <v>-</v>
          </cell>
          <cell r="CA603" t="str">
            <v>-</v>
          </cell>
        </row>
        <row r="604">
          <cell r="A604" t="str">
            <v>Lucknow</v>
          </cell>
          <cell r="B604" t="str">
            <v>Mavericks</v>
          </cell>
          <cell r="C604" t="str">
            <v>Mid Level</v>
          </cell>
          <cell r="D604" t="str">
            <v>Rohit Gupta</v>
          </cell>
          <cell r="E604" t="str">
            <v>-</v>
          </cell>
          <cell r="F604" t="str">
            <v>Non-MSP</v>
          </cell>
          <cell r="H604" t="str">
            <v>Nilesh Shahi</v>
          </cell>
          <cell r="L604" t="str">
            <v>New</v>
          </cell>
          <cell r="M604">
            <v>46097</v>
          </cell>
          <cell r="N604">
            <v>105</v>
          </cell>
          <cell r="P604">
            <v>46462</v>
          </cell>
          <cell r="Q604" t="str">
            <v>PLC-4757</v>
          </cell>
          <cell r="R604" t="str">
            <v>Sarath Babu Rajigari</v>
          </cell>
          <cell r="S604" t="str">
            <v>Individual</v>
          </cell>
          <cell r="T604" t="str">
            <v>C2C</v>
          </cell>
          <cell r="U604" t="str">
            <v>CoForge</v>
          </cell>
          <cell r="V604">
            <v>80</v>
          </cell>
          <cell r="W604">
            <v>0</v>
          </cell>
          <cell r="X604" t="str">
            <v>USD</v>
          </cell>
          <cell r="Y604">
            <v>88</v>
          </cell>
          <cell r="Z604">
            <v>0</v>
          </cell>
          <cell r="AA604">
            <v>0</v>
          </cell>
          <cell r="AB604">
            <v>0</v>
          </cell>
          <cell r="AC604">
            <v>46096</v>
          </cell>
          <cell r="AD604">
            <v>12</v>
          </cell>
          <cell r="AE604">
            <v>46387</v>
          </cell>
          <cell r="AF604">
            <v>80</v>
          </cell>
          <cell r="AG604">
            <v>0</v>
          </cell>
          <cell r="AH604">
            <v>80</v>
          </cell>
          <cell r="AI604">
            <v>88</v>
          </cell>
          <cell r="AJ604">
            <v>0</v>
          </cell>
          <cell r="AK604">
            <v>0</v>
          </cell>
          <cell r="AL604">
            <v>8</v>
          </cell>
          <cell r="AM604">
            <v>0</v>
          </cell>
          <cell r="AN604">
            <v>8</v>
          </cell>
          <cell r="AO604">
            <v>0</v>
          </cell>
          <cell r="AP604">
            <v>8</v>
          </cell>
          <cell r="AQ604" t="str">
            <v>US_27429</v>
          </cell>
          <cell r="AR604">
            <v>0</v>
          </cell>
          <cell r="AS604">
            <v>96</v>
          </cell>
          <cell r="AU604">
            <v>96</v>
          </cell>
          <cell r="AV604">
            <v>0</v>
          </cell>
          <cell r="AW604">
            <v>768</v>
          </cell>
          <cell r="AX604">
            <v>768</v>
          </cell>
          <cell r="AY604">
            <v>0</v>
          </cell>
          <cell r="AZ604">
            <v>768</v>
          </cell>
          <cell r="BA604">
            <v>768</v>
          </cell>
          <cell r="BB604">
            <v>768</v>
          </cell>
          <cell r="BC604">
            <v>50</v>
          </cell>
          <cell r="BD604">
            <v>1013.76</v>
          </cell>
          <cell r="BE604">
            <v>1013.76</v>
          </cell>
          <cell r="BG604">
            <v>768</v>
          </cell>
          <cell r="BI604">
            <v>768</v>
          </cell>
          <cell r="BJ604">
            <v>8448</v>
          </cell>
          <cell r="BK604">
            <v>8448</v>
          </cell>
          <cell r="BL604">
            <v>7680</v>
          </cell>
          <cell r="BM604">
            <v>0</v>
          </cell>
          <cell r="BN604">
            <v>0</v>
          </cell>
          <cell r="BO604">
            <v>0</v>
          </cell>
          <cell r="BP604">
            <v>7680</v>
          </cell>
          <cell r="BQ604">
            <v>0</v>
          </cell>
          <cell r="BR604">
            <v>768</v>
          </cell>
          <cell r="BS604" t="str">
            <v>Y</v>
          </cell>
          <cell r="BT604">
            <v>1</v>
          </cell>
          <cell r="BU604">
            <v>1</v>
          </cell>
          <cell r="BV604" t="str">
            <v>N</v>
          </cell>
          <cell r="BW604">
            <v>2027.52</v>
          </cell>
          <cell r="BX604">
            <v>2027.52</v>
          </cell>
          <cell r="BY604">
            <v>2026</v>
          </cell>
          <cell r="BZ604" t="str">
            <v>-</v>
          </cell>
          <cell r="CA604" t="str">
            <v>-</v>
          </cell>
        </row>
        <row r="605">
          <cell r="A605" t="str">
            <v>Lucknow</v>
          </cell>
          <cell r="B605" t="str">
            <v>Mavericks</v>
          </cell>
          <cell r="C605" t="str">
            <v>Mid Level</v>
          </cell>
          <cell r="D605" t="str">
            <v>Rohit Gupta</v>
          </cell>
          <cell r="E605" t="str">
            <v>-</v>
          </cell>
          <cell r="F605" t="str">
            <v>Non-MSP</v>
          </cell>
          <cell r="H605" t="str">
            <v>Nilesh Shahi</v>
          </cell>
          <cell r="J605" t="str">
            <v>ACH</v>
          </cell>
          <cell r="L605" t="str">
            <v>New</v>
          </cell>
          <cell r="M605">
            <v>46097</v>
          </cell>
          <cell r="N605">
            <v>105</v>
          </cell>
          <cell r="P605">
            <v>46462</v>
          </cell>
          <cell r="Q605" t="str">
            <v>PLC-4757</v>
          </cell>
          <cell r="R605" t="str">
            <v>Sarath Babu Rajigari</v>
          </cell>
          <cell r="S605" t="str">
            <v>Individual</v>
          </cell>
          <cell r="T605" t="str">
            <v>C2C</v>
          </cell>
          <cell r="U605" t="str">
            <v>CoForge</v>
          </cell>
          <cell r="V605">
            <v>80</v>
          </cell>
          <cell r="W605">
            <v>0</v>
          </cell>
          <cell r="X605" t="str">
            <v>USD</v>
          </cell>
          <cell r="Y605">
            <v>88</v>
          </cell>
          <cell r="Z605">
            <v>0</v>
          </cell>
          <cell r="AA605">
            <v>0</v>
          </cell>
          <cell r="AB605">
            <v>0</v>
          </cell>
          <cell r="AC605">
            <v>46127</v>
          </cell>
          <cell r="AD605">
            <v>22</v>
          </cell>
          <cell r="AE605">
            <v>46387</v>
          </cell>
          <cell r="AF605">
            <v>80</v>
          </cell>
          <cell r="AG605">
            <v>0</v>
          </cell>
          <cell r="AH605">
            <v>80</v>
          </cell>
          <cell r="AI605">
            <v>88</v>
          </cell>
          <cell r="AJ605">
            <v>0</v>
          </cell>
          <cell r="AK605">
            <v>0</v>
          </cell>
          <cell r="AL605">
            <v>8</v>
          </cell>
          <cell r="AM605">
            <v>0</v>
          </cell>
          <cell r="AN605">
            <v>8</v>
          </cell>
          <cell r="AO605">
            <v>0</v>
          </cell>
          <cell r="AP605">
            <v>8</v>
          </cell>
          <cell r="AQ605" t="str">
            <v>US_27659</v>
          </cell>
          <cell r="AR605">
            <v>0</v>
          </cell>
          <cell r="AS605">
            <v>168</v>
          </cell>
          <cell r="AU605">
            <v>168</v>
          </cell>
          <cell r="AV605">
            <v>0</v>
          </cell>
          <cell r="AW605">
            <v>1344</v>
          </cell>
          <cell r="AX605">
            <v>1330.56</v>
          </cell>
          <cell r="AY605">
            <v>0</v>
          </cell>
          <cell r="AZ605">
            <v>1344</v>
          </cell>
          <cell r="BA605">
            <v>1330.56</v>
          </cell>
          <cell r="BB605">
            <v>1344</v>
          </cell>
          <cell r="BC605">
            <v>50</v>
          </cell>
          <cell r="BD605">
            <v>1756.3391999999999</v>
          </cell>
          <cell r="BE605">
            <v>1756.3391999999999</v>
          </cell>
          <cell r="BG605">
            <v>1330.56</v>
          </cell>
          <cell r="BI605">
            <v>1330.56</v>
          </cell>
          <cell r="BJ605">
            <v>14784</v>
          </cell>
          <cell r="BK605">
            <v>14784</v>
          </cell>
          <cell r="BL605">
            <v>13440</v>
          </cell>
          <cell r="BM605">
            <v>0</v>
          </cell>
          <cell r="BN605">
            <v>0</v>
          </cell>
          <cell r="BO605">
            <v>0</v>
          </cell>
          <cell r="BP605">
            <v>13440</v>
          </cell>
          <cell r="BQ605">
            <v>0</v>
          </cell>
          <cell r="BR605">
            <v>1344</v>
          </cell>
          <cell r="BT605">
            <v>2</v>
          </cell>
          <cell r="BU605">
            <v>1</v>
          </cell>
          <cell r="BV605" t="str">
            <v>N</v>
          </cell>
          <cell r="BW605">
            <v>3512.6783999999998</v>
          </cell>
          <cell r="BX605">
            <v>3512.6783999999998</v>
          </cell>
          <cell r="BY605">
            <v>2026</v>
          </cell>
          <cell r="BZ605" t="str">
            <v>-</v>
          </cell>
          <cell r="CA605" t="str">
            <v>-</v>
          </cell>
        </row>
        <row r="606">
          <cell r="A606" t="str">
            <v>Lucknow</v>
          </cell>
          <cell r="B606" t="str">
            <v>Mavericks</v>
          </cell>
          <cell r="C606" t="str">
            <v>Mid Level</v>
          </cell>
          <cell r="D606" t="str">
            <v>Rohit Gupta</v>
          </cell>
          <cell r="E606" t="str">
            <v>-</v>
          </cell>
          <cell r="F606" t="str">
            <v>Non-MSP</v>
          </cell>
          <cell r="H606" t="str">
            <v>Nilesh Shahi</v>
          </cell>
          <cell r="J606" t="str">
            <v>ACH</v>
          </cell>
          <cell r="L606" t="str">
            <v>New</v>
          </cell>
          <cell r="M606">
            <v>46097</v>
          </cell>
          <cell r="N606">
            <v>105</v>
          </cell>
          <cell r="P606">
            <v>46462</v>
          </cell>
          <cell r="Q606" t="str">
            <v>PLC-4757</v>
          </cell>
          <cell r="R606" t="str">
            <v>Sarath Babu Rajigari</v>
          </cell>
          <cell r="S606" t="str">
            <v>Individual</v>
          </cell>
          <cell r="T606" t="str">
            <v>C2C</v>
          </cell>
          <cell r="U606" t="str">
            <v>CoForge</v>
          </cell>
          <cell r="V606">
            <v>80</v>
          </cell>
          <cell r="W606">
            <v>0</v>
          </cell>
          <cell r="X606" t="str">
            <v>USD</v>
          </cell>
          <cell r="Y606">
            <v>88</v>
          </cell>
          <cell r="Z606">
            <v>0</v>
          </cell>
          <cell r="AA606">
            <v>0</v>
          </cell>
          <cell r="AB606">
            <v>0</v>
          </cell>
          <cell r="AC606">
            <v>46157</v>
          </cell>
          <cell r="AD606">
            <v>22</v>
          </cell>
          <cell r="AE606">
            <v>46387</v>
          </cell>
          <cell r="AF606">
            <v>80</v>
          </cell>
          <cell r="AG606">
            <v>0</v>
          </cell>
          <cell r="AH606">
            <v>80</v>
          </cell>
          <cell r="AI606">
            <v>88</v>
          </cell>
          <cell r="AJ606">
            <v>0</v>
          </cell>
          <cell r="AK606">
            <v>0</v>
          </cell>
          <cell r="AL606">
            <v>8</v>
          </cell>
          <cell r="AM606">
            <v>0</v>
          </cell>
          <cell r="AN606">
            <v>8</v>
          </cell>
          <cell r="AO606">
            <v>0</v>
          </cell>
          <cell r="AP606">
            <v>8</v>
          </cell>
          <cell r="AQ606" t="str">
            <v>US_27938</v>
          </cell>
          <cell r="AR606">
            <v>0</v>
          </cell>
          <cell r="AS606">
            <v>160</v>
          </cell>
          <cell r="AU606">
            <v>160</v>
          </cell>
          <cell r="AV606">
            <v>0</v>
          </cell>
          <cell r="AW606">
            <v>1280</v>
          </cell>
          <cell r="AX606">
            <v>1267.2</v>
          </cell>
          <cell r="AY606">
            <v>0</v>
          </cell>
          <cell r="AZ606">
            <v>1280</v>
          </cell>
          <cell r="BA606">
            <v>1267.2</v>
          </cell>
          <cell r="BB606">
            <v>1280</v>
          </cell>
          <cell r="BC606">
            <v>50</v>
          </cell>
          <cell r="BD606">
            <v>1672.704</v>
          </cell>
          <cell r="BE606">
            <v>1672.704</v>
          </cell>
          <cell r="BG606">
            <v>1267.2</v>
          </cell>
          <cell r="BI606">
            <v>1267.2</v>
          </cell>
          <cell r="BJ606">
            <v>14080</v>
          </cell>
          <cell r="BK606">
            <v>14080</v>
          </cell>
          <cell r="BL606">
            <v>12800</v>
          </cell>
          <cell r="BM606">
            <v>0</v>
          </cell>
          <cell r="BN606">
            <v>0</v>
          </cell>
          <cell r="BO606">
            <v>0</v>
          </cell>
          <cell r="BP606">
            <v>12800</v>
          </cell>
          <cell r="BQ606">
            <v>0</v>
          </cell>
          <cell r="BR606">
            <v>1280</v>
          </cell>
          <cell r="BT606">
            <v>2</v>
          </cell>
          <cell r="BU606">
            <v>1</v>
          </cell>
          <cell r="BV606" t="str">
            <v>N</v>
          </cell>
          <cell r="BW606">
            <v>3345.4079999999999</v>
          </cell>
          <cell r="BX606">
            <v>3345.4079999999999</v>
          </cell>
          <cell r="BY606">
            <v>2026</v>
          </cell>
          <cell r="BZ606" t="str">
            <v>-</v>
          </cell>
          <cell r="CA606" t="str">
            <v>-</v>
          </cell>
        </row>
        <row r="607">
          <cell r="A607" t="str">
            <v>Chennai</v>
          </cell>
          <cell r="B607" t="str">
            <v>Chennai</v>
          </cell>
          <cell r="C607" t="str">
            <v>Mid Level</v>
          </cell>
          <cell r="D607" t="str">
            <v>Akbar Ibrahim</v>
          </cell>
          <cell r="E607" t="str">
            <v>-</v>
          </cell>
          <cell r="F607" t="str">
            <v>Non-MSP</v>
          </cell>
          <cell r="H607" t="str">
            <v>R Richardson</v>
          </cell>
          <cell r="L607" t="str">
            <v>New</v>
          </cell>
          <cell r="M607">
            <v>46029</v>
          </cell>
          <cell r="N607">
            <v>173</v>
          </cell>
          <cell r="P607">
            <v>46394</v>
          </cell>
          <cell r="Q607" t="str">
            <v>PLC-4671</v>
          </cell>
          <cell r="R607" t="str">
            <v>Satheesh Kumar Sukumar</v>
          </cell>
          <cell r="S607" t="str">
            <v>Individual</v>
          </cell>
          <cell r="T607" t="str">
            <v>C2C Canada</v>
          </cell>
          <cell r="U607" t="str">
            <v>CoForge</v>
          </cell>
          <cell r="V607">
            <v>85</v>
          </cell>
          <cell r="W607">
            <v>0</v>
          </cell>
          <cell r="X607" t="str">
            <v>CAD</v>
          </cell>
          <cell r="Y607">
            <v>95</v>
          </cell>
          <cell r="Z607">
            <v>0</v>
          </cell>
          <cell r="AA607">
            <v>0</v>
          </cell>
          <cell r="AB607">
            <v>0</v>
          </cell>
          <cell r="AC607">
            <v>46037</v>
          </cell>
          <cell r="AD607">
            <v>18</v>
          </cell>
          <cell r="AE607">
            <v>46387</v>
          </cell>
          <cell r="AF607">
            <v>60.349999999999994</v>
          </cell>
          <cell r="AG607">
            <v>0</v>
          </cell>
          <cell r="AH607">
            <v>60.349999999999994</v>
          </cell>
          <cell r="AI607">
            <v>67.45</v>
          </cell>
          <cell r="AJ607">
            <v>0</v>
          </cell>
          <cell r="AK607">
            <v>0</v>
          </cell>
          <cell r="AL607">
            <v>7.1000000000000085</v>
          </cell>
          <cell r="AM607">
            <v>0</v>
          </cell>
          <cell r="AN607">
            <v>7.1000000000000085</v>
          </cell>
          <cell r="AO607">
            <v>0</v>
          </cell>
          <cell r="AP607">
            <v>7.1000000000000085</v>
          </cell>
          <cell r="AQ607" t="str">
            <v>CAD_1930</v>
          </cell>
          <cell r="AR607">
            <v>0</v>
          </cell>
          <cell r="AS607">
            <v>136</v>
          </cell>
          <cell r="AU607">
            <v>136</v>
          </cell>
          <cell r="AV607">
            <v>0</v>
          </cell>
          <cell r="AW607">
            <v>965.60000000000116</v>
          </cell>
          <cell r="AX607">
            <v>965.60000000000116</v>
          </cell>
          <cell r="AY607">
            <v>0</v>
          </cell>
          <cell r="AZ607">
            <v>965.60000000000116</v>
          </cell>
          <cell r="BA607">
            <v>965.60000000000116</v>
          </cell>
          <cell r="BB607">
            <v>965.60000000000116</v>
          </cell>
          <cell r="BC607">
            <v>0</v>
          </cell>
          <cell r="BD607">
            <v>0</v>
          </cell>
          <cell r="BE607">
            <v>0</v>
          </cell>
          <cell r="BG607">
            <v>965.60000000000116</v>
          </cell>
          <cell r="BI607">
            <v>965.60000000000116</v>
          </cell>
          <cell r="BJ607">
            <v>12920</v>
          </cell>
          <cell r="BK607">
            <v>9173.2000000000007</v>
          </cell>
          <cell r="BL607">
            <v>8564.8040000000001</v>
          </cell>
          <cell r="BM607">
            <v>0</v>
          </cell>
          <cell r="BN607">
            <v>0</v>
          </cell>
          <cell r="BO607">
            <v>0</v>
          </cell>
          <cell r="BP607">
            <v>8564.8040000000001</v>
          </cell>
          <cell r="BQ607">
            <v>0</v>
          </cell>
          <cell r="BR607">
            <v>608.39600000000064</v>
          </cell>
          <cell r="BS607" t="str">
            <v>Y</v>
          </cell>
          <cell r="BT607">
            <v>1</v>
          </cell>
          <cell r="BU607">
            <v>1</v>
          </cell>
          <cell r="BV607" t="str">
            <v>Y</v>
          </cell>
          <cell r="BW607">
            <v>0</v>
          </cell>
          <cell r="BX607">
            <v>0</v>
          </cell>
          <cell r="BY607">
            <v>2026</v>
          </cell>
          <cell r="BZ607" t="str">
            <v>-</v>
          </cell>
          <cell r="CA607" t="str">
            <v>-</v>
          </cell>
        </row>
        <row r="608">
          <cell r="A608" t="str">
            <v>Chennai</v>
          </cell>
          <cell r="B608" t="str">
            <v>Chennai</v>
          </cell>
          <cell r="C608" t="str">
            <v>Mid Level</v>
          </cell>
          <cell r="D608" t="str">
            <v>Akbar Ibrahim</v>
          </cell>
          <cell r="E608" t="str">
            <v>-</v>
          </cell>
          <cell r="F608" t="str">
            <v>Non-MSP</v>
          </cell>
          <cell r="H608" t="str">
            <v>R Richardson</v>
          </cell>
          <cell r="L608" t="str">
            <v>New</v>
          </cell>
          <cell r="M608">
            <v>46029</v>
          </cell>
          <cell r="N608">
            <v>173</v>
          </cell>
          <cell r="P608">
            <v>46394</v>
          </cell>
          <cell r="Q608" t="str">
            <v>PLC-4671</v>
          </cell>
          <cell r="R608" t="str">
            <v>Satheesh Kumar Sukumar</v>
          </cell>
          <cell r="S608" t="str">
            <v>Individual</v>
          </cell>
          <cell r="T608" t="str">
            <v>C2C Canada</v>
          </cell>
          <cell r="U608" t="str">
            <v>CoForge</v>
          </cell>
          <cell r="V608">
            <v>85</v>
          </cell>
          <cell r="W608">
            <v>0</v>
          </cell>
          <cell r="X608" t="str">
            <v>CAD</v>
          </cell>
          <cell r="Y608">
            <v>95</v>
          </cell>
          <cell r="Z608">
            <v>0</v>
          </cell>
          <cell r="AA608">
            <v>0</v>
          </cell>
          <cell r="AB608">
            <v>0</v>
          </cell>
          <cell r="AC608">
            <v>46068</v>
          </cell>
          <cell r="AD608">
            <v>20</v>
          </cell>
          <cell r="AE608">
            <v>46387</v>
          </cell>
          <cell r="AF608">
            <v>60.349999999999994</v>
          </cell>
          <cell r="AG608">
            <v>0</v>
          </cell>
          <cell r="AH608">
            <v>60.349999999999994</v>
          </cell>
          <cell r="AI608">
            <v>67.45</v>
          </cell>
          <cell r="AJ608">
            <v>0</v>
          </cell>
          <cell r="AK608">
            <v>0</v>
          </cell>
          <cell r="AL608">
            <v>7.1000000000000085</v>
          </cell>
          <cell r="AM608">
            <v>0</v>
          </cell>
          <cell r="AN608">
            <v>7.1000000000000085</v>
          </cell>
          <cell r="AO608">
            <v>0</v>
          </cell>
          <cell r="AP608">
            <v>7.1000000000000085</v>
          </cell>
          <cell r="AQ608" t="str">
            <v>CAD_1960</v>
          </cell>
          <cell r="AR608">
            <v>0</v>
          </cell>
          <cell r="AS608">
            <v>152</v>
          </cell>
          <cell r="AU608">
            <v>152</v>
          </cell>
          <cell r="AV608">
            <v>0</v>
          </cell>
          <cell r="AW608">
            <v>1079.2000000000012</v>
          </cell>
          <cell r="AX608">
            <v>1079.2000000000012</v>
          </cell>
          <cell r="AY608">
            <v>0</v>
          </cell>
          <cell r="AZ608">
            <v>1079.2000000000012</v>
          </cell>
          <cell r="BA608">
            <v>1079.2000000000012</v>
          </cell>
          <cell r="BB608">
            <v>1079.2000000000012</v>
          </cell>
          <cell r="BC608">
            <v>0</v>
          </cell>
          <cell r="BD608">
            <v>0</v>
          </cell>
          <cell r="BE608">
            <v>0</v>
          </cell>
          <cell r="BG608">
            <v>1079.2000000000012</v>
          </cell>
          <cell r="BI608">
            <v>1079.2000000000012</v>
          </cell>
          <cell r="BJ608">
            <v>14440</v>
          </cell>
          <cell r="BK608">
            <v>10252.4</v>
          </cell>
          <cell r="BL608">
            <v>9572.4279999999999</v>
          </cell>
          <cell r="BM608">
            <v>0</v>
          </cell>
          <cell r="BN608">
            <v>0</v>
          </cell>
          <cell r="BO608">
            <v>0</v>
          </cell>
          <cell r="BP608">
            <v>9572.4279999999999</v>
          </cell>
          <cell r="BQ608">
            <v>0</v>
          </cell>
          <cell r="BR608">
            <v>679.97199999999975</v>
          </cell>
          <cell r="BS608" t="str">
            <v>Y</v>
          </cell>
          <cell r="BT608">
            <v>1</v>
          </cell>
          <cell r="BU608">
            <v>1</v>
          </cell>
          <cell r="BV608" t="str">
            <v>Y</v>
          </cell>
          <cell r="BW608">
            <v>0</v>
          </cell>
          <cell r="BX608">
            <v>0</v>
          </cell>
          <cell r="BY608">
            <v>2026</v>
          </cell>
          <cell r="BZ608" t="str">
            <v>-</v>
          </cell>
          <cell r="CA608" t="str">
            <v>-</v>
          </cell>
        </row>
        <row r="609">
          <cell r="A609" t="str">
            <v>Lucknow</v>
          </cell>
          <cell r="B609" t="str">
            <v>Mavericks</v>
          </cell>
          <cell r="C609" t="str">
            <v>Mid Level</v>
          </cell>
          <cell r="D609" t="str">
            <v>Akbar Ibrahim</v>
          </cell>
          <cell r="E609" t="str">
            <v>-</v>
          </cell>
          <cell r="F609" t="str">
            <v>MSP</v>
          </cell>
          <cell r="H609" t="str">
            <v>Pass Through</v>
          </cell>
          <cell r="L609" t="str">
            <v>New</v>
          </cell>
          <cell r="M609">
            <v>46045</v>
          </cell>
          <cell r="N609">
            <v>157</v>
          </cell>
          <cell r="P609">
            <v>46410</v>
          </cell>
          <cell r="Q609" t="str">
            <v>PLC-Passthrough</v>
          </cell>
          <cell r="R609" t="str">
            <v>Satyanarayana Bellamkonda</v>
          </cell>
          <cell r="S609" t="str">
            <v>Individual</v>
          </cell>
          <cell r="T609" t="str">
            <v>C2C</v>
          </cell>
          <cell r="U609" t="str">
            <v>Cigniti</v>
          </cell>
          <cell r="V609">
            <v>84</v>
          </cell>
          <cell r="W609">
            <v>0</v>
          </cell>
          <cell r="X609" t="str">
            <v>USD</v>
          </cell>
          <cell r="Y609">
            <v>85</v>
          </cell>
          <cell r="Z609">
            <v>0</v>
          </cell>
          <cell r="AA609">
            <v>0</v>
          </cell>
          <cell r="AB609">
            <v>0</v>
          </cell>
          <cell r="AC609">
            <v>46037</v>
          </cell>
          <cell r="AD609">
            <v>6</v>
          </cell>
          <cell r="AE609">
            <v>46387</v>
          </cell>
          <cell r="AF609">
            <v>84</v>
          </cell>
          <cell r="AG609">
            <v>0</v>
          </cell>
          <cell r="AH609">
            <v>84</v>
          </cell>
          <cell r="AI609">
            <v>85</v>
          </cell>
          <cell r="AJ609">
            <v>0</v>
          </cell>
          <cell r="AK609">
            <v>0</v>
          </cell>
          <cell r="AL609">
            <v>1</v>
          </cell>
          <cell r="AM609">
            <v>0</v>
          </cell>
          <cell r="AN609">
            <v>1</v>
          </cell>
          <cell r="AO609">
            <v>0</v>
          </cell>
          <cell r="AP609">
            <v>1</v>
          </cell>
          <cell r="AQ609" t="str">
            <v>US_CMSP_00319</v>
          </cell>
          <cell r="AR609">
            <v>0</v>
          </cell>
          <cell r="AS609">
            <v>21</v>
          </cell>
          <cell r="AU609">
            <v>21</v>
          </cell>
          <cell r="AV609">
            <v>0</v>
          </cell>
          <cell r="AW609">
            <v>21</v>
          </cell>
          <cell r="AX609">
            <v>21</v>
          </cell>
          <cell r="AY609">
            <v>0</v>
          </cell>
          <cell r="AZ609">
            <v>21</v>
          </cell>
          <cell r="BA609">
            <v>21</v>
          </cell>
          <cell r="BB609">
            <v>21</v>
          </cell>
          <cell r="BC609">
            <v>0</v>
          </cell>
          <cell r="BD609">
            <v>0</v>
          </cell>
          <cell r="BE609">
            <v>0</v>
          </cell>
          <cell r="BG609">
            <v>21</v>
          </cell>
          <cell r="BI609">
            <v>21</v>
          </cell>
          <cell r="BJ609">
            <v>1785</v>
          </cell>
          <cell r="BK609">
            <v>1785</v>
          </cell>
          <cell r="BL609">
            <v>1764</v>
          </cell>
          <cell r="BM609">
            <v>0</v>
          </cell>
          <cell r="BN609">
            <v>0</v>
          </cell>
          <cell r="BO609">
            <v>0</v>
          </cell>
          <cell r="BP609">
            <v>1764</v>
          </cell>
          <cell r="BQ609">
            <v>0</v>
          </cell>
          <cell r="BR609">
            <v>21</v>
          </cell>
          <cell r="BT609">
            <v>1</v>
          </cell>
          <cell r="BU609">
            <v>1</v>
          </cell>
          <cell r="BV609" t="str">
            <v>Y</v>
          </cell>
          <cell r="BW609">
            <v>0</v>
          </cell>
          <cell r="BX609">
            <v>0</v>
          </cell>
          <cell r="BY609">
            <v>2026</v>
          </cell>
          <cell r="BZ609" t="str">
            <v>-</v>
          </cell>
          <cell r="CA609" t="str">
            <v>-</v>
          </cell>
        </row>
        <row r="610">
          <cell r="A610" t="str">
            <v>Lucknow</v>
          </cell>
          <cell r="B610" t="str">
            <v>Mavericks</v>
          </cell>
          <cell r="C610" t="str">
            <v>Mid Level</v>
          </cell>
          <cell r="D610" t="str">
            <v>Akbar Ibrahim</v>
          </cell>
          <cell r="E610" t="str">
            <v>-</v>
          </cell>
          <cell r="F610" t="str">
            <v>MSP</v>
          </cell>
          <cell r="H610" t="str">
            <v>Pass Through</v>
          </cell>
          <cell r="L610" t="str">
            <v>New</v>
          </cell>
          <cell r="M610">
            <v>46045</v>
          </cell>
          <cell r="N610">
            <v>157</v>
          </cell>
          <cell r="P610">
            <v>46410</v>
          </cell>
          <cell r="Q610" t="str">
            <v>PLC-Passthrough</v>
          </cell>
          <cell r="R610" t="str">
            <v>Satyanarayana Bellamkonda</v>
          </cell>
          <cell r="S610" t="str">
            <v>Individual</v>
          </cell>
          <cell r="T610" t="str">
            <v>C2C</v>
          </cell>
          <cell r="U610" t="str">
            <v>Cigniti</v>
          </cell>
          <cell r="V610">
            <v>84</v>
          </cell>
          <cell r="W610">
            <v>0</v>
          </cell>
          <cell r="X610" t="str">
            <v>USD</v>
          </cell>
          <cell r="Y610">
            <v>85</v>
          </cell>
          <cell r="Z610">
            <v>0</v>
          </cell>
          <cell r="AA610">
            <v>0</v>
          </cell>
          <cell r="AB610">
            <v>0</v>
          </cell>
          <cell r="AC610">
            <v>46068</v>
          </cell>
          <cell r="AD610">
            <v>20</v>
          </cell>
          <cell r="AE610">
            <v>46387</v>
          </cell>
          <cell r="AF610">
            <v>84</v>
          </cell>
          <cell r="AG610">
            <v>0</v>
          </cell>
          <cell r="AH610">
            <v>84</v>
          </cell>
          <cell r="AI610">
            <v>85</v>
          </cell>
          <cell r="AJ610">
            <v>0</v>
          </cell>
          <cell r="AK610">
            <v>0</v>
          </cell>
          <cell r="AL610">
            <v>1</v>
          </cell>
          <cell r="AM610">
            <v>0</v>
          </cell>
          <cell r="AN610">
            <v>1</v>
          </cell>
          <cell r="AO610">
            <v>0</v>
          </cell>
          <cell r="AP610">
            <v>1</v>
          </cell>
          <cell r="AU610">
            <v>160</v>
          </cell>
          <cell r="BB610">
            <v>160</v>
          </cell>
          <cell r="BC610">
            <v>0</v>
          </cell>
          <cell r="BD610">
            <v>0</v>
          </cell>
          <cell r="BE610">
            <v>0</v>
          </cell>
          <cell r="BK610">
            <v>13600</v>
          </cell>
          <cell r="BL610">
            <v>13440</v>
          </cell>
          <cell r="BM610">
            <v>0</v>
          </cell>
          <cell r="BN610">
            <v>0</v>
          </cell>
          <cell r="BO610">
            <v>0</v>
          </cell>
          <cell r="BP610">
            <v>13440</v>
          </cell>
          <cell r="BQ610">
            <v>0</v>
          </cell>
          <cell r="BR610">
            <v>160</v>
          </cell>
          <cell r="BT610">
            <v>1</v>
          </cell>
          <cell r="BU610">
            <v>1</v>
          </cell>
          <cell r="BV610" t="str">
            <v>Y</v>
          </cell>
          <cell r="BW610">
            <v>0</v>
          </cell>
          <cell r="BX610">
            <v>0</v>
          </cell>
          <cell r="BY610">
            <v>2026</v>
          </cell>
          <cell r="BZ610" t="str">
            <v>-</v>
          </cell>
          <cell r="CA610" t="str">
            <v>-</v>
          </cell>
        </row>
        <row r="611">
          <cell r="A611" t="str">
            <v>Lucknow</v>
          </cell>
          <cell r="B611" t="str">
            <v>Mavericks</v>
          </cell>
          <cell r="C611" t="str">
            <v>Mid Level</v>
          </cell>
          <cell r="D611" t="str">
            <v>Akbar Ibrahim</v>
          </cell>
          <cell r="E611" t="str">
            <v>-</v>
          </cell>
          <cell r="F611" t="str">
            <v>MSP</v>
          </cell>
          <cell r="H611" t="str">
            <v>Pass Through</v>
          </cell>
          <cell r="L611" t="str">
            <v>New</v>
          </cell>
          <cell r="M611">
            <v>46045</v>
          </cell>
          <cell r="N611">
            <v>157</v>
          </cell>
          <cell r="P611">
            <v>46410</v>
          </cell>
          <cell r="Q611" t="str">
            <v>PLC-Passthrough</v>
          </cell>
          <cell r="R611" t="str">
            <v>Satyanarayana Bellamkonda</v>
          </cell>
          <cell r="S611" t="str">
            <v>Individual</v>
          </cell>
          <cell r="T611" t="str">
            <v>C2C</v>
          </cell>
          <cell r="U611" t="str">
            <v>Cigniti</v>
          </cell>
          <cell r="V611">
            <v>84</v>
          </cell>
          <cell r="W611">
            <v>0</v>
          </cell>
          <cell r="X611" t="str">
            <v>USD</v>
          </cell>
          <cell r="Y611">
            <v>85</v>
          </cell>
          <cell r="Z611">
            <v>0</v>
          </cell>
          <cell r="AA611">
            <v>0</v>
          </cell>
          <cell r="AB611">
            <v>0</v>
          </cell>
          <cell r="AC611">
            <v>46096</v>
          </cell>
          <cell r="AD611">
            <v>22</v>
          </cell>
          <cell r="AE611">
            <v>46387</v>
          </cell>
          <cell r="AF611">
            <v>84</v>
          </cell>
          <cell r="AG611">
            <v>0</v>
          </cell>
          <cell r="AH611">
            <v>84</v>
          </cell>
          <cell r="AI611">
            <v>85</v>
          </cell>
          <cell r="AJ611">
            <v>0</v>
          </cell>
          <cell r="AK611">
            <v>0</v>
          </cell>
          <cell r="AL611">
            <v>1</v>
          </cell>
          <cell r="AM611">
            <v>0</v>
          </cell>
          <cell r="AN611">
            <v>1</v>
          </cell>
          <cell r="AO611">
            <v>0</v>
          </cell>
          <cell r="AP611">
            <v>1</v>
          </cell>
          <cell r="AU611">
            <v>176</v>
          </cell>
          <cell r="BB611">
            <v>176</v>
          </cell>
          <cell r="BC611">
            <v>0</v>
          </cell>
          <cell r="BD611">
            <v>0</v>
          </cell>
          <cell r="BE611">
            <v>0</v>
          </cell>
          <cell r="BK611">
            <v>14960</v>
          </cell>
          <cell r="BL611">
            <v>14784</v>
          </cell>
          <cell r="BM611">
            <v>0</v>
          </cell>
          <cell r="BN611">
            <v>0</v>
          </cell>
          <cell r="BO611">
            <v>0</v>
          </cell>
          <cell r="BP611">
            <v>14784</v>
          </cell>
          <cell r="BQ611">
            <v>0</v>
          </cell>
          <cell r="BR611">
            <v>176</v>
          </cell>
          <cell r="BT611">
            <v>1</v>
          </cell>
          <cell r="BU611">
            <v>1</v>
          </cell>
          <cell r="BV611" t="str">
            <v>Y</v>
          </cell>
          <cell r="BW611">
            <v>0</v>
          </cell>
          <cell r="BX611">
            <v>0</v>
          </cell>
          <cell r="BY611">
            <v>2026</v>
          </cell>
          <cell r="BZ611" t="str">
            <v>-</v>
          </cell>
          <cell r="CA611" t="str">
            <v>-</v>
          </cell>
        </row>
        <row r="612">
          <cell r="A612" t="str">
            <v>Noida</v>
          </cell>
          <cell r="B612" t="str">
            <v>Noida IT</v>
          </cell>
          <cell r="C612" t="str">
            <v>Mid Level</v>
          </cell>
          <cell r="D612" t="str">
            <v>Akash Saxena</v>
          </cell>
          <cell r="E612" t="str">
            <v>-</v>
          </cell>
          <cell r="F612" t="str">
            <v>Non-MSP</v>
          </cell>
          <cell r="H612" t="str">
            <v>Prashant Pal</v>
          </cell>
          <cell r="L612" t="str">
            <v>New</v>
          </cell>
          <cell r="M612">
            <v>46090</v>
          </cell>
          <cell r="N612">
            <v>112</v>
          </cell>
          <cell r="O612">
            <v>46139</v>
          </cell>
          <cell r="P612">
            <v>46455</v>
          </cell>
          <cell r="Q612" t="str">
            <v>PLC-4777</v>
          </cell>
          <cell r="R612" t="str">
            <v>Sayali Narayan Mahamulkar</v>
          </cell>
          <cell r="S612" t="str">
            <v>Individual</v>
          </cell>
          <cell r="T612" t="str">
            <v>C2C</v>
          </cell>
          <cell r="U612" t="str">
            <v>Citius Tech</v>
          </cell>
          <cell r="V612">
            <v>60</v>
          </cell>
          <cell r="W612">
            <v>0</v>
          </cell>
          <cell r="X612" t="str">
            <v>USD</v>
          </cell>
          <cell r="Y612">
            <v>71</v>
          </cell>
          <cell r="Z612">
            <v>0</v>
          </cell>
          <cell r="AA612">
            <v>0</v>
          </cell>
          <cell r="AB612">
            <v>2</v>
          </cell>
          <cell r="AC612">
            <v>46096</v>
          </cell>
          <cell r="AD612">
            <v>17</v>
          </cell>
          <cell r="AE612">
            <v>46387</v>
          </cell>
          <cell r="AF612">
            <v>60</v>
          </cell>
          <cell r="AG612">
            <v>0</v>
          </cell>
          <cell r="AH612">
            <v>62</v>
          </cell>
          <cell r="AI612">
            <v>71</v>
          </cell>
          <cell r="AJ612">
            <v>0</v>
          </cell>
          <cell r="AK612">
            <v>0</v>
          </cell>
          <cell r="AL612">
            <v>9</v>
          </cell>
          <cell r="AM612">
            <v>0</v>
          </cell>
          <cell r="AN612">
            <v>9</v>
          </cell>
          <cell r="AO612">
            <v>0</v>
          </cell>
          <cell r="AP612">
            <v>9</v>
          </cell>
          <cell r="AQ612" t="str">
            <v>US_27430</v>
          </cell>
          <cell r="AR612">
            <v>0</v>
          </cell>
          <cell r="AS612">
            <v>136</v>
          </cell>
          <cell r="AU612">
            <v>136</v>
          </cell>
          <cell r="AV612">
            <v>0</v>
          </cell>
          <cell r="AW612">
            <v>1224</v>
          </cell>
          <cell r="AX612">
            <v>1224</v>
          </cell>
          <cell r="AY612">
            <v>0</v>
          </cell>
          <cell r="AZ612">
            <v>1224</v>
          </cell>
          <cell r="BA612">
            <v>1224</v>
          </cell>
          <cell r="BB612">
            <v>1224</v>
          </cell>
          <cell r="BC612">
            <v>0</v>
          </cell>
          <cell r="BD612">
            <v>0</v>
          </cell>
          <cell r="BE612">
            <v>0</v>
          </cell>
          <cell r="BG612">
            <v>1224</v>
          </cell>
          <cell r="BI612">
            <v>1224</v>
          </cell>
          <cell r="BJ612">
            <v>9656</v>
          </cell>
          <cell r="BK612">
            <v>9656</v>
          </cell>
          <cell r="BL612">
            <v>8160</v>
          </cell>
          <cell r="BM612">
            <v>0</v>
          </cell>
          <cell r="BN612">
            <v>272</v>
          </cell>
          <cell r="BO612">
            <v>0</v>
          </cell>
          <cell r="BP612">
            <v>8432</v>
          </cell>
          <cell r="BQ612">
            <v>2</v>
          </cell>
          <cell r="BR612">
            <v>1224</v>
          </cell>
          <cell r="BT612">
            <v>1</v>
          </cell>
          <cell r="BU612">
            <v>1</v>
          </cell>
          <cell r="BV612" t="str">
            <v>N</v>
          </cell>
          <cell r="BW612">
            <v>0</v>
          </cell>
          <cell r="BX612">
            <v>0</v>
          </cell>
          <cell r="BY612">
            <v>2026</v>
          </cell>
          <cell r="BZ612" t="str">
            <v>-</v>
          </cell>
          <cell r="CA612" t="str">
            <v>-</v>
          </cell>
        </row>
        <row r="613">
          <cell r="A613" t="str">
            <v>Noida</v>
          </cell>
          <cell r="B613" t="str">
            <v>Noida IT</v>
          </cell>
          <cell r="C613" t="str">
            <v>Mid Level</v>
          </cell>
          <cell r="D613" t="str">
            <v>Akash Saxena</v>
          </cell>
          <cell r="E613" t="str">
            <v>-</v>
          </cell>
          <cell r="F613" t="str">
            <v>Non-MSP</v>
          </cell>
          <cell r="H613" t="str">
            <v>Prashant Pal</v>
          </cell>
          <cell r="J613" t="str">
            <v>ACH</v>
          </cell>
          <cell r="L613" t="str">
            <v>New</v>
          </cell>
          <cell r="M613">
            <v>46090</v>
          </cell>
          <cell r="N613">
            <v>112</v>
          </cell>
          <cell r="O613">
            <v>46139</v>
          </cell>
          <cell r="P613">
            <v>46455</v>
          </cell>
          <cell r="Q613" t="str">
            <v>PLC-4777</v>
          </cell>
          <cell r="R613" t="str">
            <v>Sayali Narayan Mahamulkar</v>
          </cell>
          <cell r="S613" t="str">
            <v>Individual</v>
          </cell>
          <cell r="T613" t="str">
            <v>C2C</v>
          </cell>
          <cell r="U613" t="str">
            <v>Citius Tech</v>
          </cell>
          <cell r="V613">
            <v>60</v>
          </cell>
          <cell r="W613">
            <v>0</v>
          </cell>
          <cell r="X613" t="str">
            <v>USD</v>
          </cell>
          <cell r="Y613">
            <v>71</v>
          </cell>
          <cell r="Z613">
            <v>0</v>
          </cell>
          <cell r="AA613">
            <v>0</v>
          </cell>
          <cell r="AB613">
            <v>2</v>
          </cell>
          <cell r="AC613">
            <v>46127</v>
          </cell>
          <cell r="AD613">
            <v>22</v>
          </cell>
          <cell r="AE613">
            <v>46387</v>
          </cell>
          <cell r="AF613">
            <v>60</v>
          </cell>
          <cell r="AG613">
            <v>0</v>
          </cell>
          <cell r="AH613">
            <v>62</v>
          </cell>
          <cell r="AI613">
            <v>71</v>
          </cell>
          <cell r="AJ613">
            <v>0</v>
          </cell>
          <cell r="AK613">
            <v>0</v>
          </cell>
          <cell r="AL613">
            <v>9</v>
          </cell>
          <cell r="AM613">
            <v>0</v>
          </cell>
          <cell r="AN613">
            <v>9</v>
          </cell>
          <cell r="AO613">
            <v>0</v>
          </cell>
          <cell r="AP613">
            <v>9</v>
          </cell>
          <cell r="AQ613" t="str">
            <v>US_27660</v>
          </cell>
          <cell r="AR613">
            <v>0</v>
          </cell>
          <cell r="AS613">
            <v>152</v>
          </cell>
          <cell r="AU613">
            <v>152</v>
          </cell>
          <cell r="AV613">
            <v>0</v>
          </cell>
          <cell r="AW613">
            <v>1368</v>
          </cell>
          <cell r="AX613">
            <v>1354.32</v>
          </cell>
          <cell r="AY613">
            <v>0</v>
          </cell>
          <cell r="AZ613">
            <v>1368</v>
          </cell>
          <cell r="BA613">
            <v>1354.32</v>
          </cell>
          <cell r="BB613">
            <v>1368</v>
          </cell>
          <cell r="BC613">
            <v>0</v>
          </cell>
          <cell r="BD613">
            <v>0</v>
          </cell>
          <cell r="BE613">
            <v>0</v>
          </cell>
          <cell r="BG613">
            <v>1354.32</v>
          </cell>
          <cell r="BI613">
            <v>1354.32</v>
          </cell>
          <cell r="BJ613">
            <v>10792</v>
          </cell>
          <cell r="BK613">
            <v>10792</v>
          </cell>
          <cell r="BL613">
            <v>9120</v>
          </cell>
          <cell r="BM613">
            <v>0</v>
          </cell>
          <cell r="BN613">
            <v>304</v>
          </cell>
          <cell r="BO613">
            <v>0</v>
          </cell>
          <cell r="BP613">
            <v>9424</v>
          </cell>
          <cell r="BQ613">
            <v>2</v>
          </cell>
          <cell r="BR613">
            <v>1368</v>
          </cell>
          <cell r="BT613">
            <v>2</v>
          </cell>
          <cell r="BU613">
            <v>1</v>
          </cell>
          <cell r="BV613" t="str">
            <v>N</v>
          </cell>
          <cell r="BW613">
            <v>0</v>
          </cell>
          <cell r="BX613">
            <v>0</v>
          </cell>
          <cell r="BY613">
            <v>2026</v>
          </cell>
          <cell r="BZ613" t="str">
            <v>-</v>
          </cell>
          <cell r="CA613" t="str">
            <v>-</v>
          </cell>
        </row>
        <row r="614">
          <cell r="A614" t="str">
            <v>Lucknow</v>
          </cell>
          <cell r="B614" t="str">
            <v>Mavericks</v>
          </cell>
          <cell r="C614" t="str">
            <v>Mid Level</v>
          </cell>
          <cell r="D614" t="str">
            <v>Rohit Gupta</v>
          </cell>
          <cell r="E614" t="str">
            <v>Vivek Yadav</v>
          </cell>
          <cell r="F614" t="str">
            <v>Non-MSP</v>
          </cell>
          <cell r="H614" t="str">
            <v>Abhishek Mishra Mavericks</v>
          </cell>
          <cell r="J614" t="str">
            <v>ACH</v>
          </cell>
          <cell r="L614" t="str">
            <v>New</v>
          </cell>
          <cell r="M614">
            <v>46083</v>
          </cell>
          <cell r="N614">
            <v>119</v>
          </cell>
          <cell r="P614">
            <v>46448</v>
          </cell>
          <cell r="Q614" t="str">
            <v>PLC-4723</v>
          </cell>
          <cell r="R614" t="str">
            <v>Sayed Y Hashimi</v>
          </cell>
          <cell r="S614" t="str">
            <v>Individual</v>
          </cell>
          <cell r="T614" t="str">
            <v>C2C</v>
          </cell>
          <cell r="U614" t="str">
            <v>CoForge</v>
          </cell>
          <cell r="V614">
            <v>100</v>
          </cell>
          <cell r="W614">
            <v>0</v>
          </cell>
          <cell r="X614" t="str">
            <v>USD</v>
          </cell>
          <cell r="Y614">
            <v>105</v>
          </cell>
          <cell r="Z614">
            <v>0</v>
          </cell>
          <cell r="AA614">
            <v>0</v>
          </cell>
          <cell r="AB614">
            <v>0</v>
          </cell>
          <cell r="AC614">
            <v>46096</v>
          </cell>
          <cell r="AD614">
            <v>22</v>
          </cell>
          <cell r="AE614">
            <v>46387</v>
          </cell>
          <cell r="AF614">
            <v>100</v>
          </cell>
          <cell r="AG614">
            <v>0</v>
          </cell>
          <cell r="AH614">
            <v>100</v>
          </cell>
          <cell r="AI614">
            <v>105</v>
          </cell>
          <cell r="AJ614">
            <v>0</v>
          </cell>
          <cell r="AK614">
            <v>0</v>
          </cell>
          <cell r="AL614">
            <v>5</v>
          </cell>
          <cell r="AM614">
            <v>0</v>
          </cell>
          <cell r="AN614">
            <v>5</v>
          </cell>
          <cell r="AO614">
            <v>0</v>
          </cell>
          <cell r="AP614">
            <v>5</v>
          </cell>
          <cell r="AQ614" t="str">
            <v>US_272209</v>
          </cell>
          <cell r="AR614">
            <v>0</v>
          </cell>
          <cell r="AS614">
            <v>136</v>
          </cell>
          <cell r="AU614">
            <v>136</v>
          </cell>
          <cell r="AV614">
            <v>0</v>
          </cell>
          <cell r="AW614">
            <v>680</v>
          </cell>
          <cell r="AX614">
            <v>673.2</v>
          </cell>
          <cell r="AY614">
            <v>0</v>
          </cell>
          <cell r="AZ614">
            <v>680</v>
          </cell>
          <cell r="BA614">
            <v>673.2</v>
          </cell>
          <cell r="BB614">
            <v>680</v>
          </cell>
          <cell r="BC614">
            <v>0</v>
          </cell>
          <cell r="BD614">
            <v>0</v>
          </cell>
          <cell r="BE614">
            <v>0</v>
          </cell>
          <cell r="BG614">
            <v>673.2</v>
          </cell>
          <cell r="BI614">
            <v>673.2</v>
          </cell>
          <cell r="BJ614">
            <v>14280</v>
          </cell>
          <cell r="BK614">
            <v>14280</v>
          </cell>
          <cell r="BL614">
            <v>13600</v>
          </cell>
          <cell r="BM614">
            <v>0</v>
          </cell>
          <cell r="BN614">
            <v>0</v>
          </cell>
          <cell r="BO614">
            <v>0</v>
          </cell>
          <cell r="BP614">
            <v>13600</v>
          </cell>
          <cell r="BQ614">
            <v>0</v>
          </cell>
          <cell r="BR614">
            <v>680</v>
          </cell>
          <cell r="BT614">
            <v>1</v>
          </cell>
          <cell r="BU614">
            <v>1</v>
          </cell>
          <cell r="BV614" t="str">
            <v>N</v>
          </cell>
          <cell r="BW614">
            <v>0</v>
          </cell>
          <cell r="BX614">
            <v>0</v>
          </cell>
          <cell r="BY614">
            <v>2026</v>
          </cell>
          <cell r="BZ614" t="str">
            <v>-</v>
          </cell>
          <cell r="CA614" t="str">
            <v>-</v>
          </cell>
        </row>
        <row r="615">
          <cell r="A615" t="str">
            <v>Lucknow</v>
          </cell>
          <cell r="B615" t="str">
            <v>Mavericks</v>
          </cell>
          <cell r="C615" t="str">
            <v>Mid Level</v>
          </cell>
          <cell r="D615" t="str">
            <v>Rohit Gupta</v>
          </cell>
          <cell r="E615" t="str">
            <v>Vivek Yadav</v>
          </cell>
          <cell r="F615" t="str">
            <v>Non-MSP</v>
          </cell>
          <cell r="H615" t="str">
            <v>Abhishek Mishra Mavericks</v>
          </cell>
          <cell r="J615" t="str">
            <v>ACH</v>
          </cell>
          <cell r="L615" t="str">
            <v>New</v>
          </cell>
          <cell r="M615">
            <v>46083</v>
          </cell>
          <cell r="N615">
            <v>119</v>
          </cell>
          <cell r="P615">
            <v>46448</v>
          </cell>
          <cell r="Q615" t="str">
            <v>PLC-4723</v>
          </cell>
          <cell r="R615" t="str">
            <v>Sayed Y Hashimi</v>
          </cell>
          <cell r="S615" t="str">
            <v>Individual</v>
          </cell>
          <cell r="T615" t="str">
            <v>C2C</v>
          </cell>
          <cell r="U615" t="str">
            <v>CoForge</v>
          </cell>
          <cell r="V615">
            <v>100</v>
          </cell>
          <cell r="W615">
            <v>0</v>
          </cell>
          <cell r="X615" t="str">
            <v>USD</v>
          </cell>
          <cell r="Y615">
            <v>105</v>
          </cell>
          <cell r="Z615">
            <v>0</v>
          </cell>
          <cell r="AA615">
            <v>0</v>
          </cell>
          <cell r="AB615">
            <v>0</v>
          </cell>
          <cell r="AC615">
            <v>46127</v>
          </cell>
          <cell r="AD615">
            <v>22</v>
          </cell>
          <cell r="AE615">
            <v>46387</v>
          </cell>
          <cell r="AF615">
            <v>100</v>
          </cell>
          <cell r="AG615">
            <v>0</v>
          </cell>
          <cell r="AH615">
            <v>100</v>
          </cell>
          <cell r="AI615">
            <v>105</v>
          </cell>
          <cell r="AJ615">
            <v>0</v>
          </cell>
          <cell r="AK615">
            <v>0</v>
          </cell>
          <cell r="AL615">
            <v>5</v>
          </cell>
          <cell r="AM615">
            <v>0</v>
          </cell>
          <cell r="AN615">
            <v>5</v>
          </cell>
          <cell r="AO615">
            <v>0</v>
          </cell>
          <cell r="AP615">
            <v>5</v>
          </cell>
          <cell r="AQ615" t="str">
            <v>US_27641</v>
          </cell>
          <cell r="AR615">
            <v>0</v>
          </cell>
          <cell r="AS615">
            <v>176</v>
          </cell>
          <cell r="AU615">
            <v>176</v>
          </cell>
          <cell r="AV615">
            <v>0</v>
          </cell>
          <cell r="AW615">
            <v>880</v>
          </cell>
          <cell r="AX615">
            <v>871.2</v>
          </cell>
          <cell r="AY615">
            <v>0</v>
          </cell>
          <cell r="AZ615">
            <v>880</v>
          </cell>
          <cell r="BA615">
            <v>871.2</v>
          </cell>
          <cell r="BB615">
            <v>880</v>
          </cell>
          <cell r="BC615">
            <v>0</v>
          </cell>
          <cell r="BD615">
            <v>0</v>
          </cell>
          <cell r="BE615">
            <v>0</v>
          </cell>
          <cell r="BG615">
            <v>871.2</v>
          </cell>
          <cell r="BI615">
            <v>871.2</v>
          </cell>
          <cell r="BJ615">
            <v>18480</v>
          </cell>
          <cell r="BK615">
            <v>18480</v>
          </cell>
          <cell r="BL615">
            <v>17600</v>
          </cell>
          <cell r="BM615">
            <v>0</v>
          </cell>
          <cell r="BN615">
            <v>0</v>
          </cell>
          <cell r="BO615">
            <v>0</v>
          </cell>
          <cell r="BP615">
            <v>17600</v>
          </cell>
          <cell r="BQ615">
            <v>0</v>
          </cell>
          <cell r="BR615">
            <v>880</v>
          </cell>
          <cell r="BS615" t="str">
            <v>Y</v>
          </cell>
          <cell r="BT615">
            <v>2</v>
          </cell>
          <cell r="BU615">
            <v>1</v>
          </cell>
          <cell r="BV615" t="str">
            <v>N</v>
          </cell>
          <cell r="BW615">
            <v>0</v>
          </cell>
          <cell r="BX615">
            <v>0</v>
          </cell>
          <cell r="BY615">
            <v>2026</v>
          </cell>
          <cell r="BZ615" t="str">
            <v>-</v>
          </cell>
          <cell r="CA615" t="str">
            <v>-</v>
          </cell>
        </row>
        <row r="616">
          <cell r="A616" t="str">
            <v>Lucknow</v>
          </cell>
          <cell r="B616" t="str">
            <v>Mavericks</v>
          </cell>
          <cell r="C616" t="str">
            <v>Mid Level</v>
          </cell>
          <cell r="D616" t="str">
            <v>Rohit Gupta</v>
          </cell>
          <cell r="E616" t="str">
            <v>Vivek Yadav</v>
          </cell>
          <cell r="F616" t="str">
            <v>Non-MSP</v>
          </cell>
          <cell r="H616" t="str">
            <v>Abhishek Mishra Mavericks</v>
          </cell>
          <cell r="J616" t="str">
            <v>ACH</v>
          </cell>
          <cell r="L616" t="str">
            <v>New</v>
          </cell>
          <cell r="M616">
            <v>46083</v>
          </cell>
          <cell r="N616">
            <v>119</v>
          </cell>
          <cell r="P616">
            <v>46448</v>
          </cell>
          <cell r="Q616" t="str">
            <v>PLC-4723</v>
          </cell>
          <cell r="R616" t="str">
            <v>Sayed Y Hashimi</v>
          </cell>
          <cell r="S616" t="str">
            <v>Individual</v>
          </cell>
          <cell r="T616" t="str">
            <v>C2C</v>
          </cell>
          <cell r="U616" t="str">
            <v>CoForge</v>
          </cell>
          <cell r="V616">
            <v>100</v>
          </cell>
          <cell r="W616">
            <v>0</v>
          </cell>
          <cell r="X616" t="str">
            <v>USD</v>
          </cell>
          <cell r="Y616">
            <v>105</v>
          </cell>
          <cell r="Z616">
            <v>0</v>
          </cell>
          <cell r="AA616">
            <v>0</v>
          </cell>
          <cell r="AB616">
            <v>0</v>
          </cell>
          <cell r="AC616">
            <v>46157</v>
          </cell>
          <cell r="AD616">
            <v>22</v>
          </cell>
          <cell r="AE616">
            <v>46387</v>
          </cell>
          <cell r="AF616">
            <v>100</v>
          </cell>
          <cell r="AG616">
            <v>0</v>
          </cell>
          <cell r="AH616">
            <v>100</v>
          </cell>
          <cell r="AI616">
            <v>105</v>
          </cell>
          <cell r="AJ616">
            <v>0</v>
          </cell>
          <cell r="AK616">
            <v>0</v>
          </cell>
          <cell r="AL616">
            <v>5</v>
          </cell>
          <cell r="AM616">
            <v>0</v>
          </cell>
          <cell r="AN616">
            <v>5</v>
          </cell>
          <cell r="AO616">
            <v>0</v>
          </cell>
          <cell r="AP616">
            <v>5</v>
          </cell>
          <cell r="AQ616" t="str">
            <v>US_27751</v>
          </cell>
          <cell r="AR616">
            <v>0</v>
          </cell>
          <cell r="AS616">
            <v>160</v>
          </cell>
          <cell r="AU616">
            <v>160</v>
          </cell>
          <cell r="AV616">
            <v>0</v>
          </cell>
          <cell r="AW616">
            <v>800</v>
          </cell>
          <cell r="AX616">
            <v>792</v>
          </cell>
          <cell r="AY616">
            <v>0</v>
          </cell>
          <cell r="AZ616">
            <v>800</v>
          </cell>
          <cell r="BA616">
            <v>792</v>
          </cell>
          <cell r="BB616">
            <v>800</v>
          </cell>
          <cell r="BC616">
            <v>0</v>
          </cell>
          <cell r="BD616">
            <v>0</v>
          </cell>
          <cell r="BE616">
            <v>0</v>
          </cell>
          <cell r="BG616">
            <v>792</v>
          </cell>
          <cell r="BI616">
            <v>792</v>
          </cell>
          <cell r="BJ616">
            <v>16800</v>
          </cell>
          <cell r="BK616">
            <v>16800</v>
          </cell>
          <cell r="BL616">
            <v>16000</v>
          </cell>
          <cell r="BM616">
            <v>0</v>
          </cell>
          <cell r="BN616">
            <v>0</v>
          </cell>
          <cell r="BO616">
            <v>0</v>
          </cell>
          <cell r="BP616">
            <v>16000</v>
          </cell>
          <cell r="BQ616">
            <v>0</v>
          </cell>
          <cell r="BR616">
            <v>800</v>
          </cell>
          <cell r="BT616">
            <v>2</v>
          </cell>
          <cell r="BU616">
            <v>1</v>
          </cell>
          <cell r="BV616" t="str">
            <v>N</v>
          </cell>
          <cell r="BW616">
            <v>0</v>
          </cell>
          <cell r="BX616">
            <v>0</v>
          </cell>
          <cell r="BY616">
            <v>2026</v>
          </cell>
          <cell r="BZ616" t="str">
            <v>-</v>
          </cell>
          <cell r="CA616" t="str">
            <v>-</v>
          </cell>
        </row>
        <row r="617">
          <cell r="A617" t="str">
            <v>Lucknow</v>
          </cell>
          <cell r="B617" t="str">
            <v>Vantedge</v>
          </cell>
          <cell r="C617" t="str">
            <v>Senior</v>
          </cell>
          <cell r="D617" t="str">
            <v>Umar Mujahid Husain</v>
          </cell>
          <cell r="E617" t="str">
            <v>-</v>
          </cell>
          <cell r="F617" t="str">
            <v>Non-MSP</v>
          </cell>
          <cell r="H617" t="str">
            <v>Qausain Abbass</v>
          </cell>
          <cell r="L617" t="str">
            <v>New</v>
          </cell>
          <cell r="M617">
            <v>46076</v>
          </cell>
          <cell r="N617">
            <v>126</v>
          </cell>
          <cell r="P617">
            <v>46441</v>
          </cell>
          <cell r="Q617" t="str">
            <v>PLC-4739</v>
          </cell>
          <cell r="R617" t="str">
            <v>Shabbir Ghadiali</v>
          </cell>
          <cell r="S617" t="str">
            <v>Individual</v>
          </cell>
          <cell r="T617" t="str">
            <v>FTE</v>
          </cell>
          <cell r="U617" t="str">
            <v>Wipro</v>
          </cell>
          <cell r="V617">
            <v>0</v>
          </cell>
          <cell r="W617">
            <v>0</v>
          </cell>
          <cell r="X617" t="str">
            <v>USD</v>
          </cell>
          <cell r="Y617">
            <v>44268.75</v>
          </cell>
          <cell r="Z617">
            <v>0</v>
          </cell>
          <cell r="AA617">
            <v>0</v>
          </cell>
          <cell r="AB617">
            <v>0</v>
          </cell>
          <cell r="AC617">
            <v>46068</v>
          </cell>
          <cell r="AD617">
            <v>1</v>
          </cell>
          <cell r="AE617">
            <v>46387</v>
          </cell>
          <cell r="AF617">
            <v>0</v>
          </cell>
          <cell r="AG617">
            <v>0</v>
          </cell>
          <cell r="AH617">
            <v>0</v>
          </cell>
          <cell r="AI617">
            <v>44268.75</v>
          </cell>
          <cell r="AJ617">
            <v>0</v>
          </cell>
          <cell r="AK617">
            <v>0</v>
          </cell>
          <cell r="AL617">
            <v>44268.75</v>
          </cell>
          <cell r="AM617">
            <v>0</v>
          </cell>
          <cell r="AN617">
            <v>44268.75</v>
          </cell>
          <cell r="AO617">
            <v>0</v>
          </cell>
          <cell r="AP617">
            <v>44268.75</v>
          </cell>
          <cell r="AQ617" t="str">
            <v>US_27205</v>
          </cell>
          <cell r="AR617">
            <v>0</v>
          </cell>
          <cell r="AS617">
            <v>1</v>
          </cell>
          <cell r="AU617">
            <v>1</v>
          </cell>
          <cell r="AV617">
            <v>0</v>
          </cell>
          <cell r="AW617">
            <v>44268.75</v>
          </cell>
          <cell r="AX617">
            <v>44268.75</v>
          </cell>
          <cell r="AY617">
            <v>0</v>
          </cell>
          <cell r="AZ617">
            <v>44268.75</v>
          </cell>
          <cell r="BA617">
            <v>44268.75</v>
          </cell>
          <cell r="BB617">
            <v>44268.75</v>
          </cell>
          <cell r="BC617">
            <v>68.106153846153845</v>
          </cell>
          <cell r="BD617">
            <v>48695.625</v>
          </cell>
          <cell r="BE617">
            <v>48695.625</v>
          </cell>
          <cell r="BF617">
            <v>43</v>
          </cell>
          <cell r="BG617">
            <v>44268.75</v>
          </cell>
          <cell r="BH617">
            <v>24347.8125</v>
          </cell>
          <cell r="BI617">
            <v>44268.75</v>
          </cell>
          <cell r="BJ617">
            <v>44268.75</v>
          </cell>
          <cell r="BK617">
            <v>44268.75</v>
          </cell>
          <cell r="BL617">
            <v>0</v>
          </cell>
          <cell r="BM617">
            <v>0</v>
          </cell>
          <cell r="BN617">
            <v>0</v>
          </cell>
          <cell r="BO617">
            <v>0</v>
          </cell>
          <cell r="BP617">
            <v>0</v>
          </cell>
          <cell r="BQ617">
            <v>0</v>
          </cell>
          <cell r="BR617">
            <v>44268.75</v>
          </cell>
          <cell r="BS617" t="str">
            <v>Y</v>
          </cell>
          <cell r="BT617">
            <v>1</v>
          </cell>
          <cell r="BU617">
            <v>1</v>
          </cell>
          <cell r="BV617" t="str">
            <v>N</v>
          </cell>
          <cell r="BW617">
            <v>97391.25</v>
          </cell>
          <cell r="BX617">
            <v>97391.25</v>
          </cell>
          <cell r="BY617">
            <v>2026</v>
          </cell>
          <cell r="BZ617" t="str">
            <v>-</v>
          </cell>
          <cell r="CA617" t="str">
            <v>-</v>
          </cell>
        </row>
        <row r="618">
          <cell r="A618" t="str">
            <v>Lucknow</v>
          </cell>
          <cell r="B618" t="str">
            <v>Vantedge</v>
          </cell>
          <cell r="C618" t="str">
            <v>Senior</v>
          </cell>
          <cell r="D618" t="str">
            <v>Dev Srivastava</v>
          </cell>
          <cell r="E618" t="str">
            <v>-</v>
          </cell>
          <cell r="F618" t="str">
            <v>Non-MSP</v>
          </cell>
          <cell r="H618" t="str">
            <v>Pass Through</v>
          </cell>
          <cell r="L618" t="str">
            <v>New</v>
          </cell>
          <cell r="M618">
            <v>46104</v>
          </cell>
          <cell r="N618">
            <v>98</v>
          </cell>
          <cell r="P618">
            <v>46469</v>
          </cell>
          <cell r="Q618" t="str">
            <v>PLC-Passthrough</v>
          </cell>
          <cell r="R618" t="str">
            <v>Shafali Bhat</v>
          </cell>
          <cell r="S618" t="str">
            <v>Individual</v>
          </cell>
          <cell r="T618" t="str">
            <v>W2</v>
          </cell>
          <cell r="U618" t="str">
            <v>Birlasoft</v>
          </cell>
          <cell r="V618">
            <v>48</v>
          </cell>
          <cell r="W618">
            <v>0</v>
          </cell>
          <cell r="X618" t="str">
            <v>USD</v>
          </cell>
          <cell r="Y618">
            <v>58</v>
          </cell>
          <cell r="Z618">
            <v>0</v>
          </cell>
          <cell r="AA618">
            <v>0</v>
          </cell>
          <cell r="AB618">
            <v>0</v>
          </cell>
          <cell r="AC618">
            <v>46096</v>
          </cell>
          <cell r="AD618">
            <v>7</v>
          </cell>
          <cell r="AE618">
            <v>46387</v>
          </cell>
          <cell r="AF618">
            <v>55.199999999999996</v>
          </cell>
          <cell r="AG618">
            <v>0</v>
          </cell>
          <cell r="AH618">
            <v>55.199999999999996</v>
          </cell>
          <cell r="AI618">
            <v>58</v>
          </cell>
          <cell r="AJ618">
            <v>0</v>
          </cell>
          <cell r="AK618">
            <v>0</v>
          </cell>
          <cell r="AL618">
            <v>2.8000000000000043</v>
          </cell>
          <cell r="AM618">
            <v>0</v>
          </cell>
          <cell r="AN618">
            <v>2.8000000000000043</v>
          </cell>
          <cell r="AO618">
            <v>0</v>
          </cell>
          <cell r="AP618">
            <v>2.8000000000000043</v>
          </cell>
          <cell r="AQ618" t="str">
            <v>US_27432</v>
          </cell>
          <cell r="AR618">
            <v>0</v>
          </cell>
          <cell r="AS618">
            <v>56</v>
          </cell>
          <cell r="AU618">
            <v>56</v>
          </cell>
          <cell r="AV618">
            <v>0</v>
          </cell>
          <cell r="AW618">
            <v>156.80000000000024</v>
          </cell>
          <cell r="AX618">
            <v>156.80000000000024</v>
          </cell>
          <cell r="AY618">
            <v>0</v>
          </cell>
          <cell r="AZ618">
            <v>156.80000000000024</v>
          </cell>
          <cell r="BA618">
            <v>156.80000000000024</v>
          </cell>
          <cell r="BB618">
            <v>156.80000000000024</v>
          </cell>
          <cell r="BC618">
            <v>0</v>
          </cell>
          <cell r="BD618">
            <v>0</v>
          </cell>
          <cell r="BE618">
            <v>0</v>
          </cell>
          <cell r="BG618">
            <v>156.80000000000024</v>
          </cell>
          <cell r="BI618">
            <v>156.80000000000024</v>
          </cell>
          <cell r="BJ618">
            <v>3248</v>
          </cell>
          <cell r="BK618">
            <v>3248</v>
          </cell>
          <cell r="BL618">
            <v>2688</v>
          </cell>
          <cell r="BM618">
            <v>7.1999999999999993</v>
          </cell>
          <cell r="BN618">
            <v>0</v>
          </cell>
          <cell r="BO618">
            <v>403.19999999999993</v>
          </cell>
          <cell r="BP618">
            <v>3091.2</v>
          </cell>
          <cell r="BQ618">
            <v>7.1999999999999993</v>
          </cell>
          <cell r="BR618">
            <v>156.80000000000007</v>
          </cell>
          <cell r="BS618" t="str">
            <v>Y</v>
          </cell>
          <cell r="BT618">
            <v>1</v>
          </cell>
          <cell r="BU618">
            <v>1</v>
          </cell>
          <cell r="BV618" t="str">
            <v>Y</v>
          </cell>
          <cell r="BW618">
            <v>0</v>
          </cell>
          <cell r="BX618">
            <v>0</v>
          </cell>
          <cell r="BY618">
            <v>2026</v>
          </cell>
          <cell r="BZ618" t="str">
            <v>-</v>
          </cell>
          <cell r="CA618" t="str">
            <v>-</v>
          </cell>
        </row>
        <row r="619">
          <cell r="A619" t="str">
            <v>Lucknow</v>
          </cell>
          <cell r="B619" t="str">
            <v>Vantedge</v>
          </cell>
          <cell r="C619" t="str">
            <v>Senior</v>
          </cell>
          <cell r="D619" t="str">
            <v>Dev Srivastava</v>
          </cell>
          <cell r="E619" t="str">
            <v>-</v>
          </cell>
          <cell r="F619" t="str">
            <v>Non-MSP</v>
          </cell>
          <cell r="H619" t="str">
            <v>Pass Through</v>
          </cell>
          <cell r="J619" t="str">
            <v>ACH</v>
          </cell>
          <cell r="L619" t="str">
            <v>New</v>
          </cell>
          <cell r="M619">
            <v>46104</v>
          </cell>
          <cell r="N619">
            <v>98</v>
          </cell>
          <cell r="P619">
            <v>46469</v>
          </cell>
          <cell r="Q619" t="str">
            <v>PLC-Passthrough</v>
          </cell>
          <cell r="R619" t="str">
            <v>Shafali Bhat</v>
          </cell>
          <cell r="S619" t="str">
            <v>Individual</v>
          </cell>
          <cell r="T619" t="str">
            <v>W2</v>
          </cell>
          <cell r="U619" t="str">
            <v>Birlasoft</v>
          </cell>
          <cell r="V619">
            <v>48</v>
          </cell>
          <cell r="W619">
            <v>0</v>
          </cell>
          <cell r="X619" t="str">
            <v>USD</v>
          </cell>
          <cell r="Y619">
            <v>58</v>
          </cell>
          <cell r="Z619">
            <v>0</v>
          </cell>
          <cell r="AA619">
            <v>0</v>
          </cell>
          <cell r="AB619">
            <v>0</v>
          </cell>
          <cell r="AC619">
            <v>46127</v>
          </cell>
          <cell r="AD619">
            <v>22</v>
          </cell>
          <cell r="AE619">
            <v>46387</v>
          </cell>
          <cell r="AF619">
            <v>55.199999999999996</v>
          </cell>
          <cell r="AG619">
            <v>0</v>
          </cell>
          <cell r="AH619">
            <v>55.199999999999996</v>
          </cell>
          <cell r="AI619">
            <v>58</v>
          </cell>
          <cell r="AJ619">
            <v>0</v>
          </cell>
          <cell r="AK619">
            <v>0</v>
          </cell>
          <cell r="AL619">
            <v>2.8000000000000043</v>
          </cell>
          <cell r="AM619">
            <v>0</v>
          </cell>
          <cell r="AN619">
            <v>2.8000000000000043</v>
          </cell>
          <cell r="AO619">
            <v>0</v>
          </cell>
          <cell r="AP619">
            <v>2.8000000000000043</v>
          </cell>
          <cell r="AQ619" t="str">
            <v>US_27662</v>
          </cell>
          <cell r="AR619">
            <v>0</v>
          </cell>
          <cell r="AS619">
            <v>176</v>
          </cell>
          <cell r="AU619">
            <v>176</v>
          </cell>
          <cell r="AV619">
            <v>0</v>
          </cell>
          <cell r="AW619">
            <v>492.80000000000075</v>
          </cell>
          <cell r="AX619">
            <v>487.87200000000075</v>
          </cell>
          <cell r="AY619">
            <v>0</v>
          </cell>
          <cell r="AZ619">
            <v>492.80000000000075</v>
          </cell>
          <cell r="BA619">
            <v>487.87200000000075</v>
          </cell>
          <cell r="BB619">
            <v>492.80000000000075</v>
          </cell>
          <cell r="BC619">
            <v>0</v>
          </cell>
          <cell r="BD619">
            <v>0</v>
          </cell>
          <cell r="BE619">
            <v>0</v>
          </cell>
          <cell r="BG619">
            <v>487.87200000000075</v>
          </cell>
          <cell r="BI619">
            <v>487.87200000000075</v>
          </cell>
          <cell r="BJ619">
            <v>10208</v>
          </cell>
          <cell r="BK619">
            <v>10208</v>
          </cell>
          <cell r="BL619">
            <v>8448</v>
          </cell>
          <cell r="BM619">
            <v>7.1999999999999993</v>
          </cell>
          <cell r="BN619">
            <v>0</v>
          </cell>
          <cell r="BO619">
            <v>1267.1999999999998</v>
          </cell>
          <cell r="BP619">
            <v>9715.2000000000007</v>
          </cell>
          <cell r="BQ619">
            <v>7.1999999999999993</v>
          </cell>
          <cell r="BR619">
            <v>492.80000000000018</v>
          </cell>
          <cell r="BS619" t="str">
            <v>Y</v>
          </cell>
          <cell r="BT619">
            <v>2</v>
          </cell>
          <cell r="BU619">
            <v>1</v>
          </cell>
          <cell r="BV619" t="str">
            <v>Y</v>
          </cell>
          <cell r="BW619">
            <v>0</v>
          </cell>
          <cell r="BX619">
            <v>0</v>
          </cell>
          <cell r="BY619">
            <v>2026</v>
          </cell>
          <cell r="BZ619" t="str">
            <v>-</v>
          </cell>
          <cell r="CA619" t="str">
            <v>-</v>
          </cell>
        </row>
        <row r="620">
          <cell r="A620" t="str">
            <v>Lucknow</v>
          </cell>
          <cell r="B620" t="str">
            <v>Vantedge</v>
          </cell>
          <cell r="C620" t="str">
            <v>Senior</v>
          </cell>
          <cell r="D620" t="str">
            <v>Dev Srivastava</v>
          </cell>
          <cell r="E620" t="str">
            <v>-</v>
          </cell>
          <cell r="F620" t="str">
            <v>Non-MSP</v>
          </cell>
          <cell r="H620" t="str">
            <v>Pass Through</v>
          </cell>
          <cell r="J620" t="str">
            <v>ACH</v>
          </cell>
          <cell r="L620" t="str">
            <v>New</v>
          </cell>
          <cell r="M620">
            <v>46104</v>
          </cell>
          <cell r="N620">
            <v>98</v>
          </cell>
          <cell r="P620">
            <v>46469</v>
          </cell>
          <cell r="Q620" t="str">
            <v>PLC-Passthrough</v>
          </cell>
          <cell r="R620" t="str">
            <v>Shafali Bhat</v>
          </cell>
          <cell r="S620" t="str">
            <v>Individual</v>
          </cell>
          <cell r="T620" t="str">
            <v>W2</v>
          </cell>
          <cell r="U620" t="str">
            <v>Birlasoft</v>
          </cell>
          <cell r="V620">
            <v>48</v>
          </cell>
          <cell r="W620">
            <v>0</v>
          </cell>
          <cell r="X620" t="str">
            <v>USD</v>
          </cell>
          <cell r="Y620">
            <v>58</v>
          </cell>
          <cell r="Z620">
            <v>0</v>
          </cell>
          <cell r="AA620">
            <v>0</v>
          </cell>
          <cell r="AB620">
            <v>0</v>
          </cell>
          <cell r="AC620">
            <v>46157</v>
          </cell>
          <cell r="AD620">
            <v>22</v>
          </cell>
          <cell r="AE620">
            <v>46387</v>
          </cell>
          <cell r="AF620">
            <v>55.199999999999996</v>
          </cell>
          <cell r="AG620">
            <v>0</v>
          </cell>
          <cell r="AH620">
            <v>55.199999999999996</v>
          </cell>
          <cell r="AI620">
            <v>58</v>
          </cell>
          <cell r="AJ620">
            <v>0</v>
          </cell>
          <cell r="AK620">
            <v>0</v>
          </cell>
          <cell r="AL620">
            <v>2.8000000000000043</v>
          </cell>
          <cell r="AM620">
            <v>0</v>
          </cell>
          <cell r="AN620">
            <v>2.8000000000000043</v>
          </cell>
          <cell r="AO620">
            <v>0</v>
          </cell>
          <cell r="AP620">
            <v>2.8000000000000043</v>
          </cell>
          <cell r="AQ620" t="str">
            <v>US_27959</v>
          </cell>
          <cell r="AR620">
            <v>0</v>
          </cell>
          <cell r="AS620">
            <v>160</v>
          </cell>
          <cell r="AU620">
            <v>160</v>
          </cell>
          <cell r="AV620">
            <v>0</v>
          </cell>
          <cell r="AW620">
            <v>448.00000000000068</v>
          </cell>
          <cell r="AX620">
            <v>443.52000000000066</v>
          </cell>
          <cell r="AY620">
            <v>0</v>
          </cell>
          <cell r="AZ620">
            <v>448.00000000000068</v>
          </cell>
          <cell r="BA620">
            <v>443.52000000000066</v>
          </cell>
          <cell r="BB620">
            <v>448.00000000000068</v>
          </cell>
          <cell r="BC620">
            <v>0</v>
          </cell>
          <cell r="BD620">
            <v>0</v>
          </cell>
          <cell r="BE620">
            <v>0</v>
          </cell>
          <cell r="BG620">
            <v>443.52000000000066</v>
          </cell>
          <cell r="BI620">
            <v>443.52000000000066</v>
          </cell>
          <cell r="BJ620">
            <v>9280</v>
          </cell>
          <cell r="BK620">
            <v>9280</v>
          </cell>
          <cell r="BL620">
            <v>7680</v>
          </cell>
          <cell r="BM620">
            <v>7.1999999999999993</v>
          </cell>
          <cell r="BN620">
            <v>0</v>
          </cell>
          <cell r="BO620">
            <v>1152</v>
          </cell>
          <cell r="BP620">
            <v>8832</v>
          </cell>
          <cell r="BQ620">
            <v>7.1999999999999993</v>
          </cell>
          <cell r="BR620">
            <v>448</v>
          </cell>
          <cell r="BT620">
            <v>2</v>
          </cell>
          <cell r="BU620">
            <v>1</v>
          </cell>
          <cell r="BV620" t="str">
            <v>Y</v>
          </cell>
          <cell r="BW620">
            <v>0</v>
          </cell>
          <cell r="BX620">
            <v>0</v>
          </cell>
          <cell r="BY620">
            <v>2026</v>
          </cell>
          <cell r="BZ620" t="str">
            <v>-</v>
          </cell>
          <cell r="CA620" t="str">
            <v>-</v>
          </cell>
        </row>
        <row r="621">
          <cell r="A621" t="str">
            <v>Lucknow</v>
          </cell>
          <cell r="B621" t="str">
            <v>Mavericks</v>
          </cell>
          <cell r="C621" t="str">
            <v>Mid Level</v>
          </cell>
          <cell r="D621" t="str">
            <v>Akbar Ibrahim</v>
          </cell>
          <cell r="E621" t="str">
            <v>-</v>
          </cell>
          <cell r="F621" t="str">
            <v>MSP</v>
          </cell>
          <cell r="H621" t="str">
            <v>Pass Through</v>
          </cell>
          <cell r="J621" t="str">
            <v>ACH</v>
          </cell>
          <cell r="L621" t="str">
            <v>New</v>
          </cell>
          <cell r="M621">
            <v>46027</v>
          </cell>
          <cell r="N621">
            <v>175</v>
          </cell>
          <cell r="P621">
            <v>46392</v>
          </cell>
          <cell r="Q621" t="str">
            <v>PLC-Passthrough</v>
          </cell>
          <cell r="R621" t="str">
            <v>Shankar Sundaram</v>
          </cell>
          <cell r="S621" t="str">
            <v>Individual</v>
          </cell>
          <cell r="T621" t="str">
            <v>C2C</v>
          </cell>
          <cell r="U621" t="str">
            <v>CoForge</v>
          </cell>
          <cell r="V621">
            <v>90</v>
          </cell>
          <cell r="W621">
            <v>0</v>
          </cell>
          <cell r="X621" t="str">
            <v>USD</v>
          </cell>
          <cell r="Y621">
            <v>92</v>
          </cell>
          <cell r="Z621">
            <v>0</v>
          </cell>
          <cell r="AA621">
            <v>0</v>
          </cell>
          <cell r="AB621">
            <v>0</v>
          </cell>
          <cell r="AC621">
            <v>46037</v>
          </cell>
          <cell r="AD621">
            <v>20</v>
          </cell>
          <cell r="AE621">
            <v>46387</v>
          </cell>
          <cell r="AF621">
            <v>90</v>
          </cell>
          <cell r="AG621">
            <v>0</v>
          </cell>
          <cell r="AH621">
            <v>90</v>
          </cell>
          <cell r="AI621">
            <v>92</v>
          </cell>
          <cell r="AJ621">
            <v>0</v>
          </cell>
          <cell r="AK621">
            <v>0</v>
          </cell>
          <cell r="AL621">
            <v>2</v>
          </cell>
          <cell r="AM621">
            <v>0</v>
          </cell>
          <cell r="AN621">
            <v>2</v>
          </cell>
          <cell r="AO621">
            <v>0</v>
          </cell>
          <cell r="AP621">
            <v>2</v>
          </cell>
          <cell r="AQ621" t="str">
            <v>US_CMSP_00315</v>
          </cell>
          <cell r="AR621">
            <v>0</v>
          </cell>
          <cell r="AS621">
            <v>152</v>
          </cell>
          <cell r="AU621">
            <v>152</v>
          </cell>
          <cell r="AV621">
            <v>0</v>
          </cell>
          <cell r="AW621">
            <v>304</v>
          </cell>
          <cell r="AX621">
            <v>300.95999999999998</v>
          </cell>
          <cell r="AY621">
            <v>0</v>
          </cell>
          <cell r="AZ621">
            <v>304</v>
          </cell>
          <cell r="BA621">
            <v>300.95999999999998</v>
          </cell>
          <cell r="BB621">
            <v>304</v>
          </cell>
          <cell r="BC621">
            <v>0</v>
          </cell>
          <cell r="BD621">
            <v>0</v>
          </cell>
          <cell r="BE621">
            <v>0</v>
          </cell>
          <cell r="BG621">
            <v>300.95999999999998</v>
          </cell>
          <cell r="BI621">
            <v>300.95999999999998</v>
          </cell>
          <cell r="BJ621">
            <v>13984</v>
          </cell>
          <cell r="BK621">
            <v>13984</v>
          </cell>
          <cell r="BL621">
            <v>13680</v>
          </cell>
          <cell r="BM621">
            <v>0</v>
          </cell>
          <cell r="BN621">
            <v>0</v>
          </cell>
          <cell r="BO621">
            <v>0</v>
          </cell>
          <cell r="BP621">
            <v>13680</v>
          </cell>
          <cell r="BQ621">
            <v>0</v>
          </cell>
          <cell r="BR621">
            <v>304</v>
          </cell>
          <cell r="BS621" t="str">
            <v>Y</v>
          </cell>
          <cell r="BT621">
            <v>1</v>
          </cell>
          <cell r="BU621">
            <v>1</v>
          </cell>
          <cell r="BV621" t="str">
            <v>Y</v>
          </cell>
          <cell r="BW621">
            <v>0</v>
          </cell>
          <cell r="BX621">
            <v>0</v>
          </cell>
          <cell r="BY621">
            <v>2026</v>
          </cell>
          <cell r="BZ621" t="str">
            <v>-</v>
          </cell>
          <cell r="CA621" t="str">
            <v>-</v>
          </cell>
        </row>
        <row r="622">
          <cell r="A622" t="str">
            <v>Lucknow</v>
          </cell>
          <cell r="B622" t="str">
            <v>Mavericks</v>
          </cell>
          <cell r="C622" t="str">
            <v>Mid Level</v>
          </cell>
          <cell r="D622" t="str">
            <v>Akbar Ibrahim</v>
          </cell>
          <cell r="E622" t="str">
            <v>-</v>
          </cell>
          <cell r="F622" t="str">
            <v>MSP</v>
          </cell>
          <cell r="H622" t="str">
            <v>Pass Through</v>
          </cell>
          <cell r="J622" t="str">
            <v>ACH</v>
          </cell>
          <cell r="L622" t="str">
            <v>New</v>
          </cell>
          <cell r="M622">
            <v>46027</v>
          </cell>
          <cell r="N622">
            <v>175</v>
          </cell>
          <cell r="P622">
            <v>46392</v>
          </cell>
          <cell r="Q622" t="str">
            <v>PLC-Passthrough</v>
          </cell>
          <cell r="R622" t="str">
            <v>Shankar Sundaram</v>
          </cell>
          <cell r="S622" t="str">
            <v>Individual</v>
          </cell>
          <cell r="T622" t="str">
            <v>C2C</v>
          </cell>
          <cell r="U622" t="str">
            <v>CoForge</v>
          </cell>
          <cell r="V622">
            <v>90</v>
          </cell>
          <cell r="W622">
            <v>0</v>
          </cell>
          <cell r="X622" t="str">
            <v>USD</v>
          </cell>
          <cell r="Y622">
            <v>92</v>
          </cell>
          <cell r="Z622">
            <v>0</v>
          </cell>
          <cell r="AA622">
            <v>0</v>
          </cell>
          <cell r="AB622">
            <v>0</v>
          </cell>
          <cell r="AC622">
            <v>46068</v>
          </cell>
          <cell r="AD622">
            <v>20</v>
          </cell>
          <cell r="AE622">
            <v>46387</v>
          </cell>
          <cell r="AF622">
            <v>90</v>
          </cell>
          <cell r="AG622">
            <v>0</v>
          </cell>
          <cell r="AH622">
            <v>90</v>
          </cell>
          <cell r="AI622">
            <v>92</v>
          </cell>
          <cell r="AJ622">
            <v>0</v>
          </cell>
          <cell r="AK622">
            <v>0</v>
          </cell>
          <cell r="AL622">
            <v>2</v>
          </cell>
          <cell r="AM622">
            <v>0</v>
          </cell>
          <cell r="AN622">
            <v>2</v>
          </cell>
          <cell r="AO622">
            <v>0</v>
          </cell>
          <cell r="AP622">
            <v>2</v>
          </cell>
          <cell r="AQ622" t="str">
            <v>US_CMSP_00428</v>
          </cell>
          <cell r="AR622">
            <v>0</v>
          </cell>
          <cell r="AS622">
            <v>160</v>
          </cell>
          <cell r="AU622">
            <v>160</v>
          </cell>
          <cell r="AV622">
            <v>0</v>
          </cell>
          <cell r="AW622">
            <v>320</v>
          </cell>
          <cell r="AX622">
            <v>316.8</v>
          </cell>
          <cell r="AY622">
            <v>0</v>
          </cell>
          <cell r="AZ622">
            <v>320</v>
          </cell>
          <cell r="BA622">
            <v>316.8</v>
          </cell>
          <cell r="BB622">
            <v>320</v>
          </cell>
          <cell r="BC622">
            <v>0</v>
          </cell>
          <cell r="BD622">
            <v>0</v>
          </cell>
          <cell r="BE622">
            <v>0</v>
          </cell>
          <cell r="BG622">
            <v>316.8</v>
          </cell>
          <cell r="BI622">
            <v>316.8</v>
          </cell>
          <cell r="BJ622">
            <v>14720</v>
          </cell>
          <cell r="BK622">
            <v>14720</v>
          </cell>
          <cell r="BL622">
            <v>14400</v>
          </cell>
          <cell r="BM622">
            <v>0</v>
          </cell>
          <cell r="BN622">
            <v>0</v>
          </cell>
          <cell r="BO622">
            <v>0</v>
          </cell>
          <cell r="BP622">
            <v>14400</v>
          </cell>
          <cell r="BQ622">
            <v>0</v>
          </cell>
          <cell r="BR622">
            <v>320</v>
          </cell>
          <cell r="BS622" t="str">
            <v>Y</v>
          </cell>
          <cell r="BT622">
            <v>1</v>
          </cell>
          <cell r="BU622">
            <v>1</v>
          </cell>
          <cell r="BV622" t="str">
            <v>Y</v>
          </cell>
          <cell r="BW622">
            <v>0</v>
          </cell>
          <cell r="BX622">
            <v>0</v>
          </cell>
          <cell r="BY622">
            <v>2026</v>
          </cell>
          <cell r="BZ622" t="str">
            <v>-</v>
          </cell>
          <cell r="CA622" t="str">
            <v>-</v>
          </cell>
        </row>
        <row r="623">
          <cell r="A623" t="str">
            <v>Lucknow</v>
          </cell>
          <cell r="B623" t="str">
            <v>Mavericks</v>
          </cell>
          <cell r="C623" t="str">
            <v>Mid Level</v>
          </cell>
          <cell r="D623" t="str">
            <v>Akbar Ibrahim</v>
          </cell>
          <cell r="E623" t="str">
            <v>-</v>
          </cell>
          <cell r="F623" t="str">
            <v>MSP</v>
          </cell>
          <cell r="H623" t="str">
            <v>Pass Through</v>
          </cell>
          <cell r="J623" t="str">
            <v>ACH</v>
          </cell>
          <cell r="L623" t="str">
            <v>New</v>
          </cell>
          <cell r="M623">
            <v>46027</v>
          </cell>
          <cell r="N623">
            <v>175</v>
          </cell>
          <cell r="P623">
            <v>46392</v>
          </cell>
          <cell r="Q623" t="str">
            <v>PLC-Passthrough</v>
          </cell>
          <cell r="R623" t="str">
            <v>Shankar Sundaram</v>
          </cell>
          <cell r="S623" t="str">
            <v>Individual</v>
          </cell>
          <cell r="T623" t="str">
            <v>C2C</v>
          </cell>
          <cell r="U623" t="str">
            <v>CoForge</v>
          </cell>
          <cell r="V623">
            <v>90</v>
          </cell>
          <cell r="W623">
            <v>0</v>
          </cell>
          <cell r="X623" t="str">
            <v>USD</v>
          </cell>
          <cell r="Y623">
            <v>92</v>
          </cell>
          <cell r="Z623">
            <v>0</v>
          </cell>
          <cell r="AA623">
            <v>0</v>
          </cell>
          <cell r="AB623">
            <v>0</v>
          </cell>
          <cell r="AC623">
            <v>46096</v>
          </cell>
          <cell r="AD623">
            <v>22</v>
          </cell>
          <cell r="AE623">
            <v>46387</v>
          </cell>
          <cell r="AF623">
            <v>90</v>
          </cell>
          <cell r="AG623">
            <v>0</v>
          </cell>
          <cell r="AH623">
            <v>90</v>
          </cell>
          <cell r="AI623">
            <v>92</v>
          </cell>
          <cell r="AJ623">
            <v>0</v>
          </cell>
          <cell r="AK623">
            <v>0</v>
          </cell>
          <cell r="AL623">
            <v>2</v>
          </cell>
          <cell r="AM623">
            <v>0</v>
          </cell>
          <cell r="AN623">
            <v>2</v>
          </cell>
          <cell r="AO623">
            <v>0</v>
          </cell>
          <cell r="AP623">
            <v>2</v>
          </cell>
          <cell r="AQ623" t="str">
            <v>US_CMSP_00536</v>
          </cell>
          <cell r="AR623">
            <v>0</v>
          </cell>
          <cell r="AS623">
            <v>176</v>
          </cell>
          <cell r="AU623">
            <v>176</v>
          </cell>
          <cell r="AV623">
            <v>0</v>
          </cell>
          <cell r="AW623">
            <v>352</v>
          </cell>
          <cell r="AX623">
            <v>348.48</v>
          </cell>
          <cell r="AY623">
            <v>0</v>
          </cell>
          <cell r="AZ623">
            <v>352</v>
          </cell>
          <cell r="BA623">
            <v>348.48</v>
          </cell>
          <cell r="BB623">
            <v>352</v>
          </cell>
          <cell r="BC623">
            <v>0</v>
          </cell>
          <cell r="BD623">
            <v>0</v>
          </cell>
          <cell r="BE623">
            <v>0</v>
          </cell>
          <cell r="BG623">
            <v>348.48</v>
          </cell>
          <cell r="BI623">
            <v>348.48</v>
          </cell>
          <cell r="BJ623">
            <v>16192</v>
          </cell>
          <cell r="BK623">
            <v>16192</v>
          </cell>
          <cell r="BL623">
            <v>15840</v>
          </cell>
          <cell r="BM623">
            <v>0</v>
          </cell>
          <cell r="BN623">
            <v>0</v>
          </cell>
          <cell r="BO623">
            <v>0</v>
          </cell>
          <cell r="BP623">
            <v>15840</v>
          </cell>
          <cell r="BQ623">
            <v>0</v>
          </cell>
          <cell r="BR623">
            <v>352</v>
          </cell>
          <cell r="BS623" t="str">
            <v>Y</v>
          </cell>
          <cell r="BT623">
            <v>1</v>
          </cell>
          <cell r="BU623">
            <v>1</v>
          </cell>
          <cell r="BV623" t="str">
            <v>Y</v>
          </cell>
          <cell r="BW623">
            <v>0</v>
          </cell>
          <cell r="BX623">
            <v>0</v>
          </cell>
          <cell r="BY623">
            <v>2026</v>
          </cell>
          <cell r="BZ623" t="str">
            <v>-</v>
          </cell>
          <cell r="CA623" t="str">
            <v>-</v>
          </cell>
        </row>
        <row r="624">
          <cell r="A624" t="str">
            <v>Lucknow</v>
          </cell>
          <cell r="B624" t="str">
            <v>Mavericks</v>
          </cell>
          <cell r="C624" t="str">
            <v>Mid Level</v>
          </cell>
          <cell r="D624" t="str">
            <v>Akbar Ibrahim</v>
          </cell>
          <cell r="E624" t="str">
            <v>-</v>
          </cell>
          <cell r="F624" t="str">
            <v>MSP</v>
          </cell>
          <cell r="H624" t="str">
            <v>Pass Through</v>
          </cell>
          <cell r="J624" t="str">
            <v>ACH</v>
          </cell>
          <cell r="L624" t="str">
            <v>New</v>
          </cell>
          <cell r="M624">
            <v>46027</v>
          </cell>
          <cell r="N624">
            <v>175</v>
          </cell>
          <cell r="P624">
            <v>46392</v>
          </cell>
          <cell r="Q624" t="str">
            <v>PLC-Passthrough</v>
          </cell>
          <cell r="R624" t="str">
            <v>Shankar Sundaram</v>
          </cell>
          <cell r="S624" t="str">
            <v>Individual</v>
          </cell>
          <cell r="T624" t="str">
            <v>C2C</v>
          </cell>
          <cell r="U624" t="str">
            <v>CoForge</v>
          </cell>
          <cell r="V624">
            <v>90</v>
          </cell>
          <cell r="W624">
            <v>0</v>
          </cell>
          <cell r="X624" t="str">
            <v>USD</v>
          </cell>
          <cell r="Y624">
            <v>92</v>
          </cell>
          <cell r="Z624">
            <v>0</v>
          </cell>
          <cell r="AA624">
            <v>0</v>
          </cell>
          <cell r="AB624">
            <v>0</v>
          </cell>
          <cell r="AC624">
            <v>46127</v>
          </cell>
          <cell r="AD624">
            <v>22</v>
          </cell>
          <cell r="AE624">
            <v>46387</v>
          </cell>
          <cell r="AF624">
            <v>90</v>
          </cell>
          <cell r="AG624">
            <v>0</v>
          </cell>
          <cell r="AH624">
            <v>90</v>
          </cell>
          <cell r="AI624">
            <v>92</v>
          </cell>
          <cell r="AJ624">
            <v>0</v>
          </cell>
          <cell r="AK624">
            <v>0</v>
          </cell>
          <cell r="AL624">
            <v>2</v>
          </cell>
          <cell r="AM624">
            <v>0</v>
          </cell>
          <cell r="AN624">
            <v>2</v>
          </cell>
          <cell r="AO624">
            <v>0</v>
          </cell>
          <cell r="AP624">
            <v>2</v>
          </cell>
          <cell r="AQ624" t="str">
            <v>US_CMSP_00683</v>
          </cell>
          <cell r="AR624">
            <v>0</v>
          </cell>
          <cell r="AS624">
            <v>176</v>
          </cell>
          <cell r="AU624">
            <v>176</v>
          </cell>
          <cell r="AV624">
            <v>0</v>
          </cell>
          <cell r="AW624">
            <v>352</v>
          </cell>
          <cell r="AX624">
            <v>348.48</v>
          </cell>
          <cell r="AY624">
            <v>0</v>
          </cell>
          <cell r="AZ624">
            <v>352</v>
          </cell>
          <cell r="BA624">
            <v>348.48</v>
          </cell>
          <cell r="BB624">
            <v>352</v>
          </cell>
          <cell r="BC624">
            <v>0</v>
          </cell>
          <cell r="BD624">
            <v>0</v>
          </cell>
          <cell r="BE624">
            <v>0</v>
          </cell>
          <cell r="BG624">
            <v>348.48</v>
          </cell>
          <cell r="BI624">
            <v>348.48</v>
          </cell>
          <cell r="BJ624">
            <v>16192</v>
          </cell>
          <cell r="BK624">
            <v>16192</v>
          </cell>
          <cell r="BL624">
            <v>15840</v>
          </cell>
          <cell r="BM624">
            <v>0</v>
          </cell>
          <cell r="BN624">
            <v>0</v>
          </cell>
          <cell r="BO624">
            <v>0</v>
          </cell>
          <cell r="BP624">
            <v>15840</v>
          </cell>
          <cell r="BQ624">
            <v>0</v>
          </cell>
          <cell r="BR624">
            <v>352</v>
          </cell>
          <cell r="BT624">
            <v>2</v>
          </cell>
          <cell r="BU624">
            <v>1</v>
          </cell>
          <cell r="BV624" t="str">
            <v>Y</v>
          </cell>
          <cell r="BW624">
            <v>0</v>
          </cell>
          <cell r="BX624">
            <v>0</v>
          </cell>
          <cell r="BY624">
            <v>2026</v>
          </cell>
          <cell r="BZ624" t="str">
            <v>-</v>
          </cell>
          <cell r="CA624" t="str">
            <v>-</v>
          </cell>
        </row>
        <row r="625">
          <cell r="A625" t="str">
            <v>Lucknow</v>
          </cell>
          <cell r="B625" t="str">
            <v>Mavericks</v>
          </cell>
          <cell r="C625" t="str">
            <v>Mid Level</v>
          </cell>
          <cell r="D625" t="str">
            <v>Akbar Ibrahim</v>
          </cell>
          <cell r="E625" t="str">
            <v>-</v>
          </cell>
          <cell r="F625" t="str">
            <v>MSP</v>
          </cell>
          <cell r="H625" t="str">
            <v>Pass Through</v>
          </cell>
          <cell r="J625" t="str">
            <v>ACH</v>
          </cell>
          <cell r="L625" t="str">
            <v>New</v>
          </cell>
          <cell r="M625">
            <v>46027</v>
          </cell>
          <cell r="N625">
            <v>175</v>
          </cell>
          <cell r="P625">
            <v>46392</v>
          </cell>
          <cell r="Q625" t="str">
            <v>PLC-Passthrough</v>
          </cell>
          <cell r="R625" t="str">
            <v>Shankar Sundaram</v>
          </cell>
          <cell r="S625" t="str">
            <v>Individual</v>
          </cell>
          <cell r="T625" t="str">
            <v>C2C</v>
          </cell>
          <cell r="U625" t="str">
            <v>CoForge</v>
          </cell>
          <cell r="V625">
            <v>90</v>
          </cell>
          <cell r="W625">
            <v>0</v>
          </cell>
          <cell r="X625" t="str">
            <v>USD</v>
          </cell>
          <cell r="Y625">
            <v>92</v>
          </cell>
          <cell r="Z625">
            <v>0</v>
          </cell>
          <cell r="AA625">
            <v>0</v>
          </cell>
          <cell r="AB625">
            <v>0</v>
          </cell>
          <cell r="AC625">
            <v>46157</v>
          </cell>
          <cell r="AD625">
            <v>22</v>
          </cell>
          <cell r="AE625">
            <v>46387</v>
          </cell>
          <cell r="AF625">
            <v>90</v>
          </cell>
          <cell r="AG625">
            <v>0</v>
          </cell>
          <cell r="AH625">
            <v>90</v>
          </cell>
          <cell r="AI625">
            <v>92</v>
          </cell>
          <cell r="AJ625">
            <v>0</v>
          </cell>
          <cell r="AK625">
            <v>0</v>
          </cell>
          <cell r="AL625">
            <v>2</v>
          </cell>
          <cell r="AM625">
            <v>0</v>
          </cell>
          <cell r="AN625">
            <v>2</v>
          </cell>
          <cell r="AO625">
            <v>0</v>
          </cell>
          <cell r="AP625">
            <v>2</v>
          </cell>
          <cell r="AQ625" t="str">
            <v>US_CMSP_00848</v>
          </cell>
          <cell r="AR625">
            <v>0</v>
          </cell>
          <cell r="AS625">
            <v>160</v>
          </cell>
          <cell r="AU625">
            <v>160</v>
          </cell>
          <cell r="AV625">
            <v>0</v>
          </cell>
          <cell r="AW625">
            <v>320</v>
          </cell>
          <cell r="AX625">
            <v>316.8</v>
          </cell>
          <cell r="AY625">
            <v>0</v>
          </cell>
          <cell r="AZ625">
            <v>320</v>
          </cell>
          <cell r="BA625">
            <v>316.8</v>
          </cell>
          <cell r="BB625">
            <v>320</v>
          </cell>
          <cell r="BC625">
            <v>0</v>
          </cell>
          <cell r="BD625">
            <v>0</v>
          </cell>
          <cell r="BE625">
            <v>0</v>
          </cell>
          <cell r="BG625">
            <v>316.8</v>
          </cell>
          <cell r="BI625">
            <v>316.8</v>
          </cell>
          <cell r="BJ625">
            <v>14720</v>
          </cell>
          <cell r="BK625">
            <v>14720</v>
          </cell>
          <cell r="BL625">
            <v>14400</v>
          </cell>
          <cell r="BM625">
            <v>0</v>
          </cell>
          <cell r="BN625">
            <v>0</v>
          </cell>
          <cell r="BO625">
            <v>0</v>
          </cell>
          <cell r="BP625">
            <v>14400</v>
          </cell>
          <cell r="BQ625">
            <v>0</v>
          </cell>
          <cell r="BR625">
            <v>320</v>
          </cell>
          <cell r="BT625">
            <v>2</v>
          </cell>
          <cell r="BU625">
            <v>1</v>
          </cell>
          <cell r="BV625" t="str">
            <v>Y</v>
          </cell>
          <cell r="BW625">
            <v>0</v>
          </cell>
          <cell r="BX625">
            <v>0</v>
          </cell>
          <cell r="BY625">
            <v>2026</v>
          </cell>
          <cell r="BZ625" t="str">
            <v>-</v>
          </cell>
          <cell r="CA625" t="str">
            <v>-</v>
          </cell>
        </row>
        <row r="626">
          <cell r="A626" t="str">
            <v>Lucknow</v>
          </cell>
          <cell r="B626" t="str">
            <v>Mavericks</v>
          </cell>
          <cell r="C626" t="str">
            <v>Mid Level</v>
          </cell>
          <cell r="D626" t="str">
            <v>Mohammad Fakhrul</v>
          </cell>
          <cell r="E626" t="str">
            <v>-</v>
          </cell>
          <cell r="F626" t="str">
            <v>MSP</v>
          </cell>
          <cell r="H626" t="str">
            <v>Pass Through/MSP</v>
          </cell>
          <cell r="J626" t="str">
            <v>ACH</v>
          </cell>
          <cell r="L626" t="str">
            <v>New</v>
          </cell>
          <cell r="M626">
            <v>46119</v>
          </cell>
          <cell r="N626">
            <v>83</v>
          </cell>
          <cell r="P626">
            <v>46484</v>
          </cell>
          <cell r="Q626" t="str">
            <v>PLC-Passthrough</v>
          </cell>
          <cell r="R626" t="str">
            <v>Shantanu Subhash Deo</v>
          </cell>
          <cell r="S626" t="str">
            <v>Individual</v>
          </cell>
          <cell r="T626" t="str">
            <v>C2C</v>
          </cell>
          <cell r="U626" t="str">
            <v>CoForge</v>
          </cell>
          <cell r="V626">
            <v>84</v>
          </cell>
          <cell r="W626">
            <v>0</v>
          </cell>
          <cell r="X626" t="str">
            <v>USD</v>
          </cell>
          <cell r="Y626">
            <v>85</v>
          </cell>
          <cell r="Z626">
            <v>0</v>
          </cell>
          <cell r="AA626">
            <v>0</v>
          </cell>
          <cell r="AB626">
            <v>0</v>
          </cell>
          <cell r="AC626">
            <v>46127</v>
          </cell>
          <cell r="AD626">
            <v>18</v>
          </cell>
          <cell r="AE626">
            <v>46387</v>
          </cell>
          <cell r="AF626">
            <v>84</v>
          </cell>
          <cell r="AG626">
            <v>0</v>
          </cell>
          <cell r="AH626">
            <v>84</v>
          </cell>
          <cell r="AI626">
            <v>85</v>
          </cell>
          <cell r="AJ626">
            <v>0</v>
          </cell>
          <cell r="AK626">
            <v>0</v>
          </cell>
          <cell r="AL626">
            <v>1</v>
          </cell>
          <cell r="AM626">
            <v>0</v>
          </cell>
          <cell r="AN626">
            <v>1</v>
          </cell>
          <cell r="AO626">
            <v>0</v>
          </cell>
          <cell r="AP626">
            <v>1</v>
          </cell>
          <cell r="AQ626" t="str">
            <v>US_CMSP_00736</v>
          </cell>
          <cell r="AR626">
            <v>0</v>
          </cell>
          <cell r="AS626">
            <v>136</v>
          </cell>
          <cell r="AU626">
            <v>136</v>
          </cell>
          <cell r="AV626">
            <v>0</v>
          </cell>
          <cell r="AW626">
            <v>136</v>
          </cell>
          <cell r="AX626">
            <v>134.63999999999999</v>
          </cell>
          <cell r="AY626">
            <v>0</v>
          </cell>
          <cell r="AZ626">
            <v>136</v>
          </cell>
          <cell r="BA626">
            <v>134.63999999999999</v>
          </cell>
          <cell r="BB626">
            <v>136</v>
          </cell>
          <cell r="BC626">
            <v>0</v>
          </cell>
          <cell r="BD626">
            <v>0</v>
          </cell>
          <cell r="BE626">
            <v>0</v>
          </cell>
          <cell r="BG626">
            <v>134.63999999999999</v>
          </cell>
          <cell r="BI626">
            <v>0</v>
          </cell>
          <cell r="BJ626">
            <v>11560</v>
          </cell>
          <cell r="BK626">
            <v>11560</v>
          </cell>
          <cell r="BL626">
            <v>11424</v>
          </cell>
          <cell r="BM626">
            <v>0</v>
          </cell>
          <cell r="BN626">
            <v>0</v>
          </cell>
          <cell r="BO626">
            <v>0</v>
          </cell>
          <cell r="BP626">
            <v>11424</v>
          </cell>
          <cell r="BQ626">
            <v>0</v>
          </cell>
          <cell r="BR626">
            <v>136</v>
          </cell>
          <cell r="BT626">
            <v>2</v>
          </cell>
          <cell r="BU626">
            <v>2</v>
          </cell>
          <cell r="BV626" t="str">
            <v>N</v>
          </cell>
          <cell r="BW626">
            <v>0</v>
          </cell>
          <cell r="BX626">
            <v>0</v>
          </cell>
          <cell r="BY626">
            <v>2026</v>
          </cell>
          <cell r="BZ626" t="str">
            <v>-</v>
          </cell>
          <cell r="CA626" t="str">
            <v>-</v>
          </cell>
        </row>
        <row r="627">
          <cell r="A627" t="str">
            <v>Lucknow</v>
          </cell>
          <cell r="B627" t="str">
            <v>Mavericks</v>
          </cell>
          <cell r="C627" t="str">
            <v>Mid Level</v>
          </cell>
          <cell r="D627" t="str">
            <v>Mohammad Fakhrul</v>
          </cell>
          <cell r="E627" t="str">
            <v>-</v>
          </cell>
          <cell r="F627" t="str">
            <v>MSP</v>
          </cell>
          <cell r="H627" t="str">
            <v>Pass Through/MSP</v>
          </cell>
          <cell r="J627" t="str">
            <v>ACH</v>
          </cell>
          <cell r="L627" t="str">
            <v>New</v>
          </cell>
          <cell r="M627">
            <v>46119</v>
          </cell>
          <cell r="N627">
            <v>83</v>
          </cell>
          <cell r="P627">
            <v>46484</v>
          </cell>
          <cell r="Q627" t="str">
            <v>PLC-Passthrough</v>
          </cell>
          <cell r="R627" t="str">
            <v>Shantanu Subhash Deo</v>
          </cell>
          <cell r="S627" t="str">
            <v>Individual</v>
          </cell>
          <cell r="T627" t="str">
            <v>C2C</v>
          </cell>
          <cell r="U627" t="str">
            <v>CoForge</v>
          </cell>
          <cell r="V627">
            <v>84</v>
          </cell>
          <cell r="W627">
            <v>0</v>
          </cell>
          <cell r="X627" t="str">
            <v>USD</v>
          </cell>
          <cell r="Y627">
            <v>85</v>
          </cell>
          <cell r="Z627">
            <v>0</v>
          </cell>
          <cell r="AA627">
            <v>0</v>
          </cell>
          <cell r="AB627">
            <v>0</v>
          </cell>
          <cell r="AC627">
            <v>46157</v>
          </cell>
          <cell r="AD627">
            <v>18</v>
          </cell>
          <cell r="AE627">
            <v>46387</v>
          </cell>
          <cell r="AF627">
            <v>84</v>
          </cell>
          <cell r="AG627">
            <v>0</v>
          </cell>
          <cell r="AH627">
            <v>84</v>
          </cell>
          <cell r="AI627">
            <v>85</v>
          </cell>
          <cell r="AJ627">
            <v>0</v>
          </cell>
          <cell r="AK627">
            <v>0</v>
          </cell>
          <cell r="AL627">
            <v>1</v>
          </cell>
          <cell r="AM627">
            <v>0</v>
          </cell>
          <cell r="AN627">
            <v>1</v>
          </cell>
          <cell r="AO627">
            <v>0</v>
          </cell>
          <cell r="AP627">
            <v>1</v>
          </cell>
          <cell r="AQ627" t="str">
            <v>US_CMSP_00877</v>
          </cell>
          <cell r="AR627">
            <v>0</v>
          </cell>
          <cell r="AS627">
            <v>168</v>
          </cell>
          <cell r="AU627">
            <v>168</v>
          </cell>
          <cell r="AV627">
            <v>0</v>
          </cell>
          <cell r="AW627">
            <v>168</v>
          </cell>
          <cell r="AX627">
            <v>166.32</v>
          </cell>
          <cell r="AY627">
            <v>0</v>
          </cell>
          <cell r="AZ627">
            <v>168</v>
          </cell>
          <cell r="BA627">
            <v>166.32</v>
          </cell>
          <cell r="BB627">
            <v>168</v>
          </cell>
          <cell r="BC627">
            <v>0</v>
          </cell>
          <cell r="BD627">
            <v>0</v>
          </cell>
          <cell r="BE627">
            <v>0</v>
          </cell>
          <cell r="BG627">
            <v>166.32</v>
          </cell>
          <cell r="BI627">
            <v>0</v>
          </cell>
          <cell r="BJ627">
            <v>14280</v>
          </cell>
          <cell r="BK627">
            <v>14280</v>
          </cell>
          <cell r="BL627">
            <v>14112</v>
          </cell>
          <cell r="BM627">
            <v>0</v>
          </cell>
          <cell r="BN627">
            <v>0</v>
          </cell>
          <cell r="BO627">
            <v>0</v>
          </cell>
          <cell r="BP627">
            <v>14112</v>
          </cell>
          <cell r="BQ627">
            <v>0</v>
          </cell>
          <cell r="BR627">
            <v>168</v>
          </cell>
          <cell r="BT627">
            <v>2</v>
          </cell>
          <cell r="BU627">
            <v>2</v>
          </cell>
          <cell r="BV627" t="str">
            <v>N</v>
          </cell>
          <cell r="BW627">
            <v>0</v>
          </cell>
          <cell r="BX627">
            <v>0</v>
          </cell>
          <cell r="BY627">
            <v>2026</v>
          </cell>
          <cell r="BZ627" t="str">
            <v>-</v>
          </cell>
          <cell r="CA627" t="str">
            <v>-</v>
          </cell>
        </row>
        <row r="628">
          <cell r="A628" t="str">
            <v>Lucknow</v>
          </cell>
          <cell r="B628" t="str">
            <v>Mavericks</v>
          </cell>
          <cell r="C628" t="str">
            <v>Mid Level</v>
          </cell>
          <cell r="D628" t="str">
            <v>Mohammad Fakhrul</v>
          </cell>
          <cell r="E628" t="str">
            <v>-</v>
          </cell>
          <cell r="F628" t="str">
            <v>MSP</v>
          </cell>
          <cell r="H628" t="str">
            <v>Pass Through/MSP</v>
          </cell>
          <cell r="L628" t="str">
            <v>New</v>
          </cell>
          <cell r="M628">
            <v>46057</v>
          </cell>
          <cell r="N628">
            <v>145</v>
          </cell>
          <cell r="P628">
            <v>46422</v>
          </cell>
          <cell r="Q628" t="str">
            <v>PLC-Passthrough</v>
          </cell>
          <cell r="R628" t="str">
            <v>Sharad Sinha</v>
          </cell>
          <cell r="S628" t="str">
            <v>Individual</v>
          </cell>
          <cell r="T628" t="str">
            <v>C2C Canada</v>
          </cell>
          <cell r="U628" t="str">
            <v>CoForge</v>
          </cell>
          <cell r="V628">
            <v>75</v>
          </cell>
          <cell r="W628">
            <v>0</v>
          </cell>
          <cell r="X628" t="str">
            <v>CAD</v>
          </cell>
          <cell r="Y628">
            <v>76</v>
          </cell>
          <cell r="Z628">
            <v>0</v>
          </cell>
          <cell r="AA628">
            <v>0</v>
          </cell>
          <cell r="AB628">
            <v>0</v>
          </cell>
          <cell r="AC628">
            <v>46068</v>
          </cell>
          <cell r="AD628">
            <v>18</v>
          </cell>
          <cell r="AE628">
            <v>46387</v>
          </cell>
          <cell r="AF628">
            <v>53.25</v>
          </cell>
          <cell r="AG628">
            <v>0</v>
          </cell>
          <cell r="AH628">
            <v>53.25</v>
          </cell>
          <cell r="AI628">
            <v>53.959999999999994</v>
          </cell>
          <cell r="AJ628">
            <v>0</v>
          </cell>
          <cell r="AK628">
            <v>0</v>
          </cell>
          <cell r="AL628">
            <v>0.70999999999999375</v>
          </cell>
          <cell r="AM628">
            <v>0</v>
          </cell>
          <cell r="AN628">
            <v>0.70999999999999375</v>
          </cell>
          <cell r="AO628">
            <v>0</v>
          </cell>
          <cell r="AP628">
            <v>0.70999999999999375</v>
          </cell>
          <cell r="AQ628" t="str">
            <v>CAD_2001</v>
          </cell>
          <cell r="AR628">
            <v>0</v>
          </cell>
          <cell r="AS628">
            <v>136</v>
          </cell>
          <cell r="AU628">
            <v>136</v>
          </cell>
          <cell r="AV628">
            <v>0</v>
          </cell>
          <cell r="AW628">
            <v>96.55999999999915</v>
          </cell>
          <cell r="AX628">
            <v>96.55999999999915</v>
          </cell>
          <cell r="AY628">
            <v>0</v>
          </cell>
          <cell r="AZ628">
            <v>96.55999999999915</v>
          </cell>
          <cell r="BA628">
            <v>96.55999999999915</v>
          </cell>
          <cell r="BB628">
            <v>96.55999999999915</v>
          </cell>
          <cell r="BC628">
            <v>0</v>
          </cell>
          <cell r="BD628">
            <v>0</v>
          </cell>
          <cell r="BE628">
            <v>0</v>
          </cell>
          <cell r="BG628">
            <v>96.55999999999915</v>
          </cell>
          <cell r="BI628">
            <v>96.55999999999915</v>
          </cell>
          <cell r="BJ628">
            <v>10336</v>
          </cell>
          <cell r="BK628">
            <v>7338.5599999999995</v>
          </cell>
          <cell r="BL628">
            <v>7557.18</v>
          </cell>
          <cell r="BM628">
            <v>0</v>
          </cell>
          <cell r="BN628">
            <v>0</v>
          </cell>
          <cell r="BO628">
            <v>0</v>
          </cell>
          <cell r="BP628">
            <v>7557.18</v>
          </cell>
          <cell r="BQ628">
            <v>0</v>
          </cell>
          <cell r="BR628">
            <v>-218.6200000000008</v>
          </cell>
          <cell r="BS628" t="str">
            <v>Y</v>
          </cell>
          <cell r="BT628">
            <v>1</v>
          </cell>
          <cell r="BU628">
            <v>1</v>
          </cell>
          <cell r="BV628" t="str">
            <v>N</v>
          </cell>
          <cell r="BW628">
            <v>0</v>
          </cell>
          <cell r="BX628">
            <v>0</v>
          </cell>
          <cell r="BY628">
            <v>2026</v>
          </cell>
          <cell r="BZ628" t="str">
            <v>-</v>
          </cell>
          <cell r="CA628" t="str">
            <v>-</v>
          </cell>
        </row>
        <row r="629">
          <cell r="A629" t="str">
            <v>Lucknow</v>
          </cell>
          <cell r="B629" t="str">
            <v>Mavericks</v>
          </cell>
          <cell r="C629" t="str">
            <v>Mid Level</v>
          </cell>
          <cell r="D629" t="str">
            <v>Mohammad Fakhrul</v>
          </cell>
          <cell r="E629" t="str">
            <v>-</v>
          </cell>
          <cell r="F629" t="str">
            <v>MSP</v>
          </cell>
          <cell r="H629" t="str">
            <v>Pass Through/MSP</v>
          </cell>
          <cell r="L629" t="str">
            <v>New</v>
          </cell>
          <cell r="M629">
            <v>46057</v>
          </cell>
          <cell r="N629">
            <v>145</v>
          </cell>
          <cell r="P629">
            <v>46422</v>
          </cell>
          <cell r="Q629" t="str">
            <v>PLC-Passthrough</v>
          </cell>
          <cell r="R629" t="str">
            <v>Sharad Sinha</v>
          </cell>
          <cell r="S629" t="str">
            <v>Individual</v>
          </cell>
          <cell r="T629" t="str">
            <v>C2C Canada</v>
          </cell>
          <cell r="U629" t="str">
            <v>CoForge</v>
          </cell>
          <cell r="V629">
            <v>75</v>
          </cell>
          <cell r="W629">
            <v>0</v>
          </cell>
          <cell r="X629" t="str">
            <v>CAD</v>
          </cell>
          <cell r="Y629">
            <v>76</v>
          </cell>
          <cell r="Z629">
            <v>0</v>
          </cell>
          <cell r="AA629">
            <v>0</v>
          </cell>
          <cell r="AB629">
            <v>0</v>
          </cell>
          <cell r="AC629">
            <v>46096</v>
          </cell>
          <cell r="AD629">
            <v>22</v>
          </cell>
          <cell r="AE629">
            <v>46387</v>
          </cell>
          <cell r="AF629">
            <v>53.25</v>
          </cell>
          <cell r="AG629">
            <v>0</v>
          </cell>
          <cell r="AH629">
            <v>53.25</v>
          </cell>
          <cell r="AI629">
            <v>53.959999999999994</v>
          </cell>
          <cell r="AJ629">
            <v>0</v>
          </cell>
          <cell r="AK629">
            <v>0</v>
          </cell>
          <cell r="AL629">
            <v>0.70999999999999375</v>
          </cell>
          <cell r="AM629">
            <v>0</v>
          </cell>
          <cell r="AN629">
            <v>0.70999999999999375</v>
          </cell>
          <cell r="AO629">
            <v>0</v>
          </cell>
          <cell r="AP629">
            <v>0.70999999999999375</v>
          </cell>
          <cell r="AQ629" t="str">
            <v>CAD_2024</v>
          </cell>
          <cell r="AR629">
            <v>0</v>
          </cell>
          <cell r="AS629">
            <v>176</v>
          </cell>
          <cell r="AU629">
            <v>176</v>
          </cell>
          <cell r="AV629">
            <v>0</v>
          </cell>
          <cell r="AW629">
            <v>124.9599999999989</v>
          </cell>
          <cell r="AX629">
            <v>124.9599999999989</v>
          </cell>
          <cell r="AY629">
            <v>0</v>
          </cell>
          <cell r="AZ629">
            <v>124.9599999999989</v>
          </cell>
          <cell r="BA629">
            <v>124.9599999999989</v>
          </cell>
          <cell r="BB629">
            <v>124.9599999999989</v>
          </cell>
          <cell r="BC629">
            <v>0</v>
          </cell>
          <cell r="BD629">
            <v>0</v>
          </cell>
          <cell r="BE629">
            <v>0</v>
          </cell>
          <cell r="BG629">
            <v>124.9599999999989</v>
          </cell>
          <cell r="BI629">
            <v>124.9599999999989</v>
          </cell>
          <cell r="BJ629">
            <v>13376</v>
          </cell>
          <cell r="BK629">
            <v>9496.9599999999991</v>
          </cell>
          <cell r="BL629">
            <v>9779.8799999999992</v>
          </cell>
          <cell r="BM629">
            <v>0</v>
          </cell>
          <cell r="BN629">
            <v>0</v>
          </cell>
          <cell r="BO629">
            <v>0</v>
          </cell>
          <cell r="BP629">
            <v>9779.8799999999992</v>
          </cell>
          <cell r="BQ629">
            <v>0</v>
          </cell>
          <cell r="BR629">
            <v>-282.92000000000007</v>
          </cell>
          <cell r="BS629" t="str">
            <v>Y</v>
          </cell>
          <cell r="BT629">
            <v>1</v>
          </cell>
          <cell r="BU629">
            <v>1</v>
          </cell>
          <cell r="BV629" t="str">
            <v>N</v>
          </cell>
          <cell r="BW629">
            <v>0</v>
          </cell>
          <cell r="BX629">
            <v>0</v>
          </cell>
          <cell r="BY629">
            <v>2026</v>
          </cell>
          <cell r="BZ629" t="str">
            <v>-</v>
          </cell>
          <cell r="CA629" t="str">
            <v>-</v>
          </cell>
        </row>
        <row r="630">
          <cell r="A630" t="str">
            <v>Lucknow</v>
          </cell>
          <cell r="B630" t="str">
            <v>Mavericks</v>
          </cell>
          <cell r="C630" t="str">
            <v>Mid Level</v>
          </cell>
          <cell r="D630" t="str">
            <v>Mohammad Fakhrul</v>
          </cell>
          <cell r="E630" t="str">
            <v>-</v>
          </cell>
          <cell r="F630" t="str">
            <v>MSP</v>
          </cell>
          <cell r="H630" t="str">
            <v>Pass Through/MSP</v>
          </cell>
          <cell r="J630" t="str">
            <v>ACH</v>
          </cell>
          <cell r="L630" t="str">
            <v>New</v>
          </cell>
          <cell r="M630">
            <v>46057</v>
          </cell>
          <cell r="N630">
            <v>145</v>
          </cell>
          <cell r="P630">
            <v>46422</v>
          </cell>
          <cell r="Q630" t="str">
            <v>PLC-Passthrough</v>
          </cell>
          <cell r="R630" t="str">
            <v>Sharad Sinha</v>
          </cell>
          <cell r="S630" t="str">
            <v>Individual</v>
          </cell>
          <cell r="T630" t="str">
            <v>C2C Canada</v>
          </cell>
          <cell r="U630" t="str">
            <v>CoForge</v>
          </cell>
          <cell r="V630">
            <v>75</v>
          </cell>
          <cell r="W630">
            <v>0</v>
          </cell>
          <cell r="X630" t="str">
            <v>CAD</v>
          </cell>
          <cell r="Y630">
            <v>76</v>
          </cell>
          <cell r="Z630">
            <v>0</v>
          </cell>
          <cell r="AA630">
            <v>0</v>
          </cell>
          <cell r="AB630">
            <v>0</v>
          </cell>
          <cell r="AC630">
            <v>46127</v>
          </cell>
          <cell r="AD630">
            <v>22</v>
          </cell>
          <cell r="AE630">
            <v>46387</v>
          </cell>
          <cell r="AF630">
            <v>53.25</v>
          </cell>
          <cell r="AG630">
            <v>0</v>
          </cell>
          <cell r="AH630">
            <v>53.25</v>
          </cell>
          <cell r="AI630">
            <v>53.959999999999994</v>
          </cell>
          <cell r="AJ630">
            <v>0</v>
          </cell>
          <cell r="AK630">
            <v>0</v>
          </cell>
          <cell r="AL630">
            <v>0.70999999999999375</v>
          </cell>
          <cell r="AM630">
            <v>0</v>
          </cell>
          <cell r="AN630">
            <v>0.70999999999999375</v>
          </cell>
          <cell r="AO630">
            <v>0</v>
          </cell>
          <cell r="AP630">
            <v>0.70999999999999375</v>
          </cell>
          <cell r="AQ630" t="str">
            <v>CAD_2090</v>
          </cell>
          <cell r="AR630">
            <v>0</v>
          </cell>
          <cell r="AS630">
            <v>168</v>
          </cell>
          <cell r="AU630">
            <v>168</v>
          </cell>
          <cell r="AV630">
            <v>0</v>
          </cell>
          <cell r="AW630">
            <v>119.27999999999895</v>
          </cell>
          <cell r="AX630">
            <v>118.08719999999896</v>
          </cell>
          <cell r="AY630">
            <v>0</v>
          </cell>
          <cell r="AZ630">
            <v>119.27999999999895</v>
          </cell>
          <cell r="BA630">
            <v>118.08719999999896</v>
          </cell>
          <cell r="BB630">
            <v>119.27999999999895</v>
          </cell>
          <cell r="BC630">
            <v>0</v>
          </cell>
          <cell r="BD630">
            <v>0</v>
          </cell>
          <cell r="BE630">
            <v>0</v>
          </cell>
          <cell r="BG630">
            <v>118.08719999999896</v>
          </cell>
          <cell r="BI630">
            <v>118.08719999999896</v>
          </cell>
          <cell r="BJ630">
            <v>12768</v>
          </cell>
          <cell r="BK630">
            <v>9065.2799999999988</v>
          </cell>
          <cell r="BL630">
            <v>9335.34</v>
          </cell>
          <cell r="BM630">
            <v>0</v>
          </cell>
          <cell r="BN630">
            <v>0</v>
          </cell>
          <cell r="BO630">
            <v>0</v>
          </cell>
          <cell r="BP630">
            <v>9335.34</v>
          </cell>
          <cell r="BQ630">
            <v>0</v>
          </cell>
          <cell r="BR630">
            <v>-270.06000000000131</v>
          </cell>
          <cell r="BS630" t="str">
            <v>Y</v>
          </cell>
          <cell r="BT630">
            <v>2</v>
          </cell>
          <cell r="BU630">
            <v>1</v>
          </cell>
          <cell r="BV630" t="str">
            <v>N</v>
          </cell>
          <cell r="BW630">
            <v>0</v>
          </cell>
          <cell r="BX630">
            <v>0</v>
          </cell>
          <cell r="BY630">
            <v>2026</v>
          </cell>
          <cell r="BZ630" t="str">
            <v>-</v>
          </cell>
          <cell r="CA630" t="str">
            <v>-</v>
          </cell>
        </row>
        <row r="631">
          <cell r="A631" t="str">
            <v>Lucknow</v>
          </cell>
          <cell r="B631" t="str">
            <v>Mavericks</v>
          </cell>
          <cell r="C631" t="str">
            <v>Mid Level</v>
          </cell>
          <cell r="D631" t="str">
            <v>Mohammad Fakhrul</v>
          </cell>
          <cell r="E631" t="str">
            <v>-</v>
          </cell>
          <cell r="F631" t="str">
            <v>MSP</v>
          </cell>
          <cell r="H631" t="str">
            <v>Pass Through/MSP</v>
          </cell>
          <cell r="J631" t="str">
            <v>ACH</v>
          </cell>
          <cell r="L631" t="str">
            <v>New</v>
          </cell>
          <cell r="M631">
            <v>46057</v>
          </cell>
          <cell r="N631">
            <v>145</v>
          </cell>
          <cell r="P631">
            <v>46422</v>
          </cell>
          <cell r="Q631" t="str">
            <v>PLC-Passthrough</v>
          </cell>
          <cell r="R631" t="str">
            <v>Sharad Sinha</v>
          </cell>
          <cell r="S631" t="str">
            <v>Individual</v>
          </cell>
          <cell r="T631" t="str">
            <v>C2C Canada</v>
          </cell>
          <cell r="U631" t="str">
            <v>CoForge</v>
          </cell>
          <cell r="V631">
            <v>75</v>
          </cell>
          <cell r="W631">
            <v>0</v>
          </cell>
          <cell r="X631" t="str">
            <v>CAD</v>
          </cell>
          <cell r="Y631">
            <v>76</v>
          </cell>
          <cell r="Z631">
            <v>0</v>
          </cell>
          <cell r="AA631">
            <v>0</v>
          </cell>
          <cell r="AB631">
            <v>0</v>
          </cell>
          <cell r="AC631">
            <v>46157</v>
          </cell>
          <cell r="AD631">
            <v>22</v>
          </cell>
          <cell r="AE631">
            <v>46387</v>
          </cell>
          <cell r="AF631">
            <v>53.25</v>
          </cell>
          <cell r="AG631">
            <v>0</v>
          </cell>
          <cell r="AH631">
            <v>53.25</v>
          </cell>
          <cell r="AI631">
            <v>53.959999999999994</v>
          </cell>
          <cell r="AJ631">
            <v>0</v>
          </cell>
          <cell r="AK631">
            <v>0</v>
          </cell>
          <cell r="AL631">
            <v>0.70999999999999375</v>
          </cell>
          <cell r="AM631">
            <v>0</v>
          </cell>
          <cell r="AN631">
            <v>0.70999999999999375</v>
          </cell>
          <cell r="AO631">
            <v>0</v>
          </cell>
          <cell r="AP631">
            <v>0.70999999999999375</v>
          </cell>
          <cell r="AQ631" t="str">
            <v>CAD_2154</v>
          </cell>
          <cell r="AR631">
            <v>0</v>
          </cell>
          <cell r="AS631">
            <v>160</v>
          </cell>
          <cell r="AU631">
            <v>160</v>
          </cell>
          <cell r="AV631">
            <v>0</v>
          </cell>
          <cell r="AW631">
            <v>113.599999999999</v>
          </cell>
          <cell r="AX631">
            <v>112.463999999999</v>
          </cell>
          <cell r="AY631">
            <v>0</v>
          </cell>
          <cell r="AZ631">
            <v>113.599999999999</v>
          </cell>
          <cell r="BA631">
            <v>112.463999999999</v>
          </cell>
          <cell r="BB631">
            <v>113.599999999999</v>
          </cell>
          <cell r="BC631">
            <v>0</v>
          </cell>
          <cell r="BD631">
            <v>0</v>
          </cell>
          <cell r="BE631">
            <v>0</v>
          </cell>
          <cell r="BG631">
            <v>112.463999999999</v>
          </cell>
          <cell r="BI631">
            <v>112.463999999999</v>
          </cell>
          <cell r="BJ631">
            <v>12160</v>
          </cell>
          <cell r="BK631">
            <v>8633.5999999999985</v>
          </cell>
          <cell r="BL631">
            <v>8890.7999999999993</v>
          </cell>
          <cell r="BM631">
            <v>0</v>
          </cell>
          <cell r="BN631">
            <v>0</v>
          </cell>
          <cell r="BO631">
            <v>0</v>
          </cell>
          <cell r="BP631">
            <v>8890.7999999999993</v>
          </cell>
          <cell r="BQ631">
            <v>0</v>
          </cell>
          <cell r="BR631">
            <v>-257.20000000000073</v>
          </cell>
          <cell r="BT631">
            <v>2</v>
          </cell>
          <cell r="BU631">
            <v>1</v>
          </cell>
          <cell r="BV631" t="str">
            <v>N</v>
          </cell>
          <cell r="BW631">
            <v>0</v>
          </cell>
          <cell r="BX631">
            <v>0</v>
          </cell>
          <cell r="BY631">
            <v>2026</v>
          </cell>
          <cell r="BZ631" t="str">
            <v>-</v>
          </cell>
          <cell r="CA631" t="str">
            <v>-</v>
          </cell>
        </row>
        <row r="632">
          <cell r="A632" t="str">
            <v>Lucknow</v>
          </cell>
          <cell r="B632" t="str">
            <v>Trust</v>
          </cell>
          <cell r="C632" t="str">
            <v>Mid Level</v>
          </cell>
          <cell r="D632" t="str">
            <v>Harsh Agarwal</v>
          </cell>
          <cell r="E632" t="str">
            <v>-</v>
          </cell>
          <cell r="F632" t="str">
            <v>Non-MSP</v>
          </cell>
          <cell r="H632" t="str">
            <v>Sana Zohra</v>
          </cell>
          <cell r="L632" t="str">
            <v>New</v>
          </cell>
          <cell r="M632">
            <v>46059</v>
          </cell>
          <cell r="N632">
            <v>143</v>
          </cell>
          <cell r="O632">
            <v>46080</v>
          </cell>
          <cell r="P632">
            <v>46424</v>
          </cell>
          <cell r="Q632" t="str">
            <v>PLC-4675</v>
          </cell>
          <cell r="R632" t="str">
            <v>Sharon Klihah Moore</v>
          </cell>
          <cell r="S632" t="str">
            <v>Individual</v>
          </cell>
          <cell r="T632" t="str">
            <v>W2</v>
          </cell>
          <cell r="U632" t="str">
            <v>Birlasoft</v>
          </cell>
          <cell r="V632">
            <v>42</v>
          </cell>
          <cell r="W632">
            <v>0</v>
          </cell>
          <cell r="X632" t="str">
            <v>USD</v>
          </cell>
          <cell r="Y632">
            <v>60</v>
          </cell>
          <cell r="Z632">
            <v>0</v>
          </cell>
          <cell r="AA632">
            <v>0</v>
          </cell>
          <cell r="AB632">
            <v>0</v>
          </cell>
          <cell r="AC632">
            <v>46068</v>
          </cell>
          <cell r="AD632">
            <v>16</v>
          </cell>
          <cell r="AE632">
            <v>46387</v>
          </cell>
          <cell r="AF632">
            <v>48.3</v>
          </cell>
          <cell r="AG632">
            <v>0</v>
          </cell>
          <cell r="AH632">
            <v>48.3</v>
          </cell>
          <cell r="AI632">
            <v>60</v>
          </cell>
          <cell r="AJ632">
            <v>0</v>
          </cell>
          <cell r="AK632">
            <v>0</v>
          </cell>
          <cell r="AL632">
            <v>11.700000000000003</v>
          </cell>
          <cell r="AM632">
            <v>0</v>
          </cell>
          <cell r="AN632">
            <v>11.700000000000003</v>
          </cell>
          <cell r="AO632">
            <v>0</v>
          </cell>
          <cell r="AP632">
            <v>11.700000000000003</v>
          </cell>
          <cell r="AQ632" t="str">
            <v>US_27171</v>
          </cell>
          <cell r="AR632">
            <v>0</v>
          </cell>
          <cell r="AS632">
            <v>88</v>
          </cell>
          <cell r="AU632">
            <v>88</v>
          </cell>
          <cell r="AV632">
            <v>0</v>
          </cell>
          <cell r="AW632">
            <v>1029.6000000000004</v>
          </cell>
          <cell r="AX632">
            <v>1029.6000000000004</v>
          </cell>
          <cell r="AY632">
            <v>0</v>
          </cell>
          <cell r="AZ632">
            <v>1029.6000000000004</v>
          </cell>
          <cell r="BA632">
            <v>1029.6000000000004</v>
          </cell>
          <cell r="BB632">
            <v>1029.6000000000004</v>
          </cell>
          <cell r="BC632">
            <v>0</v>
          </cell>
          <cell r="BD632">
            <v>0</v>
          </cell>
          <cell r="BE632">
            <v>0</v>
          </cell>
          <cell r="BF632">
            <v>39</v>
          </cell>
          <cell r="BG632">
            <v>1029.6000000000004</v>
          </cell>
          <cell r="BH632">
            <v>566.2800000000002</v>
          </cell>
          <cell r="BI632">
            <v>1029.6000000000004</v>
          </cell>
          <cell r="BJ632">
            <v>5280</v>
          </cell>
          <cell r="BK632">
            <v>5280</v>
          </cell>
          <cell r="BL632">
            <v>3696</v>
          </cell>
          <cell r="BM632">
            <v>6.3</v>
          </cell>
          <cell r="BN632">
            <v>0</v>
          </cell>
          <cell r="BO632">
            <v>554.4</v>
          </cell>
          <cell r="BP632">
            <v>4250.3999999999996</v>
          </cell>
          <cell r="BQ632">
            <v>6.3</v>
          </cell>
          <cell r="BR632">
            <v>1029.5999999999999</v>
          </cell>
          <cell r="BS632" t="str">
            <v>Y</v>
          </cell>
          <cell r="BT632">
            <v>1</v>
          </cell>
          <cell r="BU632">
            <v>1</v>
          </cell>
          <cell r="BV632" t="str">
            <v>Y</v>
          </cell>
          <cell r="BW632">
            <v>0</v>
          </cell>
          <cell r="BX632">
            <v>0</v>
          </cell>
          <cell r="BY632">
            <v>2026</v>
          </cell>
          <cell r="BZ632" t="str">
            <v>-</v>
          </cell>
          <cell r="CA632" t="str">
            <v>-</v>
          </cell>
        </row>
        <row r="633">
          <cell r="A633" t="str">
            <v>Lucknow</v>
          </cell>
          <cell r="B633" t="str">
            <v>Pioneer</v>
          </cell>
          <cell r="C633" t="str">
            <v>Mid Level</v>
          </cell>
          <cell r="D633" t="str">
            <v>Lucky Jain</v>
          </cell>
          <cell r="E633" t="str">
            <v>-</v>
          </cell>
          <cell r="F633" t="str">
            <v>Non-MSP</v>
          </cell>
          <cell r="H633" t="str">
            <v>Ansh Singh Rathore</v>
          </cell>
          <cell r="L633" t="str">
            <v>New</v>
          </cell>
          <cell r="M633">
            <v>46055</v>
          </cell>
          <cell r="N633">
            <v>147</v>
          </cell>
          <cell r="P633">
            <v>46420</v>
          </cell>
          <cell r="Q633" t="str">
            <v>PLC-4701</v>
          </cell>
          <cell r="R633" t="str">
            <v>Shashank Sharma</v>
          </cell>
          <cell r="S633" t="str">
            <v>Individual</v>
          </cell>
          <cell r="T633" t="str">
            <v>FTE</v>
          </cell>
          <cell r="U633" t="str">
            <v>Mphasis</v>
          </cell>
          <cell r="V633">
            <v>0</v>
          </cell>
          <cell r="W633">
            <v>0</v>
          </cell>
          <cell r="X633" t="str">
            <v>USD</v>
          </cell>
          <cell r="Y633">
            <v>3000</v>
          </cell>
          <cell r="Z633">
            <v>0</v>
          </cell>
          <cell r="AA633">
            <v>0</v>
          </cell>
          <cell r="AB633">
            <v>0</v>
          </cell>
          <cell r="AC633">
            <v>46068</v>
          </cell>
          <cell r="AD633">
            <v>1</v>
          </cell>
          <cell r="AE633">
            <v>46387</v>
          </cell>
          <cell r="AF633">
            <v>0</v>
          </cell>
          <cell r="AG633">
            <v>0</v>
          </cell>
          <cell r="AH633">
            <v>0</v>
          </cell>
          <cell r="AI633">
            <v>3000</v>
          </cell>
          <cell r="AJ633">
            <v>0</v>
          </cell>
          <cell r="AK633">
            <v>0</v>
          </cell>
          <cell r="AL633">
            <v>3000</v>
          </cell>
          <cell r="AM633">
            <v>0</v>
          </cell>
          <cell r="AN633">
            <v>3000</v>
          </cell>
          <cell r="AO633">
            <v>0</v>
          </cell>
          <cell r="AP633">
            <v>3000</v>
          </cell>
          <cell r="AQ633" t="str">
            <v>US_27206</v>
          </cell>
          <cell r="AR633">
            <v>0</v>
          </cell>
          <cell r="AS633">
            <v>1</v>
          </cell>
          <cell r="AU633">
            <v>1</v>
          </cell>
          <cell r="AV633">
            <v>0</v>
          </cell>
          <cell r="AW633">
            <v>3000</v>
          </cell>
          <cell r="AX633">
            <v>3000</v>
          </cell>
          <cell r="AY633">
            <v>0</v>
          </cell>
          <cell r="AZ633">
            <v>3000</v>
          </cell>
          <cell r="BA633">
            <v>3000</v>
          </cell>
          <cell r="BB633">
            <v>3000</v>
          </cell>
          <cell r="BC633">
            <v>60</v>
          </cell>
          <cell r="BD633">
            <v>3960</v>
          </cell>
          <cell r="BE633">
            <v>3960</v>
          </cell>
          <cell r="BG633">
            <v>3000</v>
          </cell>
          <cell r="BI633">
            <v>3000</v>
          </cell>
          <cell r="BJ633">
            <v>3000</v>
          </cell>
          <cell r="BK633">
            <v>3000</v>
          </cell>
          <cell r="BL633">
            <v>0</v>
          </cell>
          <cell r="BM633">
            <v>0</v>
          </cell>
          <cell r="BN633">
            <v>0</v>
          </cell>
          <cell r="BO633">
            <v>0</v>
          </cell>
          <cell r="BP633">
            <v>0</v>
          </cell>
          <cell r="BQ633">
            <v>0</v>
          </cell>
          <cell r="BR633">
            <v>3000</v>
          </cell>
          <cell r="BS633" t="str">
            <v>Y</v>
          </cell>
          <cell r="BT633">
            <v>1</v>
          </cell>
          <cell r="BU633">
            <v>1</v>
          </cell>
          <cell r="BV633" t="str">
            <v>N</v>
          </cell>
          <cell r="BW633">
            <v>7920</v>
          </cell>
          <cell r="BX633">
            <v>7920</v>
          </cell>
          <cell r="BY633">
            <v>2026</v>
          </cell>
          <cell r="BZ633" t="str">
            <v>-</v>
          </cell>
          <cell r="CA633" t="str">
            <v>-</v>
          </cell>
        </row>
        <row r="634">
          <cell r="A634" t="str">
            <v>Lucknow</v>
          </cell>
          <cell r="B634" t="str">
            <v>Mavericks</v>
          </cell>
          <cell r="C634" t="str">
            <v>Mid Level</v>
          </cell>
          <cell r="D634" t="str">
            <v>Mohammad Fakhrul</v>
          </cell>
          <cell r="E634" t="str">
            <v>-</v>
          </cell>
          <cell r="F634" t="str">
            <v>MSP</v>
          </cell>
          <cell r="H634" t="str">
            <v>Pass Through/MSP</v>
          </cell>
          <cell r="J634" t="str">
            <v>ACH</v>
          </cell>
          <cell r="L634" t="str">
            <v>New</v>
          </cell>
          <cell r="M634">
            <v>46129</v>
          </cell>
          <cell r="N634">
            <v>73</v>
          </cell>
          <cell r="P634">
            <v>46494</v>
          </cell>
          <cell r="Q634" t="str">
            <v>PLC-Passthrough</v>
          </cell>
          <cell r="R634" t="str">
            <v>Shashi Kanth Yerramilli</v>
          </cell>
          <cell r="S634" t="str">
            <v>Individual</v>
          </cell>
          <cell r="T634" t="str">
            <v>C2C</v>
          </cell>
          <cell r="U634" t="str">
            <v>Cigniti</v>
          </cell>
          <cell r="V634">
            <v>93</v>
          </cell>
          <cell r="W634">
            <v>0</v>
          </cell>
          <cell r="X634" t="str">
            <v>USD</v>
          </cell>
          <cell r="Y634">
            <v>95</v>
          </cell>
          <cell r="Z634">
            <v>0</v>
          </cell>
          <cell r="AA634">
            <v>0</v>
          </cell>
          <cell r="AB634">
            <v>0</v>
          </cell>
          <cell r="AC634">
            <v>46127</v>
          </cell>
          <cell r="AD634">
            <v>10</v>
          </cell>
          <cell r="AE634">
            <v>46387</v>
          </cell>
          <cell r="AF634">
            <v>93</v>
          </cell>
          <cell r="AG634">
            <v>0</v>
          </cell>
          <cell r="AH634">
            <v>93</v>
          </cell>
          <cell r="AI634">
            <v>95</v>
          </cell>
          <cell r="AJ634">
            <v>0</v>
          </cell>
          <cell r="AK634">
            <v>0</v>
          </cell>
          <cell r="AL634">
            <v>2</v>
          </cell>
          <cell r="AM634">
            <v>0</v>
          </cell>
          <cell r="AN634">
            <v>2</v>
          </cell>
          <cell r="AO634">
            <v>0</v>
          </cell>
          <cell r="AP634">
            <v>2</v>
          </cell>
          <cell r="AQ634" t="str">
            <v>US_CMSP_00743</v>
          </cell>
          <cell r="AR634">
            <v>0</v>
          </cell>
          <cell r="AS634">
            <v>72</v>
          </cell>
          <cell r="AU634">
            <v>72</v>
          </cell>
          <cell r="AV634">
            <v>0</v>
          </cell>
          <cell r="AW634">
            <v>144</v>
          </cell>
          <cell r="AX634">
            <v>142.56</v>
          </cell>
          <cell r="AY634">
            <v>0</v>
          </cell>
          <cell r="AZ634">
            <v>144</v>
          </cell>
          <cell r="BA634">
            <v>142.56</v>
          </cell>
          <cell r="BB634">
            <v>144</v>
          </cell>
          <cell r="BC634">
            <v>0</v>
          </cell>
          <cell r="BD634">
            <v>0</v>
          </cell>
          <cell r="BE634">
            <v>0</v>
          </cell>
          <cell r="BG634">
            <v>142.56</v>
          </cell>
          <cell r="BI634">
            <v>0</v>
          </cell>
          <cell r="BJ634">
            <v>6840</v>
          </cell>
          <cell r="BK634">
            <v>6840</v>
          </cell>
          <cell r="BL634">
            <v>6696</v>
          </cell>
          <cell r="BM634">
            <v>0</v>
          </cell>
          <cell r="BN634">
            <v>0</v>
          </cell>
          <cell r="BO634">
            <v>0</v>
          </cell>
          <cell r="BP634">
            <v>6696</v>
          </cell>
          <cell r="BQ634">
            <v>0</v>
          </cell>
          <cell r="BR634">
            <v>144</v>
          </cell>
          <cell r="BT634">
            <v>2</v>
          </cell>
          <cell r="BU634">
            <v>2</v>
          </cell>
          <cell r="BV634" t="str">
            <v>N</v>
          </cell>
          <cell r="BW634">
            <v>0</v>
          </cell>
          <cell r="BX634">
            <v>0</v>
          </cell>
          <cell r="BY634">
            <v>2026</v>
          </cell>
          <cell r="BZ634" t="str">
            <v>-</v>
          </cell>
          <cell r="CA634" t="str">
            <v>-</v>
          </cell>
        </row>
        <row r="635">
          <cell r="A635" t="str">
            <v>Lucknow</v>
          </cell>
          <cell r="B635" t="str">
            <v>Mavericks</v>
          </cell>
          <cell r="C635" t="str">
            <v>Mid Level</v>
          </cell>
          <cell r="D635" t="str">
            <v>Mohammad Fakhrul</v>
          </cell>
          <cell r="E635" t="str">
            <v>-</v>
          </cell>
          <cell r="F635" t="str">
            <v>MSP</v>
          </cell>
          <cell r="H635" t="str">
            <v>Pass Through/MSP</v>
          </cell>
          <cell r="J635" t="str">
            <v>ACH</v>
          </cell>
          <cell r="L635" t="str">
            <v>New</v>
          </cell>
          <cell r="M635">
            <v>46129</v>
          </cell>
          <cell r="N635">
            <v>73</v>
          </cell>
          <cell r="P635">
            <v>46494</v>
          </cell>
          <cell r="Q635" t="str">
            <v>PLC-Passthrough</v>
          </cell>
          <cell r="R635" t="str">
            <v>Shashi Kanth Yerramilli</v>
          </cell>
          <cell r="S635" t="str">
            <v>Individual</v>
          </cell>
          <cell r="T635" t="str">
            <v>C2C</v>
          </cell>
          <cell r="U635" t="str">
            <v>Cigniti</v>
          </cell>
          <cell r="V635">
            <v>93</v>
          </cell>
          <cell r="W635">
            <v>0</v>
          </cell>
          <cell r="X635" t="str">
            <v>USD</v>
          </cell>
          <cell r="Y635">
            <v>95</v>
          </cell>
          <cell r="Z635">
            <v>0</v>
          </cell>
          <cell r="AA635">
            <v>0</v>
          </cell>
          <cell r="AB635">
            <v>0</v>
          </cell>
          <cell r="AC635">
            <v>46157</v>
          </cell>
          <cell r="AD635">
            <v>10</v>
          </cell>
          <cell r="AE635">
            <v>46387</v>
          </cell>
          <cell r="AF635">
            <v>93</v>
          </cell>
          <cell r="AG635">
            <v>0</v>
          </cell>
          <cell r="AH635">
            <v>93</v>
          </cell>
          <cell r="AI635">
            <v>95</v>
          </cell>
          <cell r="AJ635">
            <v>0</v>
          </cell>
          <cell r="AK635">
            <v>0</v>
          </cell>
          <cell r="AL635">
            <v>2</v>
          </cell>
          <cell r="AM635">
            <v>0</v>
          </cell>
          <cell r="AN635">
            <v>2</v>
          </cell>
          <cell r="AO635">
            <v>0</v>
          </cell>
          <cell r="AP635">
            <v>2</v>
          </cell>
          <cell r="AU635">
            <v>80</v>
          </cell>
          <cell r="BB635">
            <v>160</v>
          </cell>
          <cell r="BC635">
            <v>0</v>
          </cell>
          <cell r="BD635">
            <v>0</v>
          </cell>
          <cell r="BE635">
            <v>0</v>
          </cell>
          <cell r="BI635">
            <v>0</v>
          </cell>
          <cell r="BK635">
            <v>7600</v>
          </cell>
          <cell r="BL635">
            <v>7440</v>
          </cell>
          <cell r="BM635">
            <v>0</v>
          </cell>
          <cell r="BN635">
            <v>0</v>
          </cell>
          <cell r="BO635">
            <v>0</v>
          </cell>
          <cell r="BP635">
            <v>7440</v>
          </cell>
          <cell r="BQ635">
            <v>0</v>
          </cell>
          <cell r="BR635">
            <v>160</v>
          </cell>
          <cell r="BT635">
            <v>2</v>
          </cell>
          <cell r="BU635">
            <v>2</v>
          </cell>
          <cell r="BV635" t="str">
            <v>N</v>
          </cell>
          <cell r="BW635">
            <v>0</v>
          </cell>
          <cell r="BX635">
            <v>0</v>
          </cell>
          <cell r="BY635">
            <v>2026</v>
          </cell>
          <cell r="BZ635" t="str">
            <v>-</v>
          </cell>
          <cell r="CA635" t="str">
            <v>-</v>
          </cell>
        </row>
        <row r="636">
          <cell r="A636" t="str">
            <v>Lucknow</v>
          </cell>
          <cell r="B636" t="str">
            <v>Mavericks</v>
          </cell>
          <cell r="C636" t="str">
            <v>Mid Level</v>
          </cell>
          <cell r="D636" t="str">
            <v>Mohammad Fakhrul</v>
          </cell>
          <cell r="E636" t="str">
            <v>-</v>
          </cell>
          <cell r="F636" t="str">
            <v>MSP</v>
          </cell>
          <cell r="H636" t="str">
            <v>Pass Through/MSP</v>
          </cell>
          <cell r="J636" t="str">
            <v>ACH</v>
          </cell>
          <cell r="L636" t="str">
            <v>New</v>
          </cell>
          <cell r="M636">
            <v>46139</v>
          </cell>
          <cell r="N636">
            <v>63</v>
          </cell>
          <cell r="P636">
            <v>46504</v>
          </cell>
          <cell r="Q636" t="str">
            <v>PLC-Passthrough</v>
          </cell>
          <cell r="R636" t="str">
            <v>Shashikanth Suram</v>
          </cell>
          <cell r="S636" t="str">
            <v>Individual</v>
          </cell>
          <cell r="T636" t="str">
            <v>C2C</v>
          </cell>
          <cell r="U636" t="str">
            <v>Cigniti</v>
          </cell>
          <cell r="V636">
            <v>82</v>
          </cell>
          <cell r="W636">
            <v>0</v>
          </cell>
          <cell r="X636" t="str">
            <v>USD</v>
          </cell>
          <cell r="Y636">
            <v>83</v>
          </cell>
          <cell r="Z636">
            <v>0</v>
          </cell>
          <cell r="AA636">
            <v>0</v>
          </cell>
          <cell r="AB636">
            <v>0</v>
          </cell>
          <cell r="AC636">
            <v>46127</v>
          </cell>
          <cell r="AD636">
            <v>4</v>
          </cell>
          <cell r="AE636">
            <v>46387</v>
          </cell>
          <cell r="AF636">
            <v>82</v>
          </cell>
          <cell r="AG636">
            <v>0</v>
          </cell>
          <cell r="AH636">
            <v>82</v>
          </cell>
          <cell r="AI636">
            <v>83</v>
          </cell>
          <cell r="AJ636">
            <v>0</v>
          </cell>
          <cell r="AK636">
            <v>0</v>
          </cell>
          <cell r="AL636">
            <v>1</v>
          </cell>
          <cell r="AM636">
            <v>0</v>
          </cell>
          <cell r="AN636">
            <v>1</v>
          </cell>
          <cell r="AO636">
            <v>0</v>
          </cell>
          <cell r="AP636">
            <v>1</v>
          </cell>
          <cell r="AQ636" t="str">
            <v>US_CMSP_00744</v>
          </cell>
          <cell r="AR636">
            <v>0</v>
          </cell>
          <cell r="AS636">
            <v>32</v>
          </cell>
          <cell r="AU636">
            <v>32</v>
          </cell>
          <cell r="AV636">
            <v>0</v>
          </cell>
          <cell r="AW636">
            <v>32</v>
          </cell>
          <cell r="AX636">
            <v>31.68</v>
          </cell>
          <cell r="AY636">
            <v>0</v>
          </cell>
          <cell r="AZ636">
            <v>32</v>
          </cell>
          <cell r="BA636">
            <v>31.68</v>
          </cell>
          <cell r="BB636">
            <v>32</v>
          </cell>
          <cell r="BC636">
            <v>0</v>
          </cell>
          <cell r="BD636">
            <v>0</v>
          </cell>
          <cell r="BE636">
            <v>0</v>
          </cell>
          <cell r="BG636">
            <v>31.68</v>
          </cell>
          <cell r="BI636">
            <v>0</v>
          </cell>
          <cell r="BJ636">
            <v>2656</v>
          </cell>
          <cell r="BK636">
            <v>2656</v>
          </cell>
          <cell r="BL636">
            <v>2624</v>
          </cell>
          <cell r="BM636">
            <v>0</v>
          </cell>
          <cell r="BN636">
            <v>0</v>
          </cell>
          <cell r="BO636">
            <v>0</v>
          </cell>
          <cell r="BP636">
            <v>2624</v>
          </cell>
          <cell r="BQ636">
            <v>0</v>
          </cell>
          <cell r="BR636">
            <v>32</v>
          </cell>
          <cell r="BT636">
            <v>2</v>
          </cell>
          <cell r="BU636">
            <v>2</v>
          </cell>
          <cell r="BV636" t="str">
            <v>N</v>
          </cell>
          <cell r="BW636">
            <v>0</v>
          </cell>
          <cell r="BX636">
            <v>0</v>
          </cell>
          <cell r="BY636">
            <v>2026</v>
          </cell>
          <cell r="BZ636" t="str">
            <v>-</v>
          </cell>
          <cell r="CA636" t="str">
            <v>-</v>
          </cell>
        </row>
        <row r="637">
          <cell r="A637" t="str">
            <v>Lucknow</v>
          </cell>
          <cell r="B637" t="str">
            <v>Mavericks</v>
          </cell>
          <cell r="C637" t="str">
            <v>Mid Level</v>
          </cell>
          <cell r="D637" t="str">
            <v>Mohammad Fakhrul</v>
          </cell>
          <cell r="E637" t="str">
            <v>-</v>
          </cell>
          <cell r="F637" t="str">
            <v>MSP</v>
          </cell>
          <cell r="H637" t="str">
            <v>Pass Through/MSP</v>
          </cell>
          <cell r="J637" t="str">
            <v>ACH</v>
          </cell>
          <cell r="L637" t="str">
            <v>New</v>
          </cell>
          <cell r="M637">
            <v>46139</v>
          </cell>
          <cell r="N637">
            <v>63</v>
          </cell>
          <cell r="P637">
            <v>46504</v>
          </cell>
          <cell r="Q637" t="str">
            <v>PLC-Passthrough</v>
          </cell>
          <cell r="R637" t="str">
            <v>Shashikanth Suram</v>
          </cell>
          <cell r="S637" t="str">
            <v>Individual</v>
          </cell>
          <cell r="T637" t="str">
            <v>C2C</v>
          </cell>
          <cell r="U637" t="str">
            <v>Cigniti</v>
          </cell>
          <cell r="V637">
            <v>82</v>
          </cell>
          <cell r="W637">
            <v>0</v>
          </cell>
          <cell r="X637" t="str">
            <v>USD</v>
          </cell>
          <cell r="Y637">
            <v>83</v>
          </cell>
          <cell r="Z637">
            <v>0</v>
          </cell>
          <cell r="AA637">
            <v>0</v>
          </cell>
          <cell r="AB637">
            <v>0</v>
          </cell>
          <cell r="AC637">
            <v>46157</v>
          </cell>
          <cell r="AD637">
            <v>4</v>
          </cell>
          <cell r="AE637">
            <v>46387</v>
          </cell>
          <cell r="AF637">
            <v>82</v>
          </cell>
          <cell r="AG637">
            <v>0</v>
          </cell>
          <cell r="AH637">
            <v>82</v>
          </cell>
          <cell r="AI637">
            <v>83</v>
          </cell>
          <cell r="AJ637">
            <v>0</v>
          </cell>
          <cell r="AK637">
            <v>0</v>
          </cell>
          <cell r="AL637">
            <v>1</v>
          </cell>
          <cell r="AM637">
            <v>0</v>
          </cell>
          <cell r="AN637">
            <v>1</v>
          </cell>
          <cell r="AO637">
            <v>0</v>
          </cell>
          <cell r="AP637">
            <v>1</v>
          </cell>
          <cell r="AQ637" t="str">
            <v>US_CMSP_00746</v>
          </cell>
          <cell r="AR637">
            <v>0</v>
          </cell>
          <cell r="AS637">
            <v>160</v>
          </cell>
          <cell r="AU637">
            <v>160</v>
          </cell>
          <cell r="AV637">
            <v>0</v>
          </cell>
          <cell r="AW637">
            <v>160</v>
          </cell>
          <cell r="AX637">
            <v>158.4</v>
          </cell>
          <cell r="AY637">
            <v>0</v>
          </cell>
          <cell r="AZ637">
            <v>160</v>
          </cell>
          <cell r="BA637">
            <v>158.4</v>
          </cell>
          <cell r="BB637">
            <v>160</v>
          </cell>
          <cell r="BC637">
            <v>0</v>
          </cell>
          <cell r="BD637">
            <v>0</v>
          </cell>
          <cell r="BE637">
            <v>0</v>
          </cell>
          <cell r="BG637">
            <v>158.4</v>
          </cell>
          <cell r="BI637">
            <v>0</v>
          </cell>
          <cell r="BJ637">
            <v>13280</v>
          </cell>
          <cell r="BK637">
            <v>13280</v>
          </cell>
          <cell r="BL637">
            <v>13120</v>
          </cell>
          <cell r="BM637">
            <v>0</v>
          </cell>
          <cell r="BN637">
            <v>0</v>
          </cell>
          <cell r="BO637">
            <v>0</v>
          </cell>
          <cell r="BP637">
            <v>13120</v>
          </cell>
          <cell r="BQ637">
            <v>0</v>
          </cell>
          <cell r="BR637">
            <v>160</v>
          </cell>
          <cell r="BT637">
            <v>2</v>
          </cell>
          <cell r="BU637">
            <v>2</v>
          </cell>
          <cell r="BV637" t="str">
            <v>N</v>
          </cell>
          <cell r="BW637">
            <v>0</v>
          </cell>
          <cell r="BX637">
            <v>0</v>
          </cell>
          <cell r="BY637">
            <v>2026</v>
          </cell>
          <cell r="BZ637" t="str">
            <v>-</v>
          </cell>
          <cell r="CA637" t="str">
            <v>-</v>
          </cell>
        </row>
        <row r="638">
          <cell r="A638" t="str">
            <v>Noida</v>
          </cell>
          <cell r="B638" t="str">
            <v>Noida IT</v>
          </cell>
          <cell r="C638" t="str">
            <v>Mid Level</v>
          </cell>
          <cell r="D638" t="str">
            <v>Abdul Rahman</v>
          </cell>
          <cell r="E638" t="str">
            <v>-</v>
          </cell>
          <cell r="F638" t="str">
            <v>Non-MSP</v>
          </cell>
          <cell r="H638" t="str">
            <v>Mohd Ateeq</v>
          </cell>
          <cell r="L638" t="str">
            <v>New</v>
          </cell>
          <cell r="M638">
            <v>46083</v>
          </cell>
          <cell r="N638">
            <v>119</v>
          </cell>
          <cell r="P638">
            <v>46448</v>
          </cell>
          <cell r="Q638" t="str">
            <v>PLC-4721</v>
          </cell>
          <cell r="R638" t="str">
            <v>Shiva Prasad Surakarapu</v>
          </cell>
          <cell r="S638" t="str">
            <v>Individual</v>
          </cell>
          <cell r="T638" t="str">
            <v>C2C</v>
          </cell>
          <cell r="U638" t="str">
            <v>Xebia</v>
          </cell>
          <cell r="V638">
            <v>60</v>
          </cell>
          <cell r="W638">
            <v>0</v>
          </cell>
          <cell r="X638" t="str">
            <v>USD</v>
          </cell>
          <cell r="Y638">
            <v>80</v>
          </cell>
          <cell r="Z638">
            <v>0</v>
          </cell>
          <cell r="AA638">
            <v>0</v>
          </cell>
          <cell r="AB638">
            <v>0</v>
          </cell>
          <cell r="AC638">
            <v>46096</v>
          </cell>
          <cell r="AD638">
            <v>22</v>
          </cell>
          <cell r="AE638">
            <v>46387</v>
          </cell>
          <cell r="AF638">
            <v>60</v>
          </cell>
          <cell r="AG638">
            <v>0</v>
          </cell>
          <cell r="AH638">
            <v>60</v>
          </cell>
          <cell r="AI638">
            <v>80</v>
          </cell>
          <cell r="AJ638">
            <v>0</v>
          </cell>
          <cell r="AK638">
            <v>0</v>
          </cell>
          <cell r="AL638">
            <v>20</v>
          </cell>
          <cell r="AM638">
            <v>0</v>
          </cell>
          <cell r="AN638">
            <v>20</v>
          </cell>
          <cell r="AO638">
            <v>0</v>
          </cell>
          <cell r="AP638">
            <v>20</v>
          </cell>
          <cell r="AQ638" t="str">
            <v>US_27419</v>
          </cell>
          <cell r="AR638">
            <v>0</v>
          </cell>
          <cell r="AS638">
            <v>176</v>
          </cell>
          <cell r="AU638">
            <v>176</v>
          </cell>
          <cell r="AV638">
            <v>0</v>
          </cell>
          <cell r="AW638">
            <v>3520</v>
          </cell>
          <cell r="AX638">
            <v>3520</v>
          </cell>
          <cell r="AY638">
            <v>0</v>
          </cell>
          <cell r="AZ638">
            <v>3520</v>
          </cell>
          <cell r="BA638">
            <v>3520</v>
          </cell>
          <cell r="BB638">
            <v>3520</v>
          </cell>
          <cell r="BC638">
            <v>57.142857142857139</v>
          </cell>
          <cell r="BD638">
            <v>4646.3999999999996</v>
          </cell>
          <cell r="BE638">
            <v>4646.3999999999996</v>
          </cell>
          <cell r="BG638">
            <v>3520</v>
          </cell>
          <cell r="BI638">
            <v>3520</v>
          </cell>
          <cell r="BJ638">
            <v>14080</v>
          </cell>
          <cell r="BK638">
            <v>14080</v>
          </cell>
          <cell r="BL638">
            <v>10560</v>
          </cell>
          <cell r="BM638">
            <v>0</v>
          </cell>
          <cell r="BN638">
            <v>0</v>
          </cell>
          <cell r="BO638">
            <v>0</v>
          </cell>
          <cell r="BP638">
            <v>10560</v>
          </cell>
          <cell r="BQ638">
            <v>0</v>
          </cell>
          <cell r="BR638">
            <v>3520</v>
          </cell>
          <cell r="BT638">
            <v>1</v>
          </cell>
          <cell r="BU638">
            <v>1</v>
          </cell>
          <cell r="BV638" t="str">
            <v>N</v>
          </cell>
          <cell r="BW638">
            <v>9292.7999999999993</v>
          </cell>
          <cell r="BX638">
            <v>9292.7999999999993</v>
          </cell>
          <cell r="BY638">
            <v>2026</v>
          </cell>
          <cell r="BZ638" t="str">
            <v>-</v>
          </cell>
          <cell r="CA638" t="str">
            <v>-</v>
          </cell>
        </row>
        <row r="639">
          <cell r="A639" t="str">
            <v>Noida</v>
          </cell>
          <cell r="B639" t="str">
            <v>Noida IT</v>
          </cell>
          <cell r="C639" t="str">
            <v>Mid Level</v>
          </cell>
          <cell r="D639" t="str">
            <v>Abdul Rahman</v>
          </cell>
          <cell r="E639" t="str">
            <v>-</v>
          </cell>
          <cell r="F639" t="str">
            <v>Non-MSP</v>
          </cell>
          <cell r="H639" t="str">
            <v>Mohd Ateeq</v>
          </cell>
          <cell r="J639" t="str">
            <v>ACH</v>
          </cell>
          <cell r="L639" t="str">
            <v>New</v>
          </cell>
          <cell r="M639">
            <v>46083</v>
          </cell>
          <cell r="N639">
            <v>119</v>
          </cell>
          <cell r="P639">
            <v>46448</v>
          </cell>
          <cell r="Q639" t="str">
            <v>PLC-4721</v>
          </cell>
          <cell r="R639" t="str">
            <v>Shiva Prasad Surakarapu</v>
          </cell>
          <cell r="S639" t="str">
            <v>Individual</v>
          </cell>
          <cell r="T639" t="str">
            <v>C2C</v>
          </cell>
          <cell r="U639" t="str">
            <v>Xebia</v>
          </cell>
          <cell r="V639">
            <v>60</v>
          </cell>
          <cell r="W639">
            <v>0</v>
          </cell>
          <cell r="X639" t="str">
            <v>USD</v>
          </cell>
          <cell r="Y639">
            <v>80</v>
          </cell>
          <cell r="Z639">
            <v>0</v>
          </cell>
          <cell r="AA639">
            <v>0</v>
          </cell>
          <cell r="AB639">
            <v>0</v>
          </cell>
          <cell r="AC639">
            <v>46127</v>
          </cell>
          <cell r="AD639">
            <v>22</v>
          </cell>
          <cell r="AE639">
            <v>46387</v>
          </cell>
          <cell r="AF639">
            <v>60</v>
          </cell>
          <cell r="AG639">
            <v>0</v>
          </cell>
          <cell r="AH639">
            <v>60</v>
          </cell>
          <cell r="AI639">
            <v>80</v>
          </cell>
          <cell r="AJ639">
            <v>0</v>
          </cell>
          <cell r="AK639">
            <v>0</v>
          </cell>
          <cell r="AL639">
            <v>20</v>
          </cell>
          <cell r="AM639">
            <v>0</v>
          </cell>
          <cell r="AN639">
            <v>20</v>
          </cell>
          <cell r="AO639">
            <v>0</v>
          </cell>
          <cell r="AP639">
            <v>20</v>
          </cell>
          <cell r="AQ639" t="str">
            <v>US_27650</v>
          </cell>
          <cell r="AR639">
            <v>0</v>
          </cell>
          <cell r="AS639">
            <v>176</v>
          </cell>
          <cell r="AU639">
            <v>176</v>
          </cell>
          <cell r="AV639">
            <v>0</v>
          </cell>
          <cell r="AW639">
            <v>3520</v>
          </cell>
          <cell r="AX639">
            <v>3484.8</v>
          </cell>
          <cell r="AY639">
            <v>0</v>
          </cell>
          <cell r="AZ639">
            <v>3520</v>
          </cell>
          <cell r="BA639">
            <v>3484.8</v>
          </cell>
          <cell r="BB639">
            <v>3520</v>
          </cell>
          <cell r="BC639">
            <v>57.142857142857139</v>
          </cell>
          <cell r="BD639">
            <v>4599.9360000000006</v>
          </cell>
          <cell r="BE639">
            <v>4599.9360000000006</v>
          </cell>
          <cell r="BG639">
            <v>3484.8</v>
          </cell>
          <cell r="BI639">
            <v>3484.8</v>
          </cell>
          <cell r="BJ639">
            <v>14080</v>
          </cell>
          <cell r="BK639">
            <v>14080</v>
          </cell>
          <cell r="BL639">
            <v>10560</v>
          </cell>
          <cell r="BM639">
            <v>0</v>
          </cell>
          <cell r="BN639">
            <v>0</v>
          </cell>
          <cell r="BO639">
            <v>0</v>
          </cell>
          <cell r="BP639">
            <v>10560</v>
          </cell>
          <cell r="BQ639">
            <v>0</v>
          </cell>
          <cell r="BR639">
            <v>3520</v>
          </cell>
          <cell r="BT639">
            <v>2</v>
          </cell>
          <cell r="BU639">
            <v>1</v>
          </cell>
          <cell r="BV639" t="str">
            <v>N</v>
          </cell>
          <cell r="BW639">
            <v>9199.8720000000012</v>
          </cell>
          <cell r="BX639">
            <v>9199.8720000000012</v>
          </cell>
          <cell r="BY639">
            <v>2026</v>
          </cell>
          <cell r="BZ639" t="str">
            <v>-</v>
          </cell>
          <cell r="CA639" t="str">
            <v>-</v>
          </cell>
        </row>
        <row r="640">
          <cell r="A640" t="str">
            <v>Noida</v>
          </cell>
          <cell r="B640" t="str">
            <v>Noida IT</v>
          </cell>
          <cell r="C640" t="str">
            <v>Mid Level</v>
          </cell>
          <cell r="D640" t="str">
            <v>Abdul Rahman</v>
          </cell>
          <cell r="E640" t="str">
            <v>-</v>
          </cell>
          <cell r="F640" t="str">
            <v>Non-MSP</v>
          </cell>
          <cell r="H640" t="str">
            <v>Mohd Ateeq</v>
          </cell>
          <cell r="J640" t="str">
            <v>ACH</v>
          </cell>
          <cell r="L640" t="str">
            <v>New</v>
          </cell>
          <cell r="M640">
            <v>46083</v>
          </cell>
          <cell r="N640">
            <v>119</v>
          </cell>
          <cell r="P640">
            <v>46448</v>
          </cell>
          <cell r="Q640" t="str">
            <v>PLC-4721</v>
          </cell>
          <cell r="R640" t="str">
            <v>Shiva Prasad Surakarapu</v>
          </cell>
          <cell r="S640" t="str">
            <v>Individual</v>
          </cell>
          <cell r="T640" t="str">
            <v>C2C</v>
          </cell>
          <cell r="U640" t="str">
            <v>Xebia</v>
          </cell>
          <cell r="V640">
            <v>60</v>
          </cell>
          <cell r="W640">
            <v>0</v>
          </cell>
          <cell r="X640" t="str">
            <v>USD</v>
          </cell>
          <cell r="Y640">
            <v>80</v>
          </cell>
          <cell r="Z640">
            <v>0</v>
          </cell>
          <cell r="AA640">
            <v>0</v>
          </cell>
          <cell r="AB640">
            <v>0</v>
          </cell>
          <cell r="AC640">
            <v>46157</v>
          </cell>
          <cell r="AD640">
            <v>22</v>
          </cell>
          <cell r="AE640">
            <v>46387</v>
          </cell>
          <cell r="AF640">
            <v>60</v>
          </cell>
          <cell r="AG640">
            <v>0</v>
          </cell>
          <cell r="AH640">
            <v>60</v>
          </cell>
          <cell r="AI640">
            <v>80</v>
          </cell>
          <cell r="AJ640">
            <v>0</v>
          </cell>
          <cell r="AK640">
            <v>0</v>
          </cell>
          <cell r="AL640">
            <v>20</v>
          </cell>
          <cell r="AM640">
            <v>0</v>
          </cell>
          <cell r="AN640">
            <v>20</v>
          </cell>
          <cell r="AO640">
            <v>0</v>
          </cell>
          <cell r="AP640">
            <v>20</v>
          </cell>
          <cell r="AQ640" t="str">
            <v>US_27931</v>
          </cell>
          <cell r="AR640">
            <v>0</v>
          </cell>
          <cell r="AS640">
            <v>160</v>
          </cell>
          <cell r="AU640">
            <v>160</v>
          </cell>
          <cell r="AV640">
            <v>0</v>
          </cell>
          <cell r="AW640">
            <v>3200</v>
          </cell>
          <cell r="AX640">
            <v>3168</v>
          </cell>
          <cell r="AY640">
            <v>0</v>
          </cell>
          <cell r="AZ640">
            <v>3200</v>
          </cell>
          <cell r="BA640">
            <v>3168</v>
          </cell>
          <cell r="BB640">
            <v>3200</v>
          </cell>
          <cell r="BC640">
            <v>57.142857142857139</v>
          </cell>
          <cell r="BD640">
            <v>4181.76</v>
          </cell>
          <cell r="BE640">
            <v>4181.76</v>
          </cell>
          <cell r="BG640">
            <v>3168</v>
          </cell>
          <cell r="BI640">
            <v>3168</v>
          </cell>
          <cell r="BJ640">
            <v>12800</v>
          </cell>
          <cell r="BK640">
            <v>12800</v>
          </cell>
          <cell r="BL640">
            <v>9600</v>
          </cell>
          <cell r="BM640">
            <v>0</v>
          </cell>
          <cell r="BN640">
            <v>0</v>
          </cell>
          <cell r="BO640">
            <v>0</v>
          </cell>
          <cell r="BP640">
            <v>9600</v>
          </cell>
          <cell r="BQ640">
            <v>0</v>
          </cell>
          <cell r="BR640">
            <v>3200</v>
          </cell>
          <cell r="BT640">
            <v>2</v>
          </cell>
          <cell r="BU640">
            <v>1</v>
          </cell>
          <cell r="BV640" t="str">
            <v>N</v>
          </cell>
          <cell r="BW640">
            <v>8363.52</v>
          </cell>
          <cell r="BX640">
            <v>8363.52</v>
          </cell>
          <cell r="BY640">
            <v>2026</v>
          </cell>
          <cell r="BZ640" t="str">
            <v>-</v>
          </cell>
          <cell r="CA640" t="str">
            <v>-</v>
          </cell>
        </row>
        <row r="641">
          <cell r="A641" t="str">
            <v>Lucknow</v>
          </cell>
          <cell r="B641" t="str">
            <v>Mavericks</v>
          </cell>
          <cell r="C641" t="str">
            <v>Mid Level</v>
          </cell>
          <cell r="D641" t="str">
            <v>Mohammad Fakhrul</v>
          </cell>
          <cell r="F641" t="str">
            <v>MSP</v>
          </cell>
          <cell r="H641" t="str">
            <v>Pass Through</v>
          </cell>
          <cell r="J641" t="str">
            <v>ACH</v>
          </cell>
          <cell r="L641" t="str">
            <v>New</v>
          </cell>
          <cell r="M641">
            <v>46163</v>
          </cell>
          <cell r="N641">
            <v>39</v>
          </cell>
          <cell r="P641">
            <v>46528</v>
          </cell>
          <cell r="R641" t="str">
            <v>Shivadutt Kumar Tumuluri</v>
          </cell>
          <cell r="S641" t="str">
            <v>Individual</v>
          </cell>
          <cell r="T641" t="str">
            <v>C2C</v>
          </cell>
          <cell r="U641" t="str">
            <v>Cigniti</v>
          </cell>
          <cell r="V641">
            <v>90</v>
          </cell>
          <cell r="W641">
            <v>0</v>
          </cell>
          <cell r="X641" t="str">
            <v>USD</v>
          </cell>
          <cell r="Y641">
            <v>92</v>
          </cell>
          <cell r="Z641">
            <v>0</v>
          </cell>
          <cell r="AA641">
            <v>0</v>
          </cell>
          <cell r="AB641">
            <v>0</v>
          </cell>
          <cell r="AC641">
            <v>46157</v>
          </cell>
          <cell r="AD641">
            <v>7</v>
          </cell>
          <cell r="AE641">
            <v>46387</v>
          </cell>
          <cell r="AF641">
            <v>90</v>
          </cell>
          <cell r="AG641">
            <v>0</v>
          </cell>
          <cell r="AH641">
            <v>90</v>
          </cell>
          <cell r="AI641">
            <v>92</v>
          </cell>
          <cell r="AJ641">
            <v>0</v>
          </cell>
          <cell r="AK641">
            <v>0</v>
          </cell>
          <cell r="AL641">
            <v>2</v>
          </cell>
          <cell r="AM641">
            <v>0</v>
          </cell>
          <cell r="AN641">
            <v>2</v>
          </cell>
          <cell r="AO641">
            <v>0</v>
          </cell>
          <cell r="AP641">
            <v>2</v>
          </cell>
          <cell r="AU641">
            <v>56</v>
          </cell>
          <cell r="BB641">
            <v>112</v>
          </cell>
          <cell r="BC641">
            <v>0</v>
          </cell>
          <cell r="BD641">
            <v>0</v>
          </cell>
          <cell r="BE641">
            <v>0</v>
          </cell>
          <cell r="BI641">
            <v>0</v>
          </cell>
          <cell r="BK641">
            <v>5152</v>
          </cell>
          <cell r="BL641">
            <v>5040</v>
          </cell>
          <cell r="BM641">
            <v>0</v>
          </cell>
          <cell r="BN641">
            <v>0</v>
          </cell>
          <cell r="BO641">
            <v>0</v>
          </cell>
          <cell r="BP641">
            <v>5040</v>
          </cell>
          <cell r="BQ641">
            <v>0</v>
          </cell>
          <cell r="BR641">
            <v>112</v>
          </cell>
          <cell r="BT641">
            <v>2</v>
          </cell>
          <cell r="BU641">
            <v>2</v>
          </cell>
          <cell r="BV641" t="str">
            <v>Y</v>
          </cell>
          <cell r="BW641">
            <v>0</v>
          </cell>
          <cell r="BX641">
            <v>0</v>
          </cell>
          <cell r="BY641">
            <v>2026</v>
          </cell>
          <cell r="BZ641" t="str">
            <v>-</v>
          </cell>
          <cell r="CA641" t="str">
            <v>-</v>
          </cell>
        </row>
        <row r="642">
          <cell r="A642" t="str">
            <v>Noida</v>
          </cell>
          <cell r="B642" t="str">
            <v>Noida IT</v>
          </cell>
          <cell r="C642" t="str">
            <v>Mid Level</v>
          </cell>
          <cell r="D642" t="str">
            <v>Akash Saxena</v>
          </cell>
          <cell r="E642" t="str">
            <v>-</v>
          </cell>
          <cell r="F642" t="str">
            <v>Non-MSP</v>
          </cell>
          <cell r="H642" t="str">
            <v>Prashant Pal</v>
          </cell>
          <cell r="L642" t="str">
            <v>New</v>
          </cell>
          <cell r="M642">
            <v>46091</v>
          </cell>
          <cell r="N642">
            <v>111</v>
          </cell>
          <cell r="O642">
            <v>46134</v>
          </cell>
          <cell r="P642">
            <v>46456</v>
          </cell>
          <cell r="Q642" t="str">
            <v>PLC-4773</v>
          </cell>
          <cell r="R642" t="str">
            <v>Shravanthi Polu</v>
          </cell>
          <cell r="S642" t="str">
            <v>Individual</v>
          </cell>
          <cell r="T642" t="str">
            <v>C2C</v>
          </cell>
          <cell r="U642" t="str">
            <v>Citius Tech</v>
          </cell>
          <cell r="V642">
            <v>53</v>
          </cell>
          <cell r="W642">
            <v>0</v>
          </cell>
          <cell r="X642" t="str">
            <v>USD</v>
          </cell>
          <cell r="Y642">
            <v>72</v>
          </cell>
          <cell r="Z642">
            <v>0</v>
          </cell>
          <cell r="AA642">
            <v>0</v>
          </cell>
          <cell r="AB642">
            <v>4</v>
          </cell>
          <cell r="AC642">
            <v>46096</v>
          </cell>
          <cell r="AD642">
            <v>16</v>
          </cell>
          <cell r="AE642">
            <v>46387</v>
          </cell>
          <cell r="AF642">
            <v>53</v>
          </cell>
          <cell r="AG642">
            <v>0</v>
          </cell>
          <cell r="AH642">
            <v>57</v>
          </cell>
          <cell r="AI642">
            <v>72</v>
          </cell>
          <cell r="AJ642">
            <v>0</v>
          </cell>
          <cell r="AK642">
            <v>0</v>
          </cell>
          <cell r="AL642">
            <v>15</v>
          </cell>
          <cell r="AM642">
            <v>0</v>
          </cell>
          <cell r="AN642">
            <v>15</v>
          </cell>
          <cell r="AO642">
            <v>0</v>
          </cell>
          <cell r="AP642">
            <v>15</v>
          </cell>
          <cell r="AQ642" t="str">
            <v>US_27425</v>
          </cell>
          <cell r="AR642">
            <v>0</v>
          </cell>
          <cell r="AS642">
            <v>128</v>
          </cell>
          <cell r="AU642">
            <v>128</v>
          </cell>
          <cell r="AV642">
            <v>0</v>
          </cell>
          <cell r="AW642">
            <v>1920</v>
          </cell>
          <cell r="AX642">
            <v>1920</v>
          </cell>
          <cell r="AY642">
            <v>0</v>
          </cell>
          <cell r="AZ642">
            <v>1920</v>
          </cell>
          <cell r="BA642">
            <v>1920</v>
          </cell>
          <cell r="BB642">
            <v>1920</v>
          </cell>
          <cell r="BC642">
            <v>0</v>
          </cell>
          <cell r="BD642">
            <v>0</v>
          </cell>
          <cell r="BE642">
            <v>0</v>
          </cell>
          <cell r="BG642">
            <v>1920</v>
          </cell>
          <cell r="BI642">
            <v>1920</v>
          </cell>
          <cell r="BJ642">
            <v>9216</v>
          </cell>
          <cell r="BK642">
            <v>9216</v>
          </cell>
          <cell r="BL642">
            <v>6784</v>
          </cell>
          <cell r="BM642">
            <v>0</v>
          </cell>
          <cell r="BN642">
            <v>512</v>
          </cell>
          <cell r="BO642">
            <v>0</v>
          </cell>
          <cell r="BP642">
            <v>7296</v>
          </cell>
          <cell r="BQ642">
            <v>4</v>
          </cell>
          <cell r="BR642">
            <v>1920</v>
          </cell>
          <cell r="BT642">
            <v>1</v>
          </cell>
          <cell r="BU642">
            <v>1</v>
          </cell>
          <cell r="BV642" t="str">
            <v>N</v>
          </cell>
          <cell r="BW642">
            <v>0</v>
          </cell>
          <cell r="BX642">
            <v>0</v>
          </cell>
          <cell r="BY642">
            <v>2026</v>
          </cell>
          <cell r="BZ642" t="str">
            <v>-</v>
          </cell>
          <cell r="CA642" t="str">
            <v>-</v>
          </cell>
        </row>
        <row r="643">
          <cell r="A643" t="str">
            <v>Noida</v>
          </cell>
          <cell r="B643" t="str">
            <v>Noida IT</v>
          </cell>
          <cell r="C643" t="str">
            <v>Mid Level</v>
          </cell>
          <cell r="D643" t="str">
            <v>Akash Saxena</v>
          </cell>
          <cell r="E643" t="str">
            <v>-</v>
          </cell>
          <cell r="F643" t="str">
            <v>Non-MSP</v>
          </cell>
          <cell r="H643" t="str">
            <v>Prashant Pal</v>
          </cell>
          <cell r="J643" t="str">
            <v>ACH</v>
          </cell>
          <cell r="L643" t="str">
            <v>New</v>
          </cell>
          <cell r="M643">
            <v>46091</v>
          </cell>
          <cell r="N643">
            <v>111</v>
          </cell>
          <cell r="O643">
            <v>46134</v>
          </cell>
          <cell r="P643">
            <v>46456</v>
          </cell>
          <cell r="Q643" t="str">
            <v>PLC-4773</v>
          </cell>
          <cell r="R643" t="str">
            <v>Shravanthi Polu</v>
          </cell>
          <cell r="S643" t="str">
            <v>Individual</v>
          </cell>
          <cell r="T643" t="str">
            <v>C2C</v>
          </cell>
          <cell r="U643" t="str">
            <v>Citius Tech</v>
          </cell>
          <cell r="V643">
            <v>53</v>
          </cell>
          <cell r="W643">
            <v>0</v>
          </cell>
          <cell r="X643" t="str">
            <v>USD</v>
          </cell>
          <cell r="Y643">
            <v>72</v>
          </cell>
          <cell r="Z643">
            <v>0</v>
          </cell>
          <cell r="AA643">
            <v>0</v>
          </cell>
          <cell r="AB643">
            <v>4</v>
          </cell>
          <cell r="AC643">
            <v>46127</v>
          </cell>
          <cell r="AD643">
            <v>22</v>
          </cell>
          <cell r="AE643">
            <v>46387</v>
          </cell>
          <cell r="AF643">
            <v>53</v>
          </cell>
          <cell r="AG643">
            <v>0</v>
          </cell>
          <cell r="AH643">
            <v>57</v>
          </cell>
          <cell r="AI643">
            <v>72</v>
          </cell>
          <cell r="AJ643">
            <v>0</v>
          </cell>
          <cell r="AK643">
            <v>0</v>
          </cell>
          <cell r="AL643">
            <v>15</v>
          </cell>
          <cell r="AM643">
            <v>0</v>
          </cell>
          <cell r="AN643">
            <v>15</v>
          </cell>
          <cell r="AO643">
            <v>0</v>
          </cell>
          <cell r="AP643">
            <v>15</v>
          </cell>
          <cell r="AQ643" t="str">
            <v>US_27656</v>
          </cell>
          <cell r="AR643">
            <v>0</v>
          </cell>
          <cell r="AS643">
            <v>16</v>
          </cell>
          <cell r="AU643">
            <v>16</v>
          </cell>
          <cell r="AV643">
            <v>0</v>
          </cell>
          <cell r="AW643">
            <v>240</v>
          </cell>
          <cell r="AX643">
            <v>237.6</v>
          </cell>
          <cell r="AY643">
            <v>0</v>
          </cell>
          <cell r="AZ643">
            <v>240</v>
          </cell>
          <cell r="BA643">
            <v>237.6</v>
          </cell>
          <cell r="BB643">
            <v>240</v>
          </cell>
          <cell r="BC643">
            <v>0</v>
          </cell>
          <cell r="BD643">
            <v>0</v>
          </cell>
          <cell r="BE643">
            <v>0</v>
          </cell>
          <cell r="BG643">
            <v>237.6</v>
          </cell>
          <cell r="BI643">
            <v>237.6</v>
          </cell>
          <cell r="BJ643">
            <v>1152</v>
          </cell>
          <cell r="BK643">
            <v>1152</v>
          </cell>
          <cell r="BL643">
            <v>848</v>
          </cell>
          <cell r="BM643">
            <v>0</v>
          </cell>
          <cell r="BN643">
            <v>64</v>
          </cell>
          <cell r="BO643">
            <v>0</v>
          </cell>
          <cell r="BP643">
            <v>912</v>
          </cell>
          <cell r="BQ643">
            <v>4</v>
          </cell>
          <cell r="BR643">
            <v>240</v>
          </cell>
          <cell r="BT643">
            <v>2</v>
          </cell>
          <cell r="BU643">
            <v>1</v>
          </cell>
          <cell r="BV643" t="str">
            <v>N</v>
          </cell>
          <cell r="BW643">
            <v>0</v>
          </cell>
          <cell r="BX643">
            <v>0</v>
          </cell>
          <cell r="BY643">
            <v>2026</v>
          </cell>
          <cell r="BZ643" t="str">
            <v>-</v>
          </cell>
          <cell r="CA643" t="str">
            <v>-</v>
          </cell>
        </row>
        <row r="644">
          <cell r="A644" t="str">
            <v>Lucknow</v>
          </cell>
          <cell r="B644" t="str">
            <v>Mavericks</v>
          </cell>
          <cell r="C644" t="str">
            <v>Mid Level</v>
          </cell>
          <cell r="D644" t="str">
            <v>Mohammad Fakhrul</v>
          </cell>
          <cell r="E644" t="str">
            <v>-</v>
          </cell>
          <cell r="F644" t="str">
            <v>MSP</v>
          </cell>
          <cell r="H644" t="str">
            <v>Pass Through/MSP</v>
          </cell>
          <cell r="L644" t="str">
            <v>New</v>
          </cell>
          <cell r="M644">
            <v>46082</v>
          </cell>
          <cell r="N644">
            <v>120</v>
          </cell>
          <cell r="P644">
            <v>46447</v>
          </cell>
          <cell r="Q644" t="str">
            <v>PLC-Passthrough</v>
          </cell>
          <cell r="R644" t="str">
            <v>Shruthi Varma</v>
          </cell>
          <cell r="S644" t="str">
            <v>Individual</v>
          </cell>
          <cell r="T644" t="str">
            <v>C2C</v>
          </cell>
          <cell r="U644" t="str">
            <v>Cigniti</v>
          </cell>
          <cell r="V644">
            <v>72</v>
          </cell>
          <cell r="W644">
            <v>0</v>
          </cell>
          <cell r="X644" t="str">
            <v>USD</v>
          </cell>
          <cell r="Y644">
            <v>72</v>
          </cell>
          <cell r="Z644">
            <v>0</v>
          </cell>
          <cell r="AA644">
            <v>0</v>
          </cell>
          <cell r="AB644">
            <v>0</v>
          </cell>
          <cell r="AC644">
            <v>46096</v>
          </cell>
          <cell r="AD644">
            <v>22</v>
          </cell>
          <cell r="AE644">
            <v>46387</v>
          </cell>
          <cell r="AF644">
            <v>72</v>
          </cell>
          <cell r="AG644">
            <v>0</v>
          </cell>
          <cell r="AH644">
            <v>72</v>
          </cell>
          <cell r="AI644">
            <v>72</v>
          </cell>
          <cell r="AJ644">
            <v>0</v>
          </cell>
          <cell r="AK644">
            <v>0</v>
          </cell>
          <cell r="AL644">
            <v>0</v>
          </cell>
          <cell r="AM644">
            <v>0</v>
          </cell>
          <cell r="AN644">
            <v>0</v>
          </cell>
          <cell r="AO644">
            <v>0</v>
          </cell>
          <cell r="AP644">
            <v>0</v>
          </cell>
          <cell r="AQ644" t="str">
            <v>US_CMSP_00550</v>
          </cell>
          <cell r="AR644">
            <v>0</v>
          </cell>
          <cell r="AS644">
            <v>176</v>
          </cell>
          <cell r="AU644">
            <v>176</v>
          </cell>
          <cell r="AV644">
            <v>0</v>
          </cell>
          <cell r="AW644">
            <v>0</v>
          </cell>
          <cell r="AX644">
            <v>0</v>
          </cell>
          <cell r="AY644">
            <v>0</v>
          </cell>
          <cell r="AZ644">
            <v>0</v>
          </cell>
          <cell r="BA644">
            <v>0</v>
          </cell>
          <cell r="BB644">
            <v>0</v>
          </cell>
          <cell r="BC644">
            <v>0</v>
          </cell>
          <cell r="BD644">
            <v>0</v>
          </cell>
          <cell r="BE644">
            <v>0</v>
          </cell>
          <cell r="BG644">
            <v>0</v>
          </cell>
          <cell r="BI644">
            <v>0</v>
          </cell>
          <cell r="BJ644">
            <v>12672</v>
          </cell>
          <cell r="BK644">
            <v>12672</v>
          </cell>
          <cell r="BL644">
            <v>12672</v>
          </cell>
          <cell r="BM644">
            <v>0</v>
          </cell>
          <cell r="BN644">
            <v>0</v>
          </cell>
          <cell r="BO644">
            <v>0</v>
          </cell>
          <cell r="BP644">
            <v>12672</v>
          </cell>
          <cell r="BQ644">
            <v>0</v>
          </cell>
          <cell r="BR644">
            <v>0</v>
          </cell>
          <cell r="BS644" t="str">
            <v>Y</v>
          </cell>
          <cell r="BT644">
            <v>1</v>
          </cell>
          <cell r="BU644">
            <v>1</v>
          </cell>
          <cell r="BV644" t="str">
            <v>N</v>
          </cell>
          <cell r="BW644">
            <v>0</v>
          </cell>
          <cell r="BX644">
            <v>0</v>
          </cell>
          <cell r="BY644">
            <v>2026</v>
          </cell>
          <cell r="BZ644" t="str">
            <v>-</v>
          </cell>
          <cell r="CA644" t="str">
            <v>-</v>
          </cell>
        </row>
        <row r="645">
          <cell r="A645" t="str">
            <v>Lucknow</v>
          </cell>
          <cell r="B645" t="str">
            <v>Mavericks</v>
          </cell>
          <cell r="C645" t="str">
            <v>Mid Level</v>
          </cell>
          <cell r="D645" t="str">
            <v>Mohammad Fakhrul</v>
          </cell>
          <cell r="E645" t="str">
            <v>-</v>
          </cell>
          <cell r="F645" t="str">
            <v>MSP</v>
          </cell>
          <cell r="H645" t="str">
            <v>Pass Through/MSP</v>
          </cell>
          <cell r="J645" t="str">
            <v>ACH</v>
          </cell>
          <cell r="L645" t="str">
            <v>New</v>
          </cell>
          <cell r="M645">
            <v>46082</v>
          </cell>
          <cell r="N645">
            <v>120</v>
          </cell>
          <cell r="P645">
            <v>46447</v>
          </cell>
          <cell r="Q645" t="str">
            <v>PLC-Passthrough</v>
          </cell>
          <cell r="R645" t="str">
            <v>Shruthi Varma</v>
          </cell>
          <cell r="S645" t="str">
            <v>Individual</v>
          </cell>
          <cell r="T645" t="str">
            <v>C2C</v>
          </cell>
          <cell r="U645" t="str">
            <v>Cigniti</v>
          </cell>
          <cell r="V645">
            <v>72</v>
          </cell>
          <cell r="W645">
            <v>0</v>
          </cell>
          <cell r="X645" t="str">
            <v>USD</v>
          </cell>
          <cell r="Y645">
            <v>72</v>
          </cell>
          <cell r="Z645">
            <v>0</v>
          </cell>
          <cell r="AA645">
            <v>0</v>
          </cell>
          <cell r="AB645">
            <v>0</v>
          </cell>
          <cell r="AC645">
            <v>46127</v>
          </cell>
          <cell r="AD645">
            <v>22</v>
          </cell>
          <cell r="AE645">
            <v>46387</v>
          </cell>
          <cell r="AF645">
            <v>72</v>
          </cell>
          <cell r="AG645">
            <v>0</v>
          </cell>
          <cell r="AH645">
            <v>72</v>
          </cell>
          <cell r="AI645">
            <v>72</v>
          </cell>
          <cell r="AJ645">
            <v>0</v>
          </cell>
          <cell r="AK645">
            <v>0</v>
          </cell>
          <cell r="AL645">
            <v>0</v>
          </cell>
          <cell r="AM645">
            <v>0</v>
          </cell>
          <cell r="AN645">
            <v>0</v>
          </cell>
          <cell r="AO645">
            <v>0</v>
          </cell>
          <cell r="AP645">
            <v>0</v>
          </cell>
          <cell r="AQ645" t="str">
            <v>US_CMSP_00697</v>
          </cell>
          <cell r="AR645">
            <v>0</v>
          </cell>
          <cell r="AS645">
            <v>160</v>
          </cell>
          <cell r="AU645">
            <v>160</v>
          </cell>
          <cell r="AV645">
            <v>0</v>
          </cell>
          <cell r="AW645">
            <v>0</v>
          </cell>
          <cell r="AX645">
            <v>0</v>
          </cell>
          <cell r="AY645">
            <v>0</v>
          </cell>
          <cell r="AZ645">
            <v>0</v>
          </cell>
          <cell r="BA645">
            <v>0</v>
          </cell>
          <cell r="BB645">
            <v>0</v>
          </cell>
          <cell r="BC645">
            <v>0</v>
          </cell>
          <cell r="BD645">
            <v>0</v>
          </cell>
          <cell r="BE645">
            <v>0</v>
          </cell>
          <cell r="BG645">
            <v>0</v>
          </cell>
          <cell r="BI645">
            <v>0</v>
          </cell>
          <cell r="BJ645">
            <v>11520</v>
          </cell>
          <cell r="BK645">
            <v>11520</v>
          </cell>
          <cell r="BL645">
            <v>11520</v>
          </cell>
          <cell r="BM645">
            <v>0</v>
          </cell>
          <cell r="BN645">
            <v>0</v>
          </cell>
          <cell r="BO645">
            <v>0</v>
          </cell>
          <cell r="BP645">
            <v>11520</v>
          </cell>
          <cell r="BQ645">
            <v>0</v>
          </cell>
          <cell r="BR645">
            <v>0</v>
          </cell>
          <cell r="BT645">
            <v>2</v>
          </cell>
          <cell r="BU645">
            <v>1</v>
          </cell>
          <cell r="BV645" t="str">
            <v>N</v>
          </cell>
          <cell r="BW645">
            <v>0</v>
          </cell>
          <cell r="BX645">
            <v>0</v>
          </cell>
          <cell r="BY645">
            <v>2026</v>
          </cell>
          <cell r="BZ645" t="str">
            <v>-</v>
          </cell>
          <cell r="CA645" t="str">
            <v>-</v>
          </cell>
        </row>
        <row r="646">
          <cell r="A646" t="str">
            <v>Lucknow</v>
          </cell>
          <cell r="B646" t="str">
            <v>Mavericks</v>
          </cell>
          <cell r="C646" t="str">
            <v>Mid Level</v>
          </cell>
          <cell r="D646" t="str">
            <v>Mohammad Fakhrul</v>
          </cell>
          <cell r="E646" t="str">
            <v>-</v>
          </cell>
          <cell r="F646" t="str">
            <v>MSP</v>
          </cell>
          <cell r="H646" t="str">
            <v>Pass Through/MSP</v>
          </cell>
          <cell r="J646" t="str">
            <v>ACH</v>
          </cell>
          <cell r="L646" t="str">
            <v>New</v>
          </cell>
          <cell r="M646">
            <v>46082</v>
          </cell>
          <cell r="N646">
            <v>120</v>
          </cell>
          <cell r="P646">
            <v>46447</v>
          </cell>
          <cell r="Q646" t="str">
            <v>PLC-Passthrough</v>
          </cell>
          <cell r="R646" t="str">
            <v>Shruthi Varma</v>
          </cell>
          <cell r="S646" t="str">
            <v>Individual</v>
          </cell>
          <cell r="T646" t="str">
            <v>C2C</v>
          </cell>
          <cell r="U646" t="str">
            <v>Cigniti</v>
          </cell>
          <cell r="V646">
            <v>72</v>
          </cell>
          <cell r="W646">
            <v>0</v>
          </cell>
          <cell r="X646" t="str">
            <v>USD</v>
          </cell>
          <cell r="Y646">
            <v>72</v>
          </cell>
          <cell r="Z646">
            <v>0</v>
          </cell>
          <cell r="AA646">
            <v>0</v>
          </cell>
          <cell r="AB646">
            <v>0</v>
          </cell>
          <cell r="AC646">
            <v>46157</v>
          </cell>
          <cell r="AD646">
            <v>22</v>
          </cell>
          <cell r="AE646">
            <v>46387</v>
          </cell>
          <cell r="AF646">
            <v>72</v>
          </cell>
          <cell r="AG646">
            <v>0</v>
          </cell>
          <cell r="AH646">
            <v>72</v>
          </cell>
          <cell r="AI646">
            <v>72</v>
          </cell>
          <cell r="AJ646">
            <v>0</v>
          </cell>
          <cell r="AK646">
            <v>0</v>
          </cell>
          <cell r="AL646">
            <v>0</v>
          </cell>
          <cell r="AM646">
            <v>0</v>
          </cell>
          <cell r="AN646">
            <v>0</v>
          </cell>
          <cell r="AO646">
            <v>0</v>
          </cell>
          <cell r="AP646">
            <v>0</v>
          </cell>
          <cell r="AQ646" t="str">
            <v>US_CMSP_00857</v>
          </cell>
          <cell r="AR646">
            <v>0</v>
          </cell>
          <cell r="AS646">
            <v>136</v>
          </cell>
          <cell r="AU646">
            <v>136</v>
          </cell>
          <cell r="AV646">
            <v>0</v>
          </cell>
          <cell r="AW646">
            <v>0</v>
          </cell>
          <cell r="AX646">
            <v>0</v>
          </cell>
          <cell r="AY646">
            <v>0</v>
          </cell>
          <cell r="AZ646">
            <v>0</v>
          </cell>
          <cell r="BA646">
            <v>0</v>
          </cell>
          <cell r="BB646">
            <v>0</v>
          </cell>
          <cell r="BC646">
            <v>0</v>
          </cell>
          <cell r="BD646">
            <v>0</v>
          </cell>
          <cell r="BE646">
            <v>0</v>
          </cell>
          <cell r="BG646">
            <v>0</v>
          </cell>
          <cell r="BI646">
            <v>0</v>
          </cell>
          <cell r="BJ646">
            <v>9792</v>
          </cell>
          <cell r="BK646">
            <v>9792</v>
          </cell>
          <cell r="BL646">
            <v>9792</v>
          </cell>
          <cell r="BM646">
            <v>0</v>
          </cell>
          <cell r="BN646">
            <v>0</v>
          </cell>
          <cell r="BO646">
            <v>0</v>
          </cell>
          <cell r="BP646">
            <v>9792</v>
          </cell>
          <cell r="BQ646">
            <v>0</v>
          </cell>
          <cell r="BR646">
            <v>0</v>
          </cell>
          <cell r="BT646">
            <v>2</v>
          </cell>
          <cell r="BU646">
            <v>1</v>
          </cell>
          <cell r="BV646" t="str">
            <v>N</v>
          </cell>
          <cell r="BW646">
            <v>0</v>
          </cell>
          <cell r="BX646">
            <v>0</v>
          </cell>
          <cell r="BY646">
            <v>2026</v>
          </cell>
          <cell r="BZ646" t="str">
            <v>-</v>
          </cell>
          <cell r="CA646" t="str">
            <v>-</v>
          </cell>
        </row>
        <row r="647">
          <cell r="A647" t="str">
            <v>Lucknow</v>
          </cell>
          <cell r="B647" t="str">
            <v>Titans</v>
          </cell>
          <cell r="C647" t="str">
            <v>Mid Level</v>
          </cell>
          <cell r="D647" t="str">
            <v>Nitin Saxena</v>
          </cell>
          <cell r="F647" t="str">
            <v>Non-MSP</v>
          </cell>
          <cell r="H647" t="str">
            <v>Samad Quraishi</v>
          </cell>
          <cell r="J647" t="str">
            <v>ACH</v>
          </cell>
          <cell r="L647" t="str">
            <v>New</v>
          </cell>
          <cell r="M647">
            <v>46113</v>
          </cell>
          <cell r="N647">
            <v>89</v>
          </cell>
          <cell r="P647">
            <v>46478</v>
          </cell>
          <cell r="Q647" t="str">
            <v>PLC-4302</v>
          </cell>
          <cell r="R647" t="str">
            <v>Shubham Chavan</v>
          </cell>
          <cell r="S647" t="str">
            <v>Individual</v>
          </cell>
          <cell r="T647" t="str">
            <v>W2</v>
          </cell>
          <cell r="U647" t="str">
            <v>Genpact</v>
          </cell>
          <cell r="V647">
            <v>19.5</v>
          </cell>
          <cell r="W647">
            <v>0</v>
          </cell>
          <cell r="X647" t="str">
            <v>USD</v>
          </cell>
          <cell r="Y647">
            <v>28</v>
          </cell>
          <cell r="Z647">
            <v>0</v>
          </cell>
          <cell r="AA647">
            <v>0</v>
          </cell>
          <cell r="AB647">
            <v>0</v>
          </cell>
          <cell r="AC647">
            <v>46127</v>
          </cell>
          <cell r="AD647">
            <v>22</v>
          </cell>
          <cell r="AE647">
            <v>46387</v>
          </cell>
          <cell r="AF647">
            <v>22.424999999999997</v>
          </cell>
          <cell r="AG647">
            <v>0</v>
          </cell>
          <cell r="AH647">
            <v>22.424999999999997</v>
          </cell>
          <cell r="AI647">
            <v>28</v>
          </cell>
          <cell r="AJ647">
            <v>0</v>
          </cell>
          <cell r="AK647">
            <v>0</v>
          </cell>
          <cell r="AL647">
            <v>5.5750000000000028</v>
          </cell>
          <cell r="AM647">
            <v>0</v>
          </cell>
          <cell r="AN647">
            <v>5.5750000000000028</v>
          </cell>
          <cell r="AO647">
            <v>0</v>
          </cell>
          <cell r="AP647">
            <v>5.5750000000000028</v>
          </cell>
          <cell r="AQ647" t="str">
            <v>US_27554</v>
          </cell>
          <cell r="AR647">
            <v>0</v>
          </cell>
          <cell r="AS647">
            <v>168</v>
          </cell>
          <cell r="AT647">
            <v>4</v>
          </cell>
          <cell r="AU647">
            <v>168</v>
          </cell>
          <cell r="AV647">
            <v>0</v>
          </cell>
          <cell r="AW647">
            <v>936.60000000000048</v>
          </cell>
          <cell r="AX647">
            <v>927.23400000000049</v>
          </cell>
          <cell r="AY647">
            <v>0</v>
          </cell>
          <cell r="AZ647">
            <v>936.60000000000048</v>
          </cell>
          <cell r="BA647">
            <v>927.23400000000049</v>
          </cell>
          <cell r="BB647">
            <v>936.60000000000048</v>
          </cell>
          <cell r="BC647">
            <v>55.555555555555557</v>
          </cell>
          <cell r="BD647">
            <v>1223.9488800000006</v>
          </cell>
          <cell r="BE647">
            <v>1223.9488800000006</v>
          </cell>
          <cell r="BG647">
            <v>927.23400000000049</v>
          </cell>
          <cell r="BI647">
            <v>0</v>
          </cell>
          <cell r="BJ647">
            <v>4704</v>
          </cell>
          <cell r="BK647">
            <v>4704</v>
          </cell>
          <cell r="BL647">
            <v>3276</v>
          </cell>
          <cell r="BM647">
            <v>2.9249999999999998</v>
          </cell>
          <cell r="BN647">
            <v>0</v>
          </cell>
          <cell r="BO647">
            <v>491.4</v>
          </cell>
          <cell r="BP647">
            <v>3767.4</v>
          </cell>
          <cell r="BQ647">
            <v>2.9249999999999998</v>
          </cell>
          <cell r="BR647">
            <v>936.6</v>
          </cell>
          <cell r="BT647">
            <v>2</v>
          </cell>
          <cell r="BU647">
            <v>2</v>
          </cell>
          <cell r="BV647" t="str">
            <v>Y</v>
          </cell>
          <cell r="BW647">
            <v>2447.8977600000012</v>
          </cell>
          <cell r="BX647">
            <v>2447.8977600000012</v>
          </cell>
          <cell r="BY647">
            <v>2026</v>
          </cell>
          <cell r="BZ647" t="str">
            <v>-</v>
          </cell>
          <cell r="CA647" t="str">
            <v>-</v>
          </cell>
        </row>
        <row r="648">
          <cell r="A648" t="str">
            <v>Lucknow</v>
          </cell>
          <cell r="B648" t="str">
            <v>Titans</v>
          </cell>
          <cell r="C648" t="str">
            <v>Mid Level</v>
          </cell>
          <cell r="D648" t="str">
            <v>Nitin Saxena</v>
          </cell>
          <cell r="F648" t="str">
            <v>Non-MSP</v>
          </cell>
          <cell r="H648" t="str">
            <v>Samad Quraishi</v>
          </cell>
          <cell r="J648" t="str">
            <v>ACH</v>
          </cell>
          <cell r="L648" t="str">
            <v>New</v>
          </cell>
          <cell r="M648">
            <v>46113</v>
          </cell>
          <cell r="N648">
            <v>89</v>
          </cell>
          <cell r="P648">
            <v>46478</v>
          </cell>
          <cell r="Q648" t="str">
            <v>PLC-4302</v>
          </cell>
          <cell r="R648" t="str">
            <v>Shubham Chavan</v>
          </cell>
          <cell r="S648" t="str">
            <v>Individual</v>
          </cell>
          <cell r="T648" t="str">
            <v>W2</v>
          </cell>
          <cell r="U648" t="str">
            <v>Genpact</v>
          </cell>
          <cell r="V648">
            <v>19.5</v>
          </cell>
          <cell r="W648">
            <v>0</v>
          </cell>
          <cell r="X648" t="str">
            <v>USD</v>
          </cell>
          <cell r="Y648">
            <v>28</v>
          </cell>
          <cell r="Z648">
            <v>0</v>
          </cell>
          <cell r="AA648">
            <v>0</v>
          </cell>
          <cell r="AB648">
            <v>0</v>
          </cell>
          <cell r="AC648">
            <v>46157</v>
          </cell>
          <cell r="AD648">
            <v>22</v>
          </cell>
          <cell r="AE648">
            <v>46387</v>
          </cell>
          <cell r="AF648">
            <v>22.424999999999997</v>
          </cell>
          <cell r="AG648">
            <v>0</v>
          </cell>
          <cell r="AH648">
            <v>22.424999999999997</v>
          </cell>
          <cell r="AI648">
            <v>28</v>
          </cell>
          <cell r="AJ648">
            <v>0</v>
          </cell>
          <cell r="AK648">
            <v>0</v>
          </cell>
          <cell r="AL648">
            <v>5.5750000000000028</v>
          </cell>
          <cell r="AM648">
            <v>0</v>
          </cell>
          <cell r="AN648">
            <v>5.5750000000000028</v>
          </cell>
          <cell r="AO648">
            <v>0</v>
          </cell>
          <cell r="AP648">
            <v>5.5750000000000028</v>
          </cell>
          <cell r="AQ648" t="str">
            <v>US_27803</v>
          </cell>
          <cell r="AR648">
            <v>0</v>
          </cell>
          <cell r="AS648">
            <v>160</v>
          </cell>
          <cell r="AT648">
            <v>4</v>
          </cell>
          <cell r="AU648">
            <v>160</v>
          </cell>
          <cell r="AV648">
            <v>0</v>
          </cell>
          <cell r="AW648">
            <v>892.00000000000045</v>
          </cell>
          <cell r="AX648">
            <v>883.0800000000005</v>
          </cell>
          <cell r="AY648">
            <v>0</v>
          </cell>
          <cell r="AZ648">
            <v>892.00000000000045</v>
          </cell>
          <cell r="BA648">
            <v>883.0800000000005</v>
          </cell>
          <cell r="BB648">
            <v>892.00000000000045</v>
          </cell>
          <cell r="BC648">
            <v>55.555555555555557</v>
          </cell>
          <cell r="BD648">
            <v>1165.6656000000007</v>
          </cell>
          <cell r="BE648">
            <v>1165.6656000000007</v>
          </cell>
          <cell r="BG648">
            <v>883.0800000000005</v>
          </cell>
          <cell r="BI648">
            <v>0</v>
          </cell>
          <cell r="BJ648">
            <v>4480</v>
          </cell>
          <cell r="BK648">
            <v>4480</v>
          </cell>
          <cell r="BL648">
            <v>3120</v>
          </cell>
          <cell r="BM648">
            <v>2.9249999999999998</v>
          </cell>
          <cell r="BN648">
            <v>0</v>
          </cell>
          <cell r="BO648">
            <v>468</v>
          </cell>
          <cell r="BP648">
            <v>3588</v>
          </cell>
          <cell r="BQ648">
            <v>2.9249999999999998</v>
          </cell>
          <cell r="BR648">
            <v>892</v>
          </cell>
          <cell r="BT648">
            <v>2</v>
          </cell>
          <cell r="BU648">
            <v>2</v>
          </cell>
          <cell r="BV648" t="str">
            <v>Y</v>
          </cell>
          <cell r="BW648">
            <v>2331.3312000000014</v>
          </cell>
          <cell r="BX648">
            <v>2331.3312000000014</v>
          </cell>
          <cell r="BY648">
            <v>2026</v>
          </cell>
          <cell r="BZ648" t="str">
            <v>-</v>
          </cell>
          <cell r="CA648" t="str">
            <v>-</v>
          </cell>
        </row>
        <row r="649">
          <cell r="A649" t="str">
            <v>Lucknow</v>
          </cell>
          <cell r="B649" t="str">
            <v>Titans</v>
          </cell>
          <cell r="C649" t="str">
            <v>Mid Level</v>
          </cell>
          <cell r="D649" t="str">
            <v>Abhishek Yadav</v>
          </cell>
          <cell r="E649" t="str">
            <v>-</v>
          </cell>
          <cell r="F649" t="str">
            <v>Non-MSP</v>
          </cell>
          <cell r="H649" t="str">
            <v>Manish Kumar Dhiman</v>
          </cell>
          <cell r="L649" t="str">
            <v>New</v>
          </cell>
          <cell r="M649">
            <v>46057</v>
          </cell>
          <cell r="N649">
            <v>145</v>
          </cell>
          <cell r="O649">
            <v>46097</v>
          </cell>
          <cell r="P649">
            <v>46422</v>
          </cell>
          <cell r="Q649" t="str">
            <v>PLC-4695</v>
          </cell>
          <cell r="R649" t="str">
            <v>Shweta Gopal Sharma 2</v>
          </cell>
          <cell r="S649" t="str">
            <v>Individual</v>
          </cell>
          <cell r="T649" t="str">
            <v>W2</v>
          </cell>
          <cell r="U649" t="str">
            <v>Genpact</v>
          </cell>
          <cell r="V649">
            <v>68</v>
          </cell>
          <cell r="W649">
            <v>0</v>
          </cell>
          <cell r="X649" t="str">
            <v>USD</v>
          </cell>
          <cell r="Y649">
            <v>80</v>
          </cell>
          <cell r="Z649">
            <v>0</v>
          </cell>
          <cell r="AA649">
            <v>0</v>
          </cell>
          <cell r="AB649">
            <v>0</v>
          </cell>
          <cell r="AC649">
            <v>46068</v>
          </cell>
          <cell r="AD649">
            <v>18</v>
          </cell>
          <cell r="AE649">
            <v>46387</v>
          </cell>
          <cell r="AF649">
            <v>78.199999999999989</v>
          </cell>
          <cell r="AG649">
            <v>0</v>
          </cell>
          <cell r="AH649">
            <v>78.199999999999989</v>
          </cell>
          <cell r="AI649">
            <v>80</v>
          </cell>
          <cell r="AJ649">
            <v>0</v>
          </cell>
          <cell r="AK649">
            <v>0</v>
          </cell>
          <cell r="AL649">
            <v>1.8000000000000114</v>
          </cell>
          <cell r="AM649">
            <v>0</v>
          </cell>
          <cell r="AN649">
            <v>1.8000000000000114</v>
          </cell>
          <cell r="AO649">
            <v>0</v>
          </cell>
          <cell r="AP649">
            <v>1.8000000000000114</v>
          </cell>
          <cell r="AQ649" t="str">
            <v>US_27172</v>
          </cell>
          <cell r="AR649">
            <v>0</v>
          </cell>
          <cell r="AS649">
            <v>61</v>
          </cell>
          <cell r="AU649">
            <v>61</v>
          </cell>
          <cell r="AV649">
            <v>0</v>
          </cell>
          <cell r="AW649">
            <v>109.80000000000069</v>
          </cell>
          <cell r="AX649">
            <v>109.80000000000069</v>
          </cell>
          <cell r="AY649">
            <v>0</v>
          </cell>
          <cell r="AZ649">
            <v>109.80000000000069</v>
          </cell>
          <cell r="BA649">
            <v>109.80000000000069</v>
          </cell>
          <cell r="BB649">
            <v>109.80000000000069</v>
          </cell>
          <cell r="BC649">
            <v>0</v>
          </cell>
          <cell r="BD649">
            <v>0</v>
          </cell>
          <cell r="BE649">
            <v>0</v>
          </cell>
          <cell r="BG649">
            <v>109.80000000000069</v>
          </cell>
          <cell r="BI649">
            <v>109.80000000000069</v>
          </cell>
          <cell r="BJ649">
            <v>4880</v>
          </cell>
          <cell r="BK649">
            <v>4880</v>
          </cell>
          <cell r="BL649">
            <v>4148</v>
          </cell>
          <cell r="BM649">
            <v>10.199999999999999</v>
          </cell>
          <cell r="BN649">
            <v>0</v>
          </cell>
          <cell r="BO649">
            <v>622.19999999999993</v>
          </cell>
          <cell r="BP649">
            <v>4770.2</v>
          </cell>
          <cell r="BQ649">
            <v>10.199999999999999</v>
          </cell>
          <cell r="BR649">
            <v>109.80000000000007</v>
          </cell>
          <cell r="BS649" t="str">
            <v>Y</v>
          </cell>
          <cell r="BT649">
            <v>1</v>
          </cell>
          <cell r="BU649">
            <v>1</v>
          </cell>
          <cell r="BV649" t="str">
            <v>Y</v>
          </cell>
          <cell r="BW649">
            <v>0</v>
          </cell>
          <cell r="BX649">
            <v>0</v>
          </cell>
          <cell r="BY649">
            <v>2026</v>
          </cell>
          <cell r="BZ649" t="str">
            <v>-</v>
          </cell>
          <cell r="CA649" t="str">
            <v>-</v>
          </cell>
        </row>
        <row r="650">
          <cell r="A650" t="str">
            <v>Lucknow</v>
          </cell>
          <cell r="B650" t="str">
            <v>Vantedge</v>
          </cell>
          <cell r="C650" t="str">
            <v>Mid Level</v>
          </cell>
          <cell r="D650" t="str">
            <v>Rashmi Bhatnagar</v>
          </cell>
          <cell r="F650" t="str">
            <v>Non-MSP</v>
          </cell>
          <cell r="G650" t="str">
            <v>Kashif Nabi</v>
          </cell>
          <cell r="H650" t="str">
            <v>Vasudav Srivastava</v>
          </cell>
          <cell r="J650" t="str">
            <v>ACH</v>
          </cell>
          <cell r="L650" t="str">
            <v>New</v>
          </cell>
          <cell r="M650">
            <v>46118</v>
          </cell>
          <cell r="N650">
            <v>84</v>
          </cell>
          <cell r="O650">
            <v>46146</v>
          </cell>
          <cell r="P650">
            <v>46483</v>
          </cell>
          <cell r="Q650" t="str">
            <v>PLC-4814</v>
          </cell>
          <cell r="R650" t="str">
            <v>Siddharth Premchand Bhandari</v>
          </cell>
          <cell r="S650" t="str">
            <v>Split</v>
          </cell>
          <cell r="T650">
            <v>1099</v>
          </cell>
          <cell r="U650" t="str">
            <v>Sutherland Global Services</v>
          </cell>
          <cell r="V650">
            <v>108</v>
          </cell>
          <cell r="W650">
            <v>0</v>
          </cell>
          <cell r="X650" t="str">
            <v>USD</v>
          </cell>
          <cell r="Y650">
            <v>120</v>
          </cell>
          <cell r="Z650">
            <v>0</v>
          </cell>
          <cell r="AA650">
            <v>0</v>
          </cell>
          <cell r="AB650">
            <v>0</v>
          </cell>
          <cell r="AC650">
            <v>46127</v>
          </cell>
          <cell r="AD650">
            <v>19</v>
          </cell>
          <cell r="AE650">
            <v>46387</v>
          </cell>
          <cell r="AF650">
            <v>115.56</v>
          </cell>
          <cell r="AG650">
            <v>0</v>
          </cell>
          <cell r="AH650">
            <v>115.56</v>
          </cell>
          <cell r="AI650">
            <v>120</v>
          </cell>
          <cell r="AJ650">
            <v>0</v>
          </cell>
          <cell r="AK650">
            <v>0</v>
          </cell>
          <cell r="AL650">
            <v>4.4399999999999977</v>
          </cell>
          <cell r="AM650">
            <v>0</v>
          </cell>
          <cell r="AN650">
            <v>2.2199999999999989</v>
          </cell>
          <cell r="AO650">
            <v>0</v>
          </cell>
          <cell r="AP650">
            <v>2.2199999999999989</v>
          </cell>
          <cell r="AQ650" t="str">
            <v>US_27709</v>
          </cell>
          <cell r="AR650">
            <v>0</v>
          </cell>
          <cell r="AS650">
            <v>160</v>
          </cell>
          <cell r="AU650">
            <v>160</v>
          </cell>
          <cell r="AV650">
            <v>0</v>
          </cell>
          <cell r="AW650">
            <v>355.19999999999982</v>
          </cell>
          <cell r="AX650">
            <v>351.6479999999998</v>
          </cell>
          <cell r="AY650">
            <v>0</v>
          </cell>
          <cell r="AZ650">
            <v>355.19999999999982</v>
          </cell>
          <cell r="BA650">
            <v>351.6479999999998</v>
          </cell>
          <cell r="BB650">
            <v>355.19999999999982</v>
          </cell>
          <cell r="BC650">
            <v>0</v>
          </cell>
          <cell r="BD650">
            <v>0</v>
          </cell>
          <cell r="BE650">
            <v>0</v>
          </cell>
          <cell r="BG650">
            <v>351.6479999999998</v>
          </cell>
          <cell r="BI650">
            <v>0</v>
          </cell>
          <cell r="BJ650">
            <v>9600</v>
          </cell>
          <cell r="BK650">
            <v>9600</v>
          </cell>
          <cell r="BL650">
            <v>8640</v>
          </cell>
          <cell r="BM650">
            <v>7.5600000000000005</v>
          </cell>
          <cell r="BN650">
            <v>0</v>
          </cell>
          <cell r="BO650">
            <v>1209.6000000000001</v>
          </cell>
          <cell r="BP650">
            <v>9849.6</v>
          </cell>
          <cell r="BQ650">
            <v>7.5600000000000005</v>
          </cell>
          <cell r="BR650">
            <v>-249.60000000000014</v>
          </cell>
          <cell r="BT650">
            <v>2</v>
          </cell>
          <cell r="BU650">
            <v>2</v>
          </cell>
          <cell r="BV650" t="str">
            <v>N</v>
          </cell>
          <cell r="BW650">
            <v>0</v>
          </cell>
          <cell r="BX650">
            <v>0</v>
          </cell>
          <cell r="BY650">
            <v>2026</v>
          </cell>
          <cell r="BZ650" t="str">
            <v>-</v>
          </cell>
          <cell r="CA650" t="str">
            <v>-</v>
          </cell>
        </row>
        <row r="651">
          <cell r="A651" t="str">
            <v>Lucknow</v>
          </cell>
          <cell r="B651" t="str">
            <v>Mavericks</v>
          </cell>
          <cell r="C651" t="str">
            <v>Mid Level</v>
          </cell>
          <cell r="D651" t="str">
            <v>Kashif Nabi</v>
          </cell>
          <cell r="E651" t="str">
            <v>Khatib Ur Rahman</v>
          </cell>
          <cell r="F651" t="str">
            <v>Non-MSP</v>
          </cell>
          <cell r="G651" t="str">
            <v>Rashmi Bhatnagar</v>
          </cell>
          <cell r="H651" t="str">
            <v>Vasudav Srivastava</v>
          </cell>
          <cell r="J651" t="str">
            <v>ACH</v>
          </cell>
          <cell r="L651" t="str">
            <v>New</v>
          </cell>
          <cell r="M651">
            <v>46118</v>
          </cell>
          <cell r="N651">
            <v>84</v>
          </cell>
          <cell r="O651">
            <v>46146</v>
          </cell>
          <cell r="P651">
            <v>46483</v>
          </cell>
          <cell r="Q651" t="str">
            <v>PLC-4814</v>
          </cell>
          <cell r="R651" t="str">
            <v>Siddharth Premchand Bhandari</v>
          </cell>
          <cell r="S651" t="str">
            <v>Split</v>
          </cell>
          <cell r="T651">
            <v>1099</v>
          </cell>
          <cell r="U651" t="str">
            <v>Sutherland Global Services</v>
          </cell>
          <cell r="V651">
            <v>108</v>
          </cell>
          <cell r="W651">
            <v>0</v>
          </cell>
          <cell r="X651" t="str">
            <v>USD</v>
          </cell>
          <cell r="Y651">
            <v>120</v>
          </cell>
          <cell r="Z651">
            <v>0</v>
          </cell>
          <cell r="AA651">
            <v>0</v>
          </cell>
          <cell r="AB651">
            <v>0</v>
          </cell>
          <cell r="AC651">
            <v>46127</v>
          </cell>
          <cell r="AD651">
            <v>19</v>
          </cell>
          <cell r="AE651">
            <v>46387</v>
          </cell>
          <cell r="AF651">
            <v>115.56</v>
          </cell>
          <cell r="AG651">
            <v>0</v>
          </cell>
          <cell r="AH651">
            <v>115.56</v>
          </cell>
          <cell r="AI651">
            <v>120</v>
          </cell>
          <cell r="AJ651">
            <v>0</v>
          </cell>
          <cell r="AK651">
            <v>0</v>
          </cell>
          <cell r="AL651">
            <v>4.4399999999999977</v>
          </cell>
          <cell r="AM651">
            <v>0</v>
          </cell>
          <cell r="AN651">
            <v>2.2199999999999989</v>
          </cell>
          <cell r="AO651">
            <v>0</v>
          </cell>
          <cell r="AP651">
            <v>2.2199999999999989</v>
          </cell>
          <cell r="AQ651" t="str">
            <v>US_27709</v>
          </cell>
          <cell r="AR651">
            <v>0</v>
          </cell>
          <cell r="AS651">
            <v>160</v>
          </cell>
          <cell r="AU651">
            <v>160</v>
          </cell>
          <cell r="AV651">
            <v>0</v>
          </cell>
          <cell r="AW651">
            <v>355.19999999999982</v>
          </cell>
          <cell r="AX651">
            <v>351.6479999999998</v>
          </cell>
          <cell r="AY651">
            <v>0</v>
          </cell>
          <cell r="AZ651">
            <v>355.19999999999982</v>
          </cell>
          <cell r="BA651">
            <v>351.6479999999998</v>
          </cell>
          <cell r="BB651">
            <v>355.19999999999982</v>
          </cell>
          <cell r="BC651">
            <v>0</v>
          </cell>
          <cell r="BD651">
            <v>0</v>
          </cell>
          <cell r="BE651">
            <v>0</v>
          </cell>
          <cell r="BG651">
            <v>351.6479999999998</v>
          </cell>
          <cell r="BI651">
            <v>0</v>
          </cell>
          <cell r="BJ651">
            <v>9600</v>
          </cell>
          <cell r="BK651">
            <v>9600</v>
          </cell>
          <cell r="BL651">
            <v>8640</v>
          </cell>
          <cell r="BM651">
            <v>7.5600000000000005</v>
          </cell>
          <cell r="BN651">
            <v>0</v>
          </cell>
          <cell r="BO651">
            <v>1209.6000000000001</v>
          </cell>
          <cell r="BP651">
            <v>9849.6</v>
          </cell>
          <cell r="BQ651">
            <v>7.5600000000000005</v>
          </cell>
          <cell r="BR651">
            <v>-249.60000000000014</v>
          </cell>
          <cell r="BT651">
            <v>2</v>
          </cell>
          <cell r="BU651">
            <v>2</v>
          </cell>
          <cell r="BV651" t="str">
            <v>N</v>
          </cell>
          <cell r="BW651">
            <v>0</v>
          </cell>
          <cell r="BX651">
            <v>0</v>
          </cell>
          <cell r="BY651">
            <v>2026</v>
          </cell>
          <cell r="BZ651" t="str">
            <v>-</v>
          </cell>
          <cell r="CA651" t="str">
            <v>-</v>
          </cell>
        </row>
        <row r="652">
          <cell r="A652" t="str">
            <v>Lucknow</v>
          </cell>
          <cell r="B652" t="str">
            <v>Vantedge</v>
          </cell>
          <cell r="C652" t="str">
            <v>Mid Level</v>
          </cell>
          <cell r="D652" t="str">
            <v>Rashmi Bhatnagar</v>
          </cell>
          <cell r="F652" t="str">
            <v>Non-MSP</v>
          </cell>
          <cell r="G652" t="str">
            <v>Kashif Nabi</v>
          </cell>
          <cell r="H652" t="str">
            <v>Vasudav Srivastava</v>
          </cell>
          <cell r="J652" t="str">
            <v>ACH</v>
          </cell>
          <cell r="L652" t="str">
            <v>New</v>
          </cell>
          <cell r="M652">
            <v>46118</v>
          </cell>
          <cell r="N652">
            <v>84</v>
          </cell>
          <cell r="O652">
            <v>46146</v>
          </cell>
          <cell r="P652">
            <v>46483</v>
          </cell>
          <cell r="Q652" t="str">
            <v>PLC-4814</v>
          </cell>
          <cell r="R652" t="str">
            <v>Siddharth Premchand Bhandari</v>
          </cell>
          <cell r="S652" t="str">
            <v>Split</v>
          </cell>
          <cell r="T652">
            <v>1099</v>
          </cell>
          <cell r="U652" t="str">
            <v>Sutherland Global Services</v>
          </cell>
          <cell r="V652">
            <v>108</v>
          </cell>
          <cell r="W652">
            <v>0</v>
          </cell>
          <cell r="X652" t="str">
            <v>USD</v>
          </cell>
          <cell r="Y652">
            <v>120</v>
          </cell>
          <cell r="Z652">
            <v>0</v>
          </cell>
          <cell r="AA652">
            <v>0</v>
          </cell>
          <cell r="AB652">
            <v>0</v>
          </cell>
          <cell r="AC652">
            <v>46157</v>
          </cell>
          <cell r="AD652">
            <v>19</v>
          </cell>
          <cell r="AE652">
            <v>46387</v>
          </cell>
          <cell r="AF652">
            <v>115.56</v>
          </cell>
          <cell r="AG652">
            <v>0</v>
          </cell>
          <cell r="AH652">
            <v>115.56</v>
          </cell>
          <cell r="AI652">
            <v>120</v>
          </cell>
          <cell r="AJ652">
            <v>0</v>
          </cell>
          <cell r="AK652">
            <v>0</v>
          </cell>
          <cell r="AL652">
            <v>4.4399999999999977</v>
          </cell>
          <cell r="AM652">
            <v>0</v>
          </cell>
          <cell r="AN652">
            <v>2.2199999999999989</v>
          </cell>
          <cell r="AO652">
            <v>0</v>
          </cell>
          <cell r="AP652">
            <v>2.2199999999999989</v>
          </cell>
          <cell r="AQ652" t="str">
            <v>US_27709_A</v>
          </cell>
          <cell r="AR652">
            <v>0</v>
          </cell>
          <cell r="AS652">
            <v>1</v>
          </cell>
          <cell r="AU652">
            <v>1</v>
          </cell>
          <cell r="AV652">
            <v>0</v>
          </cell>
          <cell r="AW652">
            <v>2.2199999999999989</v>
          </cell>
          <cell r="AX652">
            <v>2.1977999999999986</v>
          </cell>
          <cell r="AY652">
            <v>0</v>
          </cell>
          <cell r="AZ652">
            <v>2.2199999999999989</v>
          </cell>
          <cell r="BA652">
            <v>2.1977999999999986</v>
          </cell>
          <cell r="BB652">
            <v>2.2199999999999989</v>
          </cell>
          <cell r="BC652">
            <v>0</v>
          </cell>
          <cell r="BD652">
            <v>0</v>
          </cell>
          <cell r="BE652">
            <v>0</v>
          </cell>
          <cell r="BG652">
            <v>2.1977999999999986</v>
          </cell>
          <cell r="BI652">
            <v>0</v>
          </cell>
          <cell r="BJ652">
            <v>60</v>
          </cell>
          <cell r="BK652">
            <v>60</v>
          </cell>
          <cell r="BL652">
            <v>54</v>
          </cell>
          <cell r="BM652">
            <v>7.5600000000000005</v>
          </cell>
          <cell r="BN652">
            <v>0</v>
          </cell>
          <cell r="BO652">
            <v>7.5600000000000005</v>
          </cell>
          <cell r="BP652">
            <v>61.56</v>
          </cell>
          <cell r="BQ652">
            <v>7.5600000000000005</v>
          </cell>
          <cell r="BR652">
            <v>-1.5600000000000005</v>
          </cell>
          <cell r="BT652">
            <v>2</v>
          </cell>
          <cell r="BU652">
            <v>2</v>
          </cell>
          <cell r="BV652" t="str">
            <v>N</v>
          </cell>
          <cell r="BW652">
            <v>0</v>
          </cell>
          <cell r="BX652">
            <v>0</v>
          </cell>
          <cell r="BY652">
            <v>2026</v>
          </cell>
          <cell r="BZ652" t="str">
            <v>-</v>
          </cell>
          <cell r="CA652" t="str">
            <v>-</v>
          </cell>
        </row>
        <row r="653">
          <cell r="A653" t="str">
            <v>Lucknow</v>
          </cell>
          <cell r="B653" t="str">
            <v>Mavericks</v>
          </cell>
          <cell r="C653" t="str">
            <v>Mid Level</v>
          </cell>
          <cell r="D653" t="str">
            <v>Kashif Nabi</v>
          </cell>
          <cell r="E653" t="str">
            <v>Khatib Ur Rahman</v>
          </cell>
          <cell r="F653" t="str">
            <v>Non-MSP</v>
          </cell>
          <cell r="G653" t="str">
            <v>Rashmi Bhatnagar</v>
          </cell>
          <cell r="H653" t="str">
            <v>Vasudav Srivastava</v>
          </cell>
          <cell r="J653" t="str">
            <v>ACH</v>
          </cell>
          <cell r="L653" t="str">
            <v>New</v>
          </cell>
          <cell r="M653">
            <v>46118</v>
          </cell>
          <cell r="N653">
            <v>84</v>
          </cell>
          <cell r="O653">
            <v>46146</v>
          </cell>
          <cell r="P653">
            <v>46483</v>
          </cell>
          <cell r="Q653" t="str">
            <v>PLC-4814</v>
          </cell>
          <cell r="R653" t="str">
            <v>Siddharth Premchand Bhandari</v>
          </cell>
          <cell r="S653" t="str">
            <v>Split</v>
          </cell>
          <cell r="T653">
            <v>1099</v>
          </cell>
          <cell r="U653" t="str">
            <v>Sutherland Global Services</v>
          </cell>
          <cell r="V653">
            <v>108</v>
          </cell>
          <cell r="W653">
            <v>0</v>
          </cell>
          <cell r="X653" t="str">
            <v>USD</v>
          </cell>
          <cell r="Y653">
            <v>120</v>
          </cell>
          <cell r="Z653">
            <v>0</v>
          </cell>
          <cell r="AA653">
            <v>0</v>
          </cell>
          <cell r="AB653">
            <v>0</v>
          </cell>
          <cell r="AC653">
            <v>46157</v>
          </cell>
          <cell r="AD653">
            <v>19</v>
          </cell>
          <cell r="AE653">
            <v>46387</v>
          </cell>
          <cell r="AF653">
            <v>115.56</v>
          </cell>
          <cell r="AG653">
            <v>0</v>
          </cell>
          <cell r="AH653">
            <v>115.56</v>
          </cell>
          <cell r="AI653">
            <v>120</v>
          </cell>
          <cell r="AJ653">
            <v>0</v>
          </cell>
          <cell r="AK653">
            <v>0</v>
          </cell>
          <cell r="AL653">
            <v>4.4399999999999977</v>
          </cell>
          <cell r="AM653">
            <v>0</v>
          </cell>
          <cell r="AN653">
            <v>2.2199999999999989</v>
          </cell>
          <cell r="AO653">
            <v>0</v>
          </cell>
          <cell r="AP653">
            <v>2.2199999999999989</v>
          </cell>
          <cell r="AQ653" t="str">
            <v>US_27709_A</v>
          </cell>
          <cell r="AR653">
            <v>0</v>
          </cell>
          <cell r="AS653">
            <v>1</v>
          </cell>
          <cell r="AU653">
            <v>1</v>
          </cell>
          <cell r="AV653">
            <v>0</v>
          </cell>
          <cell r="AW653">
            <v>2.2199999999999989</v>
          </cell>
          <cell r="AX653">
            <v>2.1977999999999986</v>
          </cell>
          <cell r="AY653">
            <v>0</v>
          </cell>
          <cell r="AZ653">
            <v>2.2199999999999989</v>
          </cell>
          <cell r="BA653">
            <v>2.1977999999999986</v>
          </cell>
          <cell r="BB653">
            <v>2.2199999999999989</v>
          </cell>
          <cell r="BC653">
            <v>0</v>
          </cell>
          <cell r="BD653">
            <v>0</v>
          </cell>
          <cell r="BE653">
            <v>0</v>
          </cell>
          <cell r="BG653">
            <v>2.1977999999999986</v>
          </cell>
          <cell r="BI653">
            <v>0</v>
          </cell>
          <cell r="BJ653">
            <v>60</v>
          </cell>
          <cell r="BK653">
            <v>60</v>
          </cell>
          <cell r="BL653">
            <v>54</v>
          </cell>
          <cell r="BM653">
            <v>7.5600000000000005</v>
          </cell>
          <cell r="BN653">
            <v>0</v>
          </cell>
          <cell r="BO653">
            <v>7.5600000000000005</v>
          </cell>
          <cell r="BP653">
            <v>61.56</v>
          </cell>
          <cell r="BQ653">
            <v>7.5600000000000005</v>
          </cell>
          <cell r="BR653">
            <v>-1.5600000000000005</v>
          </cell>
          <cell r="BT653">
            <v>2</v>
          </cell>
          <cell r="BU653">
            <v>2</v>
          </cell>
          <cell r="BV653" t="str">
            <v>N</v>
          </cell>
          <cell r="BW653">
            <v>0</v>
          </cell>
          <cell r="BX653">
            <v>0</v>
          </cell>
          <cell r="BY653">
            <v>2026</v>
          </cell>
          <cell r="BZ653" t="str">
            <v>-</v>
          </cell>
          <cell r="CA653" t="str">
            <v>-</v>
          </cell>
        </row>
        <row r="654">
          <cell r="A654" t="str">
            <v>Lucknow</v>
          </cell>
          <cell r="B654" t="str">
            <v>Titans</v>
          </cell>
          <cell r="C654" t="str">
            <v>Mid Level</v>
          </cell>
          <cell r="D654" t="str">
            <v>Abhishek Yadav</v>
          </cell>
          <cell r="E654" t="str">
            <v>-</v>
          </cell>
          <cell r="F654" t="str">
            <v>Non-MSP</v>
          </cell>
          <cell r="H654" t="str">
            <v>Heena Pandey</v>
          </cell>
          <cell r="L654" t="str">
            <v>New</v>
          </cell>
          <cell r="M654">
            <v>46107</v>
          </cell>
          <cell r="N654">
            <v>95</v>
          </cell>
          <cell r="P654">
            <v>46472</v>
          </cell>
          <cell r="Q654" t="str">
            <v>PLC-4761</v>
          </cell>
          <cell r="R654" t="str">
            <v>Siddhesh Dubey</v>
          </cell>
          <cell r="S654" t="str">
            <v>Individual</v>
          </cell>
          <cell r="T654" t="str">
            <v>FTE</v>
          </cell>
          <cell r="U654" t="str">
            <v>Genpact</v>
          </cell>
          <cell r="V654">
            <v>0</v>
          </cell>
          <cell r="W654">
            <v>0</v>
          </cell>
          <cell r="X654" t="str">
            <v>CAD</v>
          </cell>
          <cell r="Y654">
            <v>9600</v>
          </cell>
          <cell r="Z654">
            <v>0</v>
          </cell>
          <cell r="AA654">
            <v>0</v>
          </cell>
          <cell r="AB654">
            <v>0</v>
          </cell>
          <cell r="AC654">
            <v>46096</v>
          </cell>
          <cell r="AD654">
            <v>1</v>
          </cell>
          <cell r="AE654">
            <v>46387</v>
          </cell>
          <cell r="AF654">
            <v>0</v>
          </cell>
          <cell r="AG654">
            <v>0</v>
          </cell>
          <cell r="AH654">
            <v>0</v>
          </cell>
          <cell r="AI654">
            <v>6816</v>
          </cell>
          <cell r="AJ654">
            <v>0</v>
          </cell>
          <cell r="AK654">
            <v>0</v>
          </cell>
          <cell r="AL654">
            <v>6816</v>
          </cell>
          <cell r="AM654">
            <v>0</v>
          </cell>
          <cell r="AN654">
            <v>6816</v>
          </cell>
          <cell r="AO654">
            <v>0</v>
          </cell>
          <cell r="AP654">
            <v>6816</v>
          </cell>
          <cell r="AQ654" t="str">
            <v>CAD_2073</v>
          </cell>
          <cell r="AR654">
            <v>0</v>
          </cell>
          <cell r="AS654">
            <v>1</v>
          </cell>
          <cell r="AU654">
            <v>1</v>
          </cell>
          <cell r="AV654">
            <v>0</v>
          </cell>
          <cell r="AW654">
            <v>6816</v>
          </cell>
          <cell r="AX654">
            <v>6816</v>
          </cell>
          <cell r="AY654">
            <v>0</v>
          </cell>
          <cell r="AZ654">
            <v>6816</v>
          </cell>
          <cell r="BA654">
            <v>6816</v>
          </cell>
          <cell r="BB654">
            <v>6816</v>
          </cell>
          <cell r="BC654">
            <v>0</v>
          </cell>
          <cell r="BD654">
            <v>0</v>
          </cell>
          <cell r="BE654">
            <v>0</v>
          </cell>
          <cell r="BG654">
            <v>6816</v>
          </cell>
          <cell r="BI654">
            <v>6816</v>
          </cell>
          <cell r="BJ654">
            <v>9600</v>
          </cell>
          <cell r="BK654">
            <v>6816</v>
          </cell>
          <cell r="BL654">
            <v>0</v>
          </cell>
          <cell r="BM654">
            <v>0</v>
          </cell>
          <cell r="BN654">
            <v>0</v>
          </cell>
          <cell r="BO654">
            <v>0</v>
          </cell>
          <cell r="BP654">
            <v>0</v>
          </cell>
          <cell r="BQ654">
            <v>0</v>
          </cell>
          <cell r="BR654">
            <v>6816</v>
          </cell>
          <cell r="BS654" t="str">
            <v>Y</v>
          </cell>
          <cell r="BT654">
            <v>1</v>
          </cell>
          <cell r="BU654">
            <v>1</v>
          </cell>
          <cell r="BV654" t="str">
            <v>N</v>
          </cell>
          <cell r="BW654">
            <v>0</v>
          </cell>
          <cell r="BX654">
            <v>0</v>
          </cell>
          <cell r="BY654">
            <v>2026</v>
          </cell>
          <cell r="BZ654" t="str">
            <v>-</v>
          </cell>
          <cell r="CA654" t="str">
            <v>-</v>
          </cell>
        </row>
        <row r="655">
          <cell r="A655" t="str">
            <v>Lucknow</v>
          </cell>
          <cell r="B655" t="str">
            <v>Mavericks</v>
          </cell>
          <cell r="C655" t="str">
            <v>Mid Level</v>
          </cell>
          <cell r="D655" t="str">
            <v>Rohit Gupta</v>
          </cell>
          <cell r="E655" t="str">
            <v>Vivek Yadav</v>
          </cell>
          <cell r="F655" t="str">
            <v>Non-MSP</v>
          </cell>
          <cell r="H655" t="str">
            <v>Himanshu Gupta</v>
          </cell>
          <cell r="L655" t="str">
            <v>New</v>
          </cell>
          <cell r="M655">
            <v>46083</v>
          </cell>
          <cell r="N655">
            <v>119</v>
          </cell>
          <cell r="P655">
            <v>46448</v>
          </cell>
          <cell r="Q655" t="str">
            <v>PLC-4726</v>
          </cell>
          <cell r="R655" t="str">
            <v>Siva Krishna Challa</v>
          </cell>
          <cell r="S655" t="str">
            <v>Individual</v>
          </cell>
          <cell r="T655" t="str">
            <v>C2C</v>
          </cell>
          <cell r="U655" t="str">
            <v>CoForge</v>
          </cell>
          <cell r="V655">
            <v>70</v>
          </cell>
          <cell r="W655">
            <v>0</v>
          </cell>
          <cell r="X655" t="str">
            <v>USD</v>
          </cell>
          <cell r="Y655">
            <v>80</v>
          </cell>
          <cell r="Z655">
            <v>0</v>
          </cell>
          <cell r="AA655">
            <v>261</v>
          </cell>
          <cell r="AB655">
            <v>0</v>
          </cell>
          <cell r="AC655">
            <v>46096</v>
          </cell>
          <cell r="AD655">
            <v>22</v>
          </cell>
          <cell r="AE655">
            <v>46387</v>
          </cell>
          <cell r="AF655">
            <v>70</v>
          </cell>
          <cell r="AG655">
            <v>0</v>
          </cell>
          <cell r="AH655">
            <v>70</v>
          </cell>
          <cell r="AI655">
            <v>80</v>
          </cell>
          <cell r="AJ655">
            <v>0</v>
          </cell>
          <cell r="AK655">
            <v>0</v>
          </cell>
          <cell r="AL655">
            <v>10</v>
          </cell>
          <cell r="AM655">
            <v>0</v>
          </cell>
          <cell r="AN655">
            <v>10</v>
          </cell>
          <cell r="AO655">
            <v>0</v>
          </cell>
          <cell r="AP655">
            <v>10</v>
          </cell>
          <cell r="AQ655" t="str">
            <v>US_27423</v>
          </cell>
          <cell r="AR655">
            <v>0</v>
          </cell>
          <cell r="AS655">
            <v>176</v>
          </cell>
          <cell r="AU655">
            <v>176</v>
          </cell>
          <cell r="AV655">
            <v>0</v>
          </cell>
          <cell r="AW655">
            <v>1499</v>
          </cell>
          <cell r="AX655">
            <v>1499</v>
          </cell>
          <cell r="AY655">
            <v>0</v>
          </cell>
          <cell r="AZ655">
            <v>1499</v>
          </cell>
          <cell r="BA655">
            <v>1499</v>
          </cell>
          <cell r="BB655">
            <v>1499</v>
          </cell>
          <cell r="BC655">
            <v>0</v>
          </cell>
          <cell r="BD655">
            <v>0</v>
          </cell>
          <cell r="BE655">
            <v>0</v>
          </cell>
          <cell r="BG655">
            <v>1238</v>
          </cell>
          <cell r="BI655">
            <v>1499</v>
          </cell>
          <cell r="BJ655">
            <v>14080</v>
          </cell>
          <cell r="BK655">
            <v>14080</v>
          </cell>
          <cell r="BL655">
            <v>12320</v>
          </cell>
          <cell r="BM655">
            <v>0</v>
          </cell>
          <cell r="BN655">
            <v>261</v>
          </cell>
          <cell r="BO655">
            <v>0</v>
          </cell>
          <cell r="BP655">
            <v>12581</v>
          </cell>
          <cell r="BQ655">
            <v>261</v>
          </cell>
          <cell r="BR655">
            <v>1499</v>
          </cell>
          <cell r="BT655">
            <v>1</v>
          </cell>
          <cell r="BU655">
            <v>1</v>
          </cell>
          <cell r="BV655" t="str">
            <v>N</v>
          </cell>
          <cell r="BW655">
            <v>0</v>
          </cell>
          <cell r="BX655">
            <v>0</v>
          </cell>
          <cell r="BY655">
            <v>2026</v>
          </cell>
          <cell r="BZ655" t="str">
            <v>-</v>
          </cell>
          <cell r="CA655" t="str">
            <v>-</v>
          </cell>
        </row>
        <row r="656">
          <cell r="A656" t="str">
            <v>Lucknow</v>
          </cell>
          <cell r="B656" t="str">
            <v>Mavericks</v>
          </cell>
          <cell r="C656" t="str">
            <v>Mid Level</v>
          </cell>
          <cell r="D656" t="str">
            <v>Rohit Gupta</v>
          </cell>
          <cell r="E656" t="str">
            <v>Vivek Yadav</v>
          </cell>
          <cell r="F656" t="str">
            <v>Non-MSP</v>
          </cell>
          <cell r="H656" t="str">
            <v>Himanshu Gupta</v>
          </cell>
          <cell r="J656" t="str">
            <v>ACH</v>
          </cell>
          <cell r="L656" t="str">
            <v>New</v>
          </cell>
          <cell r="M656">
            <v>46083</v>
          </cell>
          <cell r="N656">
            <v>119</v>
          </cell>
          <cell r="P656">
            <v>46448</v>
          </cell>
          <cell r="Q656" t="str">
            <v>PLC-4726</v>
          </cell>
          <cell r="R656" t="str">
            <v>Siva Krishna Challa</v>
          </cell>
          <cell r="S656" t="str">
            <v>Individual</v>
          </cell>
          <cell r="T656" t="str">
            <v>C2C</v>
          </cell>
          <cell r="U656" t="str">
            <v>CoForge</v>
          </cell>
          <cell r="V656">
            <v>70</v>
          </cell>
          <cell r="W656">
            <v>0</v>
          </cell>
          <cell r="X656" t="str">
            <v>USD</v>
          </cell>
          <cell r="Y656">
            <v>80</v>
          </cell>
          <cell r="Z656">
            <v>0</v>
          </cell>
          <cell r="AA656">
            <v>0</v>
          </cell>
          <cell r="AB656">
            <v>0</v>
          </cell>
          <cell r="AC656">
            <v>46127</v>
          </cell>
          <cell r="AD656">
            <v>22</v>
          </cell>
          <cell r="AE656">
            <v>46387</v>
          </cell>
          <cell r="AF656">
            <v>70</v>
          </cell>
          <cell r="AG656">
            <v>0</v>
          </cell>
          <cell r="AH656">
            <v>70</v>
          </cell>
          <cell r="AI656">
            <v>80</v>
          </cell>
          <cell r="AJ656">
            <v>0</v>
          </cell>
          <cell r="AK656">
            <v>0</v>
          </cell>
          <cell r="AL656">
            <v>10</v>
          </cell>
          <cell r="AM656">
            <v>0</v>
          </cell>
          <cell r="AN656">
            <v>10</v>
          </cell>
          <cell r="AO656">
            <v>0</v>
          </cell>
          <cell r="AP656">
            <v>10</v>
          </cell>
          <cell r="AQ656" t="str">
            <v>US_27654</v>
          </cell>
          <cell r="AR656">
            <v>0</v>
          </cell>
          <cell r="AS656">
            <v>176</v>
          </cell>
          <cell r="AU656">
            <v>176</v>
          </cell>
          <cell r="AV656">
            <v>0</v>
          </cell>
          <cell r="AW656">
            <v>1760</v>
          </cell>
          <cell r="AX656">
            <v>1742.4</v>
          </cell>
          <cell r="AY656">
            <v>0</v>
          </cell>
          <cell r="AZ656">
            <v>1760</v>
          </cell>
          <cell r="BA656">
            <v>1742.4</v>
          </cell>
          <cell r="BB656">
            <v>1760</v>
          </cell>
          <cell r="BC656">
            <v>0</v>
          </cell>
          <cell r="BD656">
            <v>0</v>
          </cell>
          <cell r="BE656">
            <v>0</v>
          </cell>
          <cell r="BG656">
            <v>1742.4</v>
          </cell>
          <cell r="BI656">
            <v>1742.4</v>
          </cell>
          <cell r="BJ656">
            <v>14080</v>
          </cell>
          <cell r="BK656">
            <v>14080</v>
          </cell>
          <cell r="BL656">
            <v>12320</v>
          </cell>
          <cell r="BM656">
            <v>0</v>
          </cell>
          <cell r="BN656">
            <v>0</v>
          </cell>
          <cell r="BO656">
            <v>0</v>
          </cell>
          <cell r="BP656">
            <v>12320</v>
          </cell>
          <cell r="BQ656">
            <v>0</v>
          </cell>
          <cell r="BR656">
            <v>1760</v>
          </cell>
          <cell r="BT656">
            <v>2</v>
          </cell>
          <cell r="BU656">
            <v>1</v>
          </cell>
          <cell r="BV656" t="str">
            <v>N</v>
          </cell>
          <cell r="BW656">
            <v>0</v>
          </cell>
          <cell r="BX656">
            <v>0</v>
          </cell>
          <cell r="BY656">
            <v>2026</v>
          </cell>
          <cell r="BZ656" t="str">
            <v>-</v>
          </cell>
          <cell r="CA656" t="str">
            <v>-</v>
          </cell>
        </row>
        <row r="657">
          <cell r="A657" t="str">
            <v>Lucknow</v>
          </cell>
          <cell r="B657" t="str">
            <v>Mavericks</v>
          </cell>
          <cell r="C657" t="str">
            <v>Mid Level</v>
          </cell>
          <cell r="D657" t="str">
            <v>Rohit Gupta</v>
          </cell>
          <cell r="E657" t="str">
            <v>Vivek Yadav</v>
          </cell>
          <cell r="F657" t="str">
            <v>Non-MSP</v>
          </cell>
          <cell r="H657" t="str">
            <v>Himanshu Gupta</v>
          </cell>
          <cell r="J657" t="str">
            <v>ACH</v>
          </cell>
          <cell r="L657" t="str">
            <v>New</v>
          </cell>
          <cell r="M657">
            <v>46083</v>
          </cell>
          <cell r="N657">
            <v>119</v>
          </cell>
          <cell r="P657">
            <v>46448</v>
          </cell>
          <cell r="Q657" t="str">
            <v>PLC-4726</v>
          </cell>
          <cell r="R657" t="str">
            <v>Siva Krishna Challa</v>
          </cell>
          <cell r="S657" t="str">
            <v>Individual</v>
          </cell>
          <cell r="T657" t="str">
            <v>C2C</v>
          </cell>
          <cell r="U657" t="str">
            <v>CoForge</v>
          </cell>
          <cell r="V657">
            <v>70</v>
          </cell>
          <cell r="W657">
            <v>0</v>
          </cell>
          <cell r="X657" t="str">
            <v>USD</v>
          </cell>
          <cell r="Y657">
            <v>80</v>
          </cell>
          <cell r="Z657">
            <v>0</v>
          </cell>
          <cell r="AA657">
            <v>0</v>
          </cell>
          <cell r="AB657">
            <v>0</v>
          </cell>
          <cell r="AC657">
            <v>46157</v>
          </cell>
          <cell r="AD657">
            <v>22</v>
          </cell>
          <cell r="AE657">
            <v>46387</v>
          </cell>
          <cell r="AF657">
            <v>70</v>
          </cell>
          <cell r="AG657">
            <v>0</v>
          </cell>
          <cell r="AH657">
            <v>70</v>
          </cell>
          <cell r="AI657">
            <v>80</v>
          </cell>
          <cell r="AJ657">
            <v>0</v>
          </cell>
          <cell r="AK657">
            <v>0</v>
          </cell>
          <cell r="AL657">
            <v>10</v>
          </cell>
          <cell r="AM657">
            <v>0</v>
          </cell>
          <cell r="AN657">
            <v>10</v>
          </cell>
          <cell r="AO657">
            <v>0</v>
          </cell>
          <cell r="AP657">
            <v>10</v>
          </cell>
          <cell r="AU657">
            <v>176</v>
          </cell>
          <cell r="BB657">
            <v>1760</v>
          </cell>
          <cell r="BC657">
            <v>0</v>
          </cell>
          <cell r="BD657">
            <v>0</v>
          </cell>
          <cell r="BE657">
            <v>0</v>
          </cell>
          <cell r="BK657">
            <v>14080</v>
          </cell>
          <cell r="BL657">
            <v>12320</v>
          </cell>
          <cell r="BM657">
            <v>0</v>
          </cell>
          <cell r="BN657">
            <v>0</v>
          </cell>
          <cell r="BO657">
            <v>0</v>
          </cell>
          <cell r="BP657">
            <v>12320</v>
          </cell>
          <cell r="BQ657">
            <v>0</v>
          </cell>
          <cell r="BR657">
            <v>1760</v>
          </cell>
          <cell r="BT657">
            <v>2</v>
          </cell>
          <cell r="BU657">
            <v>1</v>
          </cell>
          <cell r="BV657" t="str">
            <v>N</v>
          </cell>
          <cell r="BW657">
            <v>0</v>
          </cell>
          <cell r="BX657">
            <v>0</v>
          </cell>
          <cell r="BY657">
            <v>2026</v>
          </cell>
          <cell r="BZ657" t="str">
            <v>-</v>
          </cell>
          <cell r="CA657" t="str">
            <v>-</v>
          </cell>
        </row>
        <row r="658">
          <cell r="A658" t="str">
            <v>Lucknow</v>
          </cell>
          <cell r="B658" t="str">
            <v>Mavericks</v>
          </cell>
          <cell r="C658" t="str">
            <v>Mid Level</v>
          </cell>
          <cell r="D658" t="str">
            <v>Mohammad Fakhrul</v>
          </cell>
          <cell r="E658" t="str">
            <v>-</v>
          </cell>
          <cell r="F658" t="str">
            <v>MSP</v>
          </cell>
          <cell r="H658" t="str">
            <v>Pass Through/MSP</v>
          </cell>
          <cell r="L658" t="str">
            <v>New</v>
          </cell>
          <cell r="M658">
            <v>46091</v>
          </cell>
          <cell r="N658">
            <v>111</v>
          </cell>
          <cell r="P658">
            <v>46456</v>
          </cell>
          <cell r="Q658" t="str">
            <v>PLC-Passthrough</v>
          </cell>
          <cell r="R658" t="str">
            <v>Siva Prasad Sirivell</v>
          </cell>
          <cell r="S658" t="str">
            <v>Individual</v>
          </cell>
          <cell r="T658" t="str">
            <v>C2C</v>
          </cell>
          <cell r="U658" t="str">
            <v>Cigniti</v>
          </cell>
          <cell r="V658">
            <v>70</v>
          </cell>
          <cell r="W658">
            <v>0</v>
          </cell>
          <cell r="X658" t="str">
            <v>USD</v>
          </cell>
          <cell r="Y658">
            <v>71</v>
          </cell>
          <cell r="Z658">
            <v>0</v>
          </cell>
          <cell r="AA658">
            <v>0</v>
          </cell>
          <cell r="AB658">
            <v>0</v>
          </cell>
          <cell r="AC658">
            <v>46096</v>
          </cell>
          <cell r="AD658">
            <v>16</v>
          </cell>
          <cell r="AE658">
            <v>46387</v>
          </cell>
          <cell r="AF658">
            <v>70</v>
          </cell>
          <cell r="AG658">
            <v>0</v>
          </cell>
          <cell r="AH658">
            <v>70</v>
          </cell>
          <cell r="AI658">
            <v>71</v>
          </cell>
          <cell r="AJ658">
            <v>0</v>
          </cell>
          <cell r="AK658">
            <v>0</v>
          </cell>
          <cell r="AL658">
            <v>1</v>
          </cell>
          <cell r="AM658">
            <v>0</v>
          </cell>
          <cell r="AN658">
            <v>1</v>
          </cell>
          <cell r="AO658">
            <v>0</v>
          </cell>
          <cell r="AP658">
            <v>1</v>
          </cell>
          <cell r="AQ658" t="str">
            <v>US_CMSP_00559</v>
          </cell>
          <cell r="AR658">
            <v>0</v>
          </cell>
          <cell r="AS658">
            <v>128</v>
          </cell>
          <cell r="AU658">
            <v>128</v>
          </cell>
          <cell r="AV658">
            <v>0</v>
          </cell>
          <cell r="AW658">
            <v>128</v>
          </cell>
          <cell r="AX658">
            <v>128</v>
          </cell>
          <cell r="AY658">
            <v>0</v>
          </cell>
          <cell r="AZ658">
            <v>128</v>
          </cell>
          <cell r="BA658">
            <v>128</v>
          </cell>
          <cell r="BB658">
            <v>128</v>
          </cell>
          <cell r="BC658">
            <v>0</v>
          </cell>
          <cell r="BD658">
            <v>0</v>
          </cell>
          <cell r="BE658">
            <v>0</v>
          </cell>
          <cell r="BG658">
            <v>128</v>
          </cell>
          <cell r="BI658">
            <v>128</v>
          </cell>
          <cell r="BJ658">
            <v>9088</v>
          </cell>
          <cell r="BK658">
            <v>9088</v>
          </cell>
          <cell r="BL658">
            <v>8960</v>
          </cell>
          <cell r="BM658">
            <v>0</v>
          </cell>
          <cell r="BN658">
            <v>0</v>
          </cell>
          <cell r="BO658">
            <v>0</v>
          </cell>
          <cell r="BP658">
            <v>8960</v>
          </cell>
          <cell r="BQ658">
            <v>0</v>
          </cell>
          <cell r="BR658">
            <v>128</v>
          </cell>
          <cell r="BS658" t="str">
            <v>Y</v>
          </cell>
          <cell r="BT658">
            <v>1</v>
          </cell>
          <cell r="BU658">
            <v>1</v>
          </cell>
          <cell r="BV658" t="str">
            <v>N</v>
          </cell>
          <cell r="BW658">
            <v>0</v>
          </cell>
          <cell r="BX658">
            <v>0</v>
          </cell>
          <cell r="BY658">
            <v>2026</v>
          </cell>
          <cell r="BZ658" t="str">
            <v>-</v>
          </cell>
          <cell r="CA658" t="str">
            <v>-</v>
          </cell>
        </row>
        <row r="659">
          <cell r="A659" t="str">
            <v>Lucknow</v>
          </cell>
          <cell r="B659" t="str">
            <v>Mavericks</v>
          </cell>
          <cell r="C659" t="str">
            <v>Mid Level</v>
          </cell>
          <cell r="D659" t="str">
            <v>Mohammad Fakhrul</v>
          </cell>
          <cell r="E659" t="str">
            <v>-</v>
          </cell>
          <cell r="F659" t="str">
            <v>MSP</v>
          </cell>
          <cell r="H659" t="str">
            <v>Pass Through/MSP</v>
          </cell>
          <cell r="J659" t="str">
            <v>ACH</v>
          </cell>
          <cell r="L659" t="str">
            <v>New</v>
          </cell>
          <cell r="M659">
            <v>46091</v>
          </cell>
          <cell r="N659">
            <v>111</v>
          </cell>
          <cell r="P659">
            <v>46456</v>
          </cell>
          <cell r="Q659" t="str">
            <v>PLC-Passthrough</v>
          </cell>
          <cell r="R659" t="str">
            <v>Siva Prasad Sirivell</v>
          </cell>
          <cell r="S659" t="str">
            <v>Individual</v>
          </cell>
          <cell r="T659" t="str">
            <v>C2C</v>
          </cell>
          <cell r="U659" t="str">
            <v>Cigniti</v>
          </cell>
          <cell r="V659">
            <v>70</v>
          </cell>
          <cell r="W659">
            <v>0</v>
          </cell>
          <cell r="X659" t="str">
            <v>USD</v>
          </cell>
          <cell r="Y659">
            <v>71</v>
          </cell>
          <cell r="Z659">
            <v>0</v>
          </cell>
          <cell r="AA659">
            <v>0</v>
          </cell>
          <cell r="AB659">
            <v>0</v>
          </cell>
          <cell r="AC659">
            <v>46127</v>
          </cell>
          <cell r="AD659">
            <v>22</v>
          </cell>
          <cell r="AE659">
            <v>46387</v>
          </cell>
          <cell r="AF659">
            <v>70</v>
          </cell>
          <cell r="AG659">
            <v>0</v>
          </cell>
          <cell r="AH659">
            <v>70</v>
          </cell>
          <cell r="AI659">
            <v>71</v>
          </cell>
          <cell r="AJ659">
            <v>0</v>
          </cell>
          <cell r="AK659">
            <v>0</v>
          </cell>
          <cell r="AL659">
            <v>1</v>
          </cell>
          <cell r="AM659">
            <v>0</v>
          </cell>
          <cell r="AN659">
            <v>1</v>
          </cell>
          <cell r="AO659">
            <v>0</v>
          </cell>
          <cell r="AP659">
            <v>1</v>
          </cell>
          <cell r="AQ659" t="str">
            <v>US_CMSP_00704</v>
          </cell>
          <cell r="AR659">
            <v>0</v>
          </cell>
          <cell r="AS659">
            <v>176</v>
          </cell>
          <cell r="AU659">
            <v>176</v>
          </cell>
          <cell r="AV659">
            <v>0</v>
          </cell>
          <cell r="AW659">
            <v>176</v>
          </cell>
          <cell r="AX659">
            <v>174.24</v>
          </cell>
          <cell r="AY659">
            <v>0</v>
          </cell>
          <cell r="AZ659">
            <v>176</v>
          </cell>
          <cell r="BA659">
            <v>174.24</v>
          </cell>
          <cell r="BB659">
            <v>176</v>
          </cell>
          <cell r="BC659">
            <v>0</v>
          </cell>
          <cell r="BD659">
            <v>0</v>
          </cell>
          <cell r="BE659">
            <v>0</v>
          </cell>
          <cell r="BG659">
            <v>174.24</v>
          </cell>
          <cell r="BI659">
            <v>174.24</v>
          </cell>
          <cell r="BJ659">
            <v>12496</v>
          </cell>
          <cell r="BK659">
            <v>12496</v>
          </cell>
          <cell r="BL659">
            <v>12320</v>
          </cell>
          <cell r="BM659">
            <v>0</v>
          </cell>
          <cell r="BN659">
            <v>0</v>
          </cell>
          <cell r="BO659">
            <v>0</v>
          </cell>
          <cell r="BP659">
            <v>12320</v>
          </cell>
          <cell r="BQ659">
            <v>0</v>
          </cell>
          <cell r="BR659">
            <v>176</v>
          </cell>
          <cell r="BT659">
            <v>2</v>
          </cell>
          <cell r="BU659">
            <v>1</v>
          </cell>
          <cell r="BV659" t="str">
            <v>N</v>
          </cell>
          <cell r="BW659">
            <v>0</v>
          </cell>
          <cell r="BX659">
            <v>0</v>
          </cell>
          <cell r="BY659">
            <v>2026</v>
          </cell>
          <cell r="BZ659" t="str">
            <v>-</v>
          </cell>
          <cell r="CA659" t="str">
            <v>-</v>
          </cell>
        </row>
        <row r="660">
          <cell r="A660" t="str">
            <v>Lucknow</v>
          </cell>
          <cell r="B660" t="str">
            <v>Mavericks</v>
          </cell>
          <cell r="C660" t="str">
            <v>Mid Level</v>
          </cell>
          <cell r="D660" t="str">
            <v>Mohammad Fakhrul</v>
          </cell>
          <cell r="E660" t="str">
            <v>-</v>
          </cell>
          <cell r="F660" t="str">
            <v>MSP</v>
          </cell>
          <cell r="H660" t="str">
            <v>Pass Through/MSP</v>
          </cell>
          <cell r="J660" t="str">
            <v>ACH</v>
          </cell>
          <cell r="L660" t="str">
            <v>New</v>
          </cell>
          <cell r="M660">
            <v>46091</v>
          </cell>
          <cell r="N660">
            <v>111</v>
          </cell>
          <cell r="P660">
            <v>46456</v>
          </cell>
          <cell r="Q660" t="str">
            <v>PLC-Passthrough</v>
          </cell>
          <cell r="R660" t="str">
            <v>Siva Prasad Sirivell</v>
          </cell>
          <cell r="S660" t="str">
            <v>Individual</v>
          </cell>
          <cell r="T660" t="str">
            <v>C2C</v>
          </cell>
          <cell r="U660" t="str">
            <v>Cigniti</v>
          </cell>
          <cell r="V660">
            <v>70</v>
          </cell>
          <cell r="W660">
            <v>0</v>
          </cell>
          <cell r="X660" t="str">
            <v>USD</v>
          </cell>
          <cell r="Y660">
            <v>71</v>
          </cell>
          <cell r="Z660">
            <v>0</v>
          </cell>
          <cell r="AA660">
            <v>0</v>
          </cell>
          <cell r="AB660">
            <v>0</v>
          </cell>
          <cell r="AC660">
            <v>46157</v>
          </cell>
          <cell r="AD660">
            <v>22</v>
          </cell>
          <cell r="AE660">
            <v>46387</v>
          </cell>
          <cell r="AF660">
            <v>70</v>
          </cell>
          <cell r="AG660">
            <v>0</v>
          </cell>
          <cell r="AH660">
            <v>70</v>
          </cell>
          <cell r="AI660">
            <v>71</v>
          </cell>
          <cell r="AJ660">
            <v>0</v>
          </cell>
          <cell r="AK660">
            <v>0</v>
          </cell>
          <cell r="AL660">
            <v>1</v>
          </cell>
          <cell r="AM660">
            <v>0</v>
          </cell>
          <cell r="AN660">
            <v>1</v>
          </cell>
          <cell r="AO660">
            <v>0</v>
          </cell>
          <cell r="AP660">
            <v>1</v>
          </cell>
          <cell r="AU660">
            <v>176</v>
          </cell>
          <cell r="BB660">
            <v>176</v>
          </cell>
          <cell r="BC660">
            <v>0</v>
          </cell>
          <cell r="BD660">
            <v>0</v>
          </cell>
          <cell r="BE660">
            <v>0</v>
          </cell>
          <cell r="BK660">
            <v>12496</v>
          </cell>
          <cell r="BL660">
            <v>12320</v>
          </cell>
          <cell r="BM660">
            <v>0</v>
          </cell>
          <cell r="BN660">
            <v>0</v>
          </cell>
          <cell r="BO660">
            <v>0</v>
          </cell>
          <cell r="BP660">
            <v>12320</v>
          </cell>
          <cell r="BQ660">
            <v>0</v>
          </cell>
          <cell r="BR660">
            <v>176</v>
          </cell>
          <cell r="BT660">
            <v>2</v>
          </cell>
          <cell r="BU660">
            <v>1</v>
          </cell>
          <cell r="BV660" t="str">
            <v>N</v>
          </cell>
          <cell r="BW660">
            <v>0</v>
          </cell>
          <cell r="BX660">
            <v>0</v>
          </cell>
          <cell r="BY660">
            <v>2026</v>
          </cell>
          <cell r="BZ660" t="str">
            <v>-</v>
          </cell>
          <cell r="CA660" t="str">
            <v>-</v>
          </cell>
        </row>
        <row r="661">
          <cell r="A661" t="str">
            <v>Lucknow</v>
          </cell>
          <cell r="B661" t="str">
            <v>Titans</v>
          </cell>
          <cell r="C661" t="str">
            <v>Mid Level</v>
          </cell>
          <cell r="D661" t="str">
            <v>Nitin Saxena</v>
          </cell>
          <cell r="F661" t="str">
            <v>Non-MSP</v>
          </cell>
          <cell r="H661" t="str">
            <v>Hamza Ali</v>
          </cell>
          <cell r="J661" t="str">
            <v>ACH</v>
          </cell>
          <cell r="L661" t="str">
            <v>New</v>
          </cell>
          <cell r="M661">
            <v>46134</v>
          </cell>
          <cell r="N661">
            <v>68</v>
          </cell>
          <cell r="P661">
            <v>46499</v>
          </cell>
          <cell r="Q661" t="str">
            <v>PLC-4841</v>
          </cell>
          <cell r="R661" t="str">
            <v>Snehalatha Sekharamantri</v>
          </cell>
          <cell r="S661" t="str">
            <v>Individual</v>
          </cell>
          <cell r="T661">
            <v>1099</v>
          </cell>
          <cell r="U661" t="str">
            <v>Genpact</v>
          </cell>
          <cell r="V661">
            <v>21</v>
          </cell>
          <cell r="W661">
            <v>0</v>
          </cell>
          <cell r="X661" t="str">
            <v>USD</v>
          </cell>
          <cell r="Y661">
            <v>28</v>
          </cell>
          <cell r="Z661">
            <v>0</v>
          </cell>
          <cell r="AA661">
            <v>0</v>
          </cell>
          <cell r="AB661">
            <v>0</v>
          </cell>
          <cell r="AC661">
            <v>46127</v>
          </cell>
          <cell r="AD661">
            <v>7</v>
          </cell>
          <cell r="AE661">
            <v>46387</v>
          </cell>
          <cell r="AF661">
            <v>22.470000000000002</v>
          </cell>
          <cell r="AG661">
            <v>0</v>
          </cell>
          <cell r="AH661">
            <v>22.470000000000002</v>
          </cell>
          <cell r="AI661">
            <v>28</v>
          </cell>
          <cell r="AJ661">
            <v>0</v>
          </cell>
          <cell r="AK661">
            <v>0</v>
          </cell>
          <cell r="AL661">
            <v>5.5299999999999976</v>
          </cell>
          <cell r="AM661">
            <v>0</v>
          </cell>
          <cell r="AN661">
            <v>5.5299999999999976</v>
          </cell>
          <cell r="AO661">
            <v>0</v>
          </cell>
          <cell r="AP661">
            <v>5.5299999999999976</v>
          </cell>
          <cell r="AQ661" t="str">
            <v>US_27710</v>
          </cell>
          <cell r="AR661">
            <v>0</v>
          </cell>
          <cell r="AS661">
            <v>56</v>
          </cell>
          <cell r="AU661">
            <v>56</v>
          </cell>
          <cell r="AV661">
            <v>0</v>
          </cell>
          <cell r="AW661">
            <v>309.67999999999984</v>
          </cell>
          <cell r="AX661">
            <v>306.58319999999986</v>
          </cell>
          <cell r="AY661">
            <v>0</v>
          </cell>
          <cell r="AZ661">
            <v>309.67999999999984</v>
          </cell>
          <cell r="BA661">
            <v>306.58319999999986</v>
          </cell>
          <cell r="BB661">
            <v>309.67999999999984</v>
          </cell>
          <cell r="BC661">
            <v>50</v>
          </cell>
          <cell r="BD661">
            <v>404.68982399999982</v>
          </cell>
          <cell r="BE661">
            <v>404.68982399999982</v>
          </cell>
          <cell r="BG661">
            <v>306.58319999999986</v>
          </cell>
          <cell r="BI661">
            <v>0</v>
          </cell>
          <cell r="BJ661">
            <v>1568</v>
          </cell>
          <cell r="BK661">
            <v>1568</v>
          </cell>
          <cell r="BL661">
            <v>1176</v>
          </cell>
          <cell r="BM661">
            <v>1.4700000000000002</v>
          </cell>
          <cell r="BN661">
            <v>0</v>
          </cell>
          <cell r="BO661">
            <v>82.320000000000007</v>
          </cell>
          <cell r="BP661">
            <v>1258.32</v>
          </cell>
          <cell r="BQ661">
            <v>1.4700000000000002</v>
          </cell>
          <cell r="BR661">
            <v>309.68</v>
          </cell>
          <cell r="BT661">
            <v>2</v>
          </cell>
          <cell r="BU661">
            <v>2</v>
          </cell>
          <cell r="BV661" t="str">
            <v>Y</v>
          </cell>
          <cell r="BW661">
            <v>809.37964799999963</v>
          </cell>
          <cell r="BX661">
            <v>809.37964799999963</v>
          </cell>
          <cell r="BY661">
            <v>2026</v>
          </cell>
          <cell r="BZ661" t="str">
            <v>-</v>
          </cell>
          <cell r="CA661" t="str">
            <v>-</v>
          </cell>
        </row>
        <row r="662">
          <cell r="A662" t="str">
            <v>Lucknow</v>
          </cell>
          <cell r="B662" t="str">
            <v>Titans</v>
          </cell>
          <cell r="C662" t="str">
            <v>Mid Level</v>
          </cell>
          <cell r="D662" t="str">
            <v>Nitin Saxena</v>
          </cell>
          <cell r="F662" t="str">
            <v>Non-MSP</v>
          </cell>
          <cell r="H662" t="str">
            <v>Hamza Ali</v>
          </cell>
          <cell r="J662" t="str">
            <v>ACH</v>
          </cell>
          <cell r="L662" t="str">
            <v>New</v>
          </cell>
          <cell r="M662">
            <v>46134</v>
          </cell>
          <cell r="N662">
            <v>68</v>
          </cell>
          <cell r="P662">
            <v>46499</v>
          </cell>
          <cell r="Q662" t="str">
            <v>PLC-4841</v>
          </cell>
          <cell r="R662" t="str">
            <v>Snehalatha Sekharamantri</v>
          </cell>
          <cell r="S662" t="str">
            <v>Individual</v>
          </cell>
          <cell r="T662">
            <v>1099</v>
          </cell>
          <cell r="U662" t="str">
            <v>Genpact</v>
          </cell>
          <cell r="V662">
            <v>21</v>
          </cell>
          <cell r="W662">
            <v>0</v>
          </cell>
          <cell r="X662" t="str">
            <v>USD</v>
          </cell>
          <cell r="Y662">
            <v>28</v>
          </cell>
          <cell r="Z662">
            <v>0</v>
          </cell>
          <cell r="AA662">
            <v>0</v>
          </cell>
          <cell r="AB662">
            <v>0</v>
          </cell>
          <cell r="AC662">
            <v>46157</v>
          </cell>
          <cell r="AD662">
            <v>7</v>
          </cell>
          <cell r="AE662">
            <v>46387</v>
          </cell>
          <cell r="AF662">
            <v>22.470000000000002</v>
          </cell>
          <cell r="AG662">
            <v>0</v>
          </cell>
          <cell r="AH662">
            <v>22.470000000000002</v>
          </cell>
          <cell r="AI662">
            <v>28</v>
          </cell>
          <cell r="AJ662">
            <v>0</v>
          </cell>
          <cell r="AK662">
            <v>0</v>
          </cell>
          <cell r="AL662">
            <v>5.5299999999999976</v>
          </cell>
          <cell r="AM662">
            <v>0</v>
          </cell>
          <cell r="AN662">
            <v>5.5299999999999976</v>
          </cell>
          <cell r="AO662">
            <v>0</v>
          </cell>
          <cell r="AP662">
            <v>5.5299999999999976</v>
          </cell>
          <cell r="AQ662" t="str">
            <v>US_27950</v>
          </cell>
          <cell r="AR662">
            <v>0</v>
          </cell>
          <cell r="AS662">
            <v>158.75</v>
          </cell>
          <cell r="AU662">
            <v>158.75</v>
          </cell>
          <cell r="AV662">
            <v>0</v>
          </cell>
          <cell r="AW662">
            <v>877.88749999999959</v>
          </cell>
          <cell r="AX662">
            <v>869.10862499999962</v>
          </cell>
          <cell r="AY662">
            <v>0</v>
          </cell>
          <cell r="AZ662">
            <v>877.88749999999959</v>
          </cell>
          <cell r="BA662">
            <v>869.10862499999962</v>
          </cell>
          <cell r="BB662">
            <v>877.88749999999959</v>
          </cell>
          <cell r="BC662">
            <v>50</v>
          </cell>
          <cell r="BD662">
            <v>1147.2233849999996</v>
          </cell>
          <cell r="BE662">
            <v>1147.2233849999996</v>
          </cell>
          <cell r="BG662">
            <v>869.10862499999962</v>
          </cell>
          <cell r="BI662">
            <v>0</v>
          </cell>
          <cell r="BJ662">
            <v>4445</v>
          </cell>
          <cell r="BK662">
            <v>4445</v>
          </cell>
          <cell r="BL662">
            <v>3333.75</v>
          </cell>
          <cell r="BM662">
            <v>1.4700000000000002</v>
          </cell>
          <cell r="BN662">
            <v>0</v>
          </cell>
          <cell r="BO662">
            <v>233.36250000000004</v>
          </cell>
          <cell r="BP662">
            <v>3567.1125000000002</v>
          </cell>
          <cell r="BQ662">
            <v>1.4700000000000002</v>
          </cell>
          <cell r="BR662">
            <v>877.88749999999993</v>
          </cell>
          <cell r="BT662">
            <v>2</v>
          </cell>
          <cell r="BU662">
            <v>2</v>
          </cell>
          <cell r="BV662" t="str">
            <v>Y</v>
          </cell>
          <cell r="BW662">
            <v>2294.4467699999991</v>
          </cell>
          <cell r="BX662">
            <v>2294.4467699999991</v>
          </cell>
          <cell r="BY662">
            <v>2026</v>
          </cell>
          <cell r="BZ662" t="str">
            <v>-</v>
          </cell>
          <cell r="CA662" t="str">
            <v>-</v>
          </cell>
        </row>
        <row r="663">
          <cell r="A663" t="str">
            <v>Lucknow</v>
          </cell>
          <cell r="B663" t="str">
            <v>Mavericks</v>
          </cell>
          <cell r="C663" t="str">
            <v>Mid Level</v>
          </cell>
          <cell r="D663" t="str">
            <v>Akbar Ibrahim</v>
          </cell>
          <cell r="E663" t="str">
            <v>-</v>
          </cell>
          <cell r="F663" t="str">
            <v>MSP</v>
          </cell>
          <cell r="H663" t="str">
            <v>Pass Through</v>
          </cell>
          <cell r="L663" t="str">
            <v>New</v>
          </cell>
          <cell r="M663">
            <v>46027</v>
          </cell>
          <cell r="N663">
            <v>175</v>
          </cell>
          <cell r="P663">
            <v>46392</v>
          </cell>
          <cell r="Q663" t="str">
            <v>PLC-Passthrough</v>
          </cell>
          <cell r="R663" t="str">
            <v>Snehith Raj Bada</v>
          </cell>
          <cell r="S663" t="str">
            <v>Individual</v>
          </cell>
          <cell r="T663" t="str">
            <v>C2C</v>
          </cell>
          <cell r="U663" t="str">
            <v>CoForge</v>
          </cell>
          <cell r="V663">
            <v>90</v>
          </cell>
          <cell r="W663">
            <v>0</v>
          </cell>
          <cell r="X663" t="str">
            <v>USD</v>
          </cell>
          <cell r="Y663">
            <v>92</v>
          </cell>
          <cell r="Z663">
            <v>0</v>
          </cell>
          <cell r="AA663">
            <v>0</v>
          </cell>
          <cell r="AB663">
            <v>0</v>
          </cell>
          <cell r="AC663">
            <v>46037</v>
          </cell>
          <cell r="AD663">
            <v>20</v>
          </cell>
          <cell r="AE663">
            <v>46387</v>
          </cell>
          <cell r="AF663">
            <v>90</v>
          </cell>
          <cell r="AG663">
            <v>0</v>
          </cell>
          <cell r="AH663">
            <v>90</v>
          </cell>
          <cell r="AI663">
            <v>92</v>
          </cell>
          <cell r="AJ663">
            <v>0</v>
          </cell>
          <cell r="AK663">
            <v>0</v>
          </cell>
          <cell r="AL663">
            <v>2</v>
          </cell>
          <cell r="AM663">
            <v>0</v>
          </cell>
          <cell r="AN663">
            <v>2</v>
          </cell>
          <cell r="AO663">
            <v>0</v>
          </cell>
          <cell r="AP663">
            <v>2</v>
          </cell>
          <cell r="AQ663" t="str">
            <v>US_CMSP_00316</v>
          </cell>
          <cell r="AR663">
            <v>0</v>
          </cell>
          <cell r="AS663">
            <v>160</v>
          </cell>
          <cell r="AU663">
            <v>160</v>
          </cell>
          <cell r="AV663">
            <v>0</v>
          </cell>
          <cell r="AW663">
            <v>320</v>
          </cell>
          <cell r="AX663">
            <v>320</v>
          </cell>
          <cell r="AY663">
            <v>0</v>
          </cell>
          <cell r="AZ663">
            <v>320</v>
          </cell>
          <cell r="BA663">
            <v>320</v>
          </cell>
          <cell r="BB663">
            <v>320</v>
          </cell>
          <cell r="BC663">
            <v>0</v>
          </cell>
          <cell r="BD663">
            <v>0</v>
          </cell>
          <cell r="BE663">
            <v>0</v>
          </cell>
          <cell r="BG663">
            <v>320</v>
          </cell>
          <cell r="BI663">
            <v>320</v>
          </cell>
          <cell r="BJ663">
            <v>14720</v>
          </cell>
          <cell r="BK663">
            <v>14720</v>
          </cell>
          <cell r="BL663">
            <v>14400</v>
          </cell>
          <cell r="BM663">
            <v>0</v>
          </cell>
          <cell r="BN663">
            <v>0</v>
          </cell>
          <cell r="BO663">
            <v>0</v>
          </cell>
          <cell r="BP663">
            <v>14400</v>
          </cell>
          <cell r="BQ663">
            <v>0</v>
          </cell>
          <cell r="BR663">
            <v>320</v>
          </cell>
          <cell r="BS663" t="str">
            <v>Y</v>
          </cell>
          <cell r="BT663">
            <v>1</v>
          </cell>
          <cell r="BU663">
            <v>1</v>
          </cell>
          <cell r="BV663" t="str">
            <v>Y</v>
          </cell>
          <cell r="BW663">
            <v>0</v>
          </cell>
          <cell r="BX663">
            <v>0</v>
          </cell>
          <cell r="BY663">
            <v>2026</v>
          </cell>
          <cell r="BZ663" t="str">
            <v>-</v>
          </cell>
          <cell r="CA663" t="str">
            <v>-</v>
          </cell>
        </row>
        <row r="664">
          <cell r="A664" t="str">
            <v>Lucknow</v>
          </cell>
          <cell r="B664" t="str">
            <v>Mavericks</v>
          </cell>
          <cell r="C664" t="str">
            <v>Mid Level</v>
          </cell>
          <cell r="D664" t="str">
            <v>Akbar Ibrahim</v>
          </cell>
          <cell r="E664" t="str">
            <v>-</v>
          </cell>
          <cell r="F664" t="str">
            <v>MSP</v>
          </cell>
          <cell r="H664" t="str">
            <v>Pass Through</v>
          </cell>
          <cell r="L664" t="str">
            <v>New</v>
          </cell>
          <cell r="M664">
            <v>46027</v>
          </cell>
          <cell r="N664">
            <v>175</v>
          </cell>
          <cell r="P664">
            <v>46392</v>
          </cell>
          <cell r="Q664" t="str">
            <v>PLC-Passthrough</v>
          </cell>
          <cell r="R664" t="str">
            <v>Snehith Raj Bada</v>
          </cell>
          <cell r="S664" t="str">
            <v>Individual</v>
          </cell>
          <cell r="T664" t="str">
            <v>C2C</v>
          </cell>
          <cell r="U664" t="str">
            <v>CoForge</v>
          </cell>
          <cell r="V664">
            <v>90</v>
          </cell>
          <cell r="W664">
            <v>0</v>
          </cell>
          <cell r="X664" t="str">
            <v>USD</v>
          </cell>
          <cell r="Y664">
            <v>92</v>
          </cell>
          <cell r="Z664">
            <v>0</v>
          </cell>
          <cell r="AA664">
            <v>0</v>
          </cell>
          <cell r="AB664">
            <v>0</v>
          </cell>
          <cell r="AC664">
            <v>46068</v>
          </cell>
          <cell r="AD664">
            <v>20</v>
          </cell>
          <cell r="AE664">
            <v>46387</v>
          </cell>
          <cell r="AF664">
            <v>90</v>
          </cell>
          <cell r="AG664">
            <v>0</v>
          </cell>
          <cell r="AH664">
            <v>90</v>
          </cell>
          <cell r="AI664">
            <v>92</v>
          </cell>
          <cell r="AJ664">
            <v>0</v>
          </cell>
          <cell r="AK664">
            <v>0</v>
          </cell>
          <cell r="AL664">
            <v>2</v>
          </cell>
          <cell r="AM664">
            <v>0</v>
          </cell>
          <cell r="AN664">
            <v>2</v>
          </cell>
          <cell r="AO664">
            <v>0</v>
          </cell>
          <cell r="AP664">
            <v>2</v>
          </cell>
          <cell r="AQ664" t="str">
            <v>US_CMSP_00429</v>
          </cell>
          <cell r="AR664">
            <v>0</v>
          </cell>
          <cell r="AS664">
            <v>160</v>
          </cell>
          <cell r="AU664">
            <v>160</v>
          </cell>
          <cell r="AV664">
            <v>0</v>
          </cell>
          <cell r="AW664">
            <v>320</v>
          </cell>
          <cell r="AX664">
            <v>320</v>
          </cell>
          <cell r="AY664">
            <v>0</v>
          </cell>
          <cell r="AZ664">
            <v>320</v>
          </cell>
          <cell r="BA664">
            <v>320</v>
          </cell>
          <cell r="BB664">
            <v>320</v>
          </cell>
          <cell r="BC664">
            <v>0</v>
          </cell>
          <cell r="BD664">
            <v>0</v>
          </cell>
          <cell r="BE664">
            <v>0</v>
          </cell>
          <cell r="BG664">
            <v>320</v>
          </cell>
          <cell r="BI664">
            <v>320</v>
          </cell>
          <cell r="BJ664">
            <v>14720</v>
          </cell>
          <cell r="BK664">
            <v>14720</v>
          </cell>
          <cell r="BL664">
            <v>14400</v>
          </cell>
          <cell r="BM664">
            <v>0</v>
          </cell>
          <cell r="BN664">
            <v>0</v>
          </cell>
          <cell r="BO664">
            <v>0</v>
          </cell>
          <cell r="BP664">
            <v>14400</v>
          </cell>
          <cell r="BQ664">
            <v>0</v>
          </cell>
          <cell r="BR664">
            <v>320</v>
          </cell>
          <cell r="BS664" t="str">
            <v>Y</v>
          </cell>
          <cell r="BT664">
            <v>1</v>
          </cell>
          <cell r="BU664">
            <v>1</v>
          </cell>
          <cell r="BV664" t="str">
            <v>Y</v>
          </cell>
          <cell r="BW664">
            <v>0</v>
          </cell>
          <cell r="BX664">
            <v>0</v>
          </cell>
          <cell r="BY664">
            <v>2026</v>
          </cell>
          <cell r="BZ664" t="str">
            <v>-</v>
          </cell>
          <cell r="CA664" t="str">
            <v>-</v>
          </cell>
        </row>
        <row r="665">
          <cell r="A665" t="str">
            <v>Lucknow</v>
          </cell>
          <cell r="B665" t="str">
            <v>Mavericks</v>
          </cell>
          <cell r="C665" t="str">
            <v>Mid Level</v>
          </cell>
          <cell r="D665" t="str">
            <v>Akbar Ibrahim</v>
          </cell>
          <cell r="E665" t="str">
            <v>-</v>
          </cell>
          <cell r="F665" t="str">
            <v>MSP</v>
          </cell>
          <cell r="H665" t="str">
            <v>Pass Through</v>
          </cell>
          <cell r="J665" t="str">
            <v>ACH</v>
          </cell>
          <cell r="L665" t="str">
            <v>New</v>
          </cell>
          <cell r="M665">
            <v>46027</v>
          </cell>
          <cell r="N665">
            <v>175</v>
          </cell>
          <cell r="P665">
            <v>46392</v>
          </cell>
          <cell r="Q665" t="str">
            <v>PLC-Passthrough</v>
          </cell>
          <cell r="R665" t="str">
            <v>Snehith Raj Bada</v>
          </cell>
          <cell r="S665" t="str">
            <v>Individual</v>
          </cell>
          <cell r="T665" t="str">
            <v>C2C</v>
          </cell>
          <cell r="U665" t="str">
            <v>CoForge</v>
          </cell>
          <cell r="V665">
            <v>90</v>
          </cell>
          <cell r="W665">
            <v>0</v>
          </cell>
          <cell r="X665" t="str">
            <v>USD</v>
          </cell>
          <cell r="Y665">
            <v>92</v>
          </cell>
          <cell r="Z665">
            <v>0</v>
          </cell>
          <cell r="AA665">
            <v>0</v>
          </cell>
          <cell r="AB665">
            <v>0</v>
          </cell>
          <cell r="AC665">
            <v>46127</v>
          </cell>
          <cell r="AD665">
            <v>22</v>
          </cell>
          <cell r="AE665">
            <v>46387</v>
          </cell>
          <cell r="AF665">
            <v>90</v>
          </cell>
          <cell r="AG665">
            <v>0</v>
          </cell>
          <cell r="AH665">
            <v>90</v>
          </cell>
          <cell r="AI665">
            <v>92</v>
          </cell>
          <cell r="AJ665">
            <v>0</v>
          </cell>
          <cell r="AK665">
            <v>0</v>
          </cell>
          <cell r="AL665">
            <v>2</v>
          </cell>
          <cell r="AM665">
            <v>0</v>
          </cell>
          <cell r="AN665">
            <v>2</v>
          </cell>
          <cell r="AO665">
            <v>0</v>
          </cell>
          <cell r="AP665">
            <v>2</v>
          </cell>
          <cell r="AQ665" t="str">
            <v>US_CMSP_00684</v>
          </cell>
          <cell r="AR665">
            <v>0</v>
          </cell>
          <cell r="AS665">
            <v>176</v>
          </cell>
          <cell r="AU665">
            <v>176</v>
          </cell>
          <cell r="AV665">
            <v>0</v>
          </cell>
          <cell r="AW665">
            <v>352</v>
          </cell>
          <cell r="AX665">
            <v>348.48</v>
          </cell>
          <cell r="AY665">
            <v>0</v>
          </cell>
          <cell r="AZ665">
            <v>352</v>
          </cell>
          <cell r="BA665">
            <v>348.48</v>
          </cell>
          <cell r="BB665">
            <v>352</v>
          </cell>
          <cell r="BC665">
            <v>0</v>
          </cell>
          <cell r="BD665">
            <v>0</v>
          </cell>
          <cell r="BE665">
            <v>0</v>
          </cell>
          <cell r="BG665">
            <v>348.48</v>
          </cell>
          <cell r="BI665">
            <v>348.48</v>
          </cell>
          <cell r="BJ665">
            <v>16192</v>
          </cell>
          <cell r="BK665">
            <v>16192</v>
          </cell>
          <cell r="BL665">
            <v>15840</v>
          </cell>
          <cell r="BM665">
            <v>0</v>
          </cell>
          <cell r="BN665">
            <v>0</v>
          </cell>
          <cell r="BO665">
            <v>0</v>
          </cell>
          <cell r="BP665">
            <v>15840</v>
          </cell>
          <cell r="BQ665">
            <v>0</v>
          </cell>
          <cell r="BR665">
            <v>352</v>
          </cell>
          <cell r="BT665">
            <v>2</v>
          </cell>
          <cell r="BU665">
            <v>1</v>
          </cell>
          <cell r="BV665" t="str">
            <v>Y</v>
          </cell>
          <cell r="BW665">
            <v>0</v>
          </cell>
          <cell r="BX665">
            <v>0</v>
          </cell>
          <cell r="BY665">
            <v>2026</v>
          </cell>
          <cell r="BZ665" t="str">
            <v>-</v>
          </cell>
          <cell r="CA665" t="str">
            <v>-</v>
          </cell>
        </row>
        <row r="666">
          <cell r="A666" t="str">
            <v>Lucknow</v>
          </cell>
          <cell r="B666" t="str">
            <v>Mavericks</v>
          </cell>
          <cell r="C666" t="str">
            <v>Mid Level</v>
          </cell>
          <cell r="D666" t="str">
            <v>Akbar Ibrahim</v>
          </cell>
          <cell r="E666" t="str">
            <v>-</v>
          </cell>
          <cell r="F666" t="str">
            <v>MSP</v>
          </cell>
          <cell r="H666" t="str">
            <v>Pass Through</v>
          </cell>
          <cell r="L666" t="str">
            <v>New</v>
          </cell>
          <cell r="M666">
            <v>46027</v>
          </cell>
          <cell r="N666">
            <v>175</v>
          </cell>
          <cell r="P666">
            <v>46392</v>
          </cell>
          <cell r="Q666" t="str">
            <v>PLC-Passthrough</v>
          </cell>
          <cell r="R666" t="str">
            <v>Snehith Raj Bada</v>
          </cell>
          <cell r="S666" t="str">
            <v>Individual</v>
          </cell>
          <cell r="T666" t="str">
            <v>C2C</v>
          </cell>
          <cell r="U666" t="str">
            <v>CoForge</v>
          </cell>
          <cell r="V666">
            <v>90</v>
          </cell>
          <cell r="W666">
            <v>0</v>
          </cell>
          <cell r="X666" t="str">
            <v>USD</v>
          </cell>
          <cell r="Y666">
            <v>92</v>
          </cell>
          <cell r="Z666">
            <v>0</v>
          </cell>
          <cell r="AA666">
            <v>0</v>
          </cell>
          <cell r="AB666">
            <v>0</v>
          </cell>
          <cell r="AC666">
            <v>46096</v>
          </cell>
          <cell r="AD666">
            <v>22</v>
          </cell>
          <cell r="AE666">
            <v>46387</v>
          </cell>
          <cell r="AF666">
            <v>90</v>
          </cell>
          <cell r="AG666">
            <v>0</v>
          </cell>
          <cell r="AH666">
            <v>90</v>
          </cell>
          <cell r="AI666">
            <v>92</v>
          </cell>
          <cell r="AJ666">
            <v>0</v>
          </cell>
          <cell r="AK666">
            <v>0</v>
          </cell>
          <cell r="AL666">
            <v>2</v>
          </cell>
          <cell r="AM666">
            <v>0</v>
          </cell>
          <cell r="AN666">
            <v>2</v>
          </cell>
          <cell r="AO666">
            <v>0</v>
          </cell>
          <cell r="AP666">
            <v>2</v>
          </cell>
          <cell r="AU666">
            <v>176</v>
          </cell>
          <cell r="BB666">
            <v>352</v>
          </cell>
          <cell r="BC666">
            <v>0</v>
          </cell>
          <cell r="BD666">
            <v>0</v>
          </cell>
          <cell r="BE666">
            <v>0</v>
          </cell>
          <cell r="BK666">
            <v>16192</v>
          </cell>
          <cell r="BL666">
            <v>15840</v>
          </cell>
          <cell r="BM666">
            <v>0</v>
          </cell>
          <cell r="BN666">
            <v>0</v>
          </cell>
          <cell r="BO666">
            <v>0</v>
          </cell>
          <cell r="BP666">
            <v>15840</v>
          </cell>
          <cell r="BQ666">
            <v>0</v>
          </cell>
          <cell r="BR666">
            <v>352</v>
          </cell>
          <cell r="BT666">
            <v>1</v>
          </cell>
          <cell r="BU666">
            <v>1</v>
          </cell>
          <cell r="BV666" t="str">
            <v>Y</v>
          </cell>
          <cell r="BW666">
            <v>0</v>
          </cell>
          <cell r="BX666">
            <v>0</v>
          </cell>
          <cell r="BY666">
            <v>2026</v>
          </cell>
          <cell r="BZ666" t="str">
            <v>-</v>
          </cell>
          <cell r="CA666" t="str">
            <v>-</v>
          </cell>
        </row>
        <row r="667">
          <cell r="A667" t="str">
            <v>Lucknow</v>
          </cell>
          <cell r="B667" t="str">
            <v>Mavericks</v>
          </cell>
          <cell r="C667" t="str">
            <v>Mid Level</v>
          </cell>
          <cell r="D667" t="str">
            <v>Akbar Ibrahim</v>
          </cell>
          <cell r="E667" t="str">
            <v>-</v>
          </cell>
          <cell r="F667" t="str">
            <v>MSP</v>
          </cell>
          <cell r="H667" t="str">
            <v>Pass Through</v>
          </cell>
          <cell r="J667" t="str">
            <v>ACH</v>
          </cell>
          <cell r="L667" t="str">
            <v>New</v>
          </cell>
          <cell r="M667">
            <v>46027</v>
          </cell>
          <cell r="N667">
            <v>175</v>
          </cell>
          <cell r="P667">
            <v>46392</v>
          </cell>
          <cell r="Q667" t="str">
            <v>PLC-Passthrough</v>
          </cell>
          <cell r="R667" t="str">
            <v>Snehith Raj Bada</v>
          </cell>
          <cell r="S667" t="str">
            <v>Individual</v>
          </cell>
          <cell r="T667" t="str">
            <v>C2C</v>
          </cell>
          <cell r="U667" t="str">
            <v>CoForge</v>
          </cell>
          <cell r="V667">
            <v>90</v>
          </cell>
          <cell r="W667">
            <v>0</v>
          </cell>
          <cell r="X667" t="str">
            <v>USD</v>
          </cell>
          <cell r="Y667">
            <v>92</v>
          </cell>
          <cell r="Z667">
            <v>0</v>
          </cell>
          <cell r="AA667">
            <v>0</v>
          </cell>
          <cell r="AB667">
            <v>0</v>
          </cell>
          <cell r="AC667">
            <v>46157</v>
          </cell>
          <cell r="AD667">
            <v>22</v>
          </cell>
          <cell r="AE667">
            <v>46387</v>
          </cell>
          <cell r="AF667">
            <v>90</v>
          </cell>
          <cell r="AG667">
            <v>0</v>
          </cell>
          <cell r="AH667">
            <v>90</v>
          </cell>
          <cell r="AI667">
            <v>92</v>
          </cell>
          <cell r="AJ667">
            <v>0</v>
          </cell>
          <cell r="AK667">
            <v>0</v>
          </cell>
          <cell r="AL667">
            <v>2</v>
          </cell>
          <cell r="AM667">
            <v>0</v>
          </cell>
          <cell r="AN667">
            <v>2</v>
          </cell>
          <cell r="AO667">
            <v>0</v>
          </cell>
          <cell r="AP667">
            <v>2</v>
          </cell>
          <cell r="AQ667" t="str">
            <v>US_CMSP_00849</v>
          </cell>
          <cell r="AR667">
            <v>0</v>
          </cell>
          <cell r="AS667">
            <v>170</v>
          </cell>
          <cell r="AU667">
            <v>170</v>
          </cell>
          <cell r="AV667">
            <v>0</v>
          </cell>
          <cell r="AW667">
            <v>340</v>
          </cell>
          <cell r="AX667">
            <v>336.6</v>
          </cell>
          <cell r="AY667">
            <v>0</v>
          </cell>
          <cell r="AZ667">
            <v>340</v>
          </cell>
          <cell r="BA667">
            <v>336.6</v>
          </cell>
          <cell r="BB667">
            <v>340</v>
          </cell>
          <cell r="BC667">
            <v>0</v>
          </cell>
          <cell r="BD667">
            <v>0</v>
          </cell>
          <cell r="BE667">
            <v>0</v>
          </cell>
          <cell r="BG667">
            <v>336.6</v>
          </cell>
          <cell r="BI667">
            <v>336.6</v>
          </cell>
          <cell r="BJ667">
            <v>15640</v>
          </cell>
          <cell r="BK667">
            <v>15640</v>
          </cell>
          <cell r="BL667">
            <v>15300</v>
          </cell>
          <cell r="BM667">
            <v>0</v>
          </cell>
          <cell r="BN667">
            <v>0</v>
          </cell>
          <cell r="BO667">
            <v>0</v>
          </cell>
          <cell r="BP667">
            <v>15300</v>
          </cell>
          <cell r="BQ667">
            <v>0</v>
          </cell>
          <cell r="BR667">
            <v>340</v>
          </cell>
          <cell r="BT667">
            <v>2</v>
          </cell>
          <cell r="BU667">
            <v>1</v>
          </cell>
          <cell r="BV667" t="str">
            <v>Y</v>
          </cell>
          <cell r="BW667">
            <v>0</v>
          </cell>
          <cell r="BX667">
            <v>0</v>
          </cell>
          <cell r="BY667">
            <v>2026</v>
          </cell>
          <cell r="BZ667" t="str">
            <v>-</v>
          </cell>
          <cell r="CA667" t="str">
            <v>-</v>
          </cell>
        </row>
        <row r="668">
          <cell r="A668" t="str">
            <v>Lucknow</v>
          </cell>
          <cell r="B668" t="str">
            <v>Mavericks</v>
          </cell>
          <cell r="C668" t="str">
            <v>Mid Level</v>
          </cell>
          <cell r="D668" t="str">
            <v>Mohammad Fakhrul</v>
          </cell>
          <cell r="E668" t="str">
            <v>-</v>
          </cell>
          <cell r="F668" t="str">
            <v>MSP</v>
          </cell>
          <cell r="H668" t="str">
            <v>Pass Through/MSP</v>
          </cell>
          <cell r="L668" t="str">
            <v>New</v>
          </cell>
          <cell r="M668">
            <v>46093</v>
          </cell>
          <cell r="N668">
            <v>109</v>
          </cell>
          <cell r="P668">
            <v>46458</v>
          </cell>
          <cell r="Q668" t="str">
            <v>PLC-Passthrough</v>
          </cell>
          <cell r="R668" t="str">
            <v>Somasekar Makireddy</v>
          </cell>
          <cell r="S668" t="str">
            <v>Individual</v>
          </cell>
          <cell r="T668" t="str">
            <v>C2C</v>
          </cell>
          <cell r="U668" t="str">
            <v>CoForge</v>
          </cell>
          <cell r="V668">
            <v>83</v>
          </cell>
          <cell r="W668">
            <v>0</v>
          </cell>
          <cell r="X668" t="str">
            <v>USD</v>
          </cell>
          <cell r="Y668">
            <v>84</v>
          </cell>
          <cell r="Z668">
            <v>0</v>
          </cell>
          <cell r="AA668">
            <v>0</v>
          </cell>
          <cell r="AB668">
            <v>0</v>
          </cell>
          <cell r="AC668">
            <v>46096</v>
          </cell>
          <cell r="AD668">
            <v>14</v>
          </cell>
          <cell r="AE668">
            <v>46387</v>
          </cell>
          <cell r="AF668">
            <v>83</v>
          </cell>
          <cell r="AG668">
            <v>0</v>
          </cell>
          <cell r="AH668">
            <v>83</v>
          </cell>
          <cell r="AI668">
            <v>84</v>
          </cell>
          <cell r="AJ668">
            <v>0</v>
          </cell>
          <cell r="AK668">
            <v>0</v>
          </cell>
          <cell r="AL668">
            <v>1</v>
          </cell>
          <cell r="AM668">
            <v>0</v>
          </cell>
          <cell r="AN668">
            <v>1</v>
          </cell>
          <cell r="AO668">
            <v>0</v>
          </cell>
          <cell r="AP668">
            <v>1</v>
          </cell>
          <cell r="AU668">
            <v>112</v>
          </cell>
          <cell r="BB668">
            <v>112</v>
          </cell>
          <cell r="BC668">
            <v>0</v>
          </cell>
          <cell r="BD668">
            <v>0</v>
          </cell>
          <cell r="BE668">
            <v>0</v>
          </cell>
          <cell r="BK668">
            <v>9408</v>
          </cell>
          <cell r="BL668">
            <v>9296</v>
          </cell>
          <cell r="BM668">
            <v>0</v>
          </cell>
          <cell r="BN668">
            <v>0</v>
          </cell>
          <cell r="BO668">
            <v>0</v>
          </cell>
          <cell r="BP668">
            <v>9296</v>
          </cell>
          <cell r="BQ668">
            <v>0</v>
          </cell>
          <cell r="BR668">
            <v>112</v>
          </cell>
          <cell r="BT668">
            <v>1</v>
          </cell>
          <cell r="BU668">
            <v>1</v>
          </cell>
          <cell r="BV668" t="str">
            <v>N</v>
          </cell>
          <cell r="BW668">
            <v>0</v>
          </cell>
          <cell r="BX668">
            <v>0</v>
          </cell>
          <cell r="BY668">
            <v>2026</v>
          </cell>
          <cell r="BZ668" t="str">
            <v>-</v>
          </cell>
          <cell r="CA668" t="str">
            <v>-</v>
          </cell>
        </row>
        <row r="669">
          <cell r="A669" t="str">
            <v>Lucknow</v>
          </cell>
          <cell r="B669" t="str">
            <v>Mavericks</v>
          </cell>
          <cell r="C669" t="str">
            <v>Mid Level</v>
          </cell>
          <cell r="D669" t="str">
            <v>Mohammad Fakhrul</v>
          </cell>
          <cell r="E669" t="str">
            <v>-</v>
          </cell>
          <cell r="F669" t="str">
            <v>MSP</v>
          </cell>
          <cell r="H669" t="str">
            <v>Pass Through/MSP</v>
          </cell>
          <cell r="J669" t="str">
            <v>ACH</v>
          </cell>
          <cell r="L669" t="str">
            <v>New</v>
          </cell>
          <cell r="M669">
            <v>46093</v>
          </cell>
          <cell r="N669">
            <v>109</v>
          </cell>
          <cell r="P669">
            <v>46458</v>
          </cell>
          <cell r="Q669" t="str">
            <v>PLC-Passthrough</v>
          </cell>
          <cell r="R669" t="str">
            <v>Somasekar Makireddy</v>
          </cell>
          <cell r="S669" t="str">
            <v>Individual</v>
          </cell>
          <cell r="T669" t="str">
            <v>C2C</v>
          </cell>
          <cell r="U669" t="str">
            <v>CoForge</v>
          </cell>
          <cell r="V669">
            <v>83</v>
          </cell>
          <cell r="W669">
            <v>0</v>
          </cell>
          <cell r="X669" t="str">
            <v>USD</v>
          </cell>
          <cell r="Y669">
            <v>84</v>
          </cell>
          <cell r="Z669">
            <v>0</v>
          </cell>
          <cell r="AA669">
            <v>0</v>
          </cell>
          <cell r="AB669">
            <v>0</v>
          </cell>
          <cell r="AC669">
            <v>46127</v>
          </cell>
          <cell r="AD669">
            <v>22</v>
          </cell>
          <cell r="AE669">
            <v>46387</v>
          </cell>
          <cell r="AF669">
            <v>83</v>
          </cell>
          <cell r="AG669">
            <v>0</v>
          </cell>
          <cell r="AH669">
            <v>83</v>
          </cell>
          <cell r="AI669">
            <v>84</v>
          </cell>
          <cell r="AJ669">
            <v>0</v>
          </cell>
          <cell r="AK669">
            <v>0</v>
          </cell>
          <cell r="AL669">
            <v>1</v>
          </cell>
          <cell r="AM669">
            <v>0</v>
          </cell>
          <cell r="AN669">
            <v>1</v>
          </cell>
          <cell r="AO669">
            <v>0</v>
          </cell>
          <cell r="AP669">
            <v>1</v>
          </cell>
          <cell r="AU669">
            <v>176</v>
          </cell>
          <cell r="BB669">
            <v>176</v>
          </cell>
          <cell r="BC669">
            <v>0</v>
          </cell>
          <cell r="BD669">
            <v>0</v>
          </cell>
          <cell r="BE669">
            <v>0</v>
          </cell>
          <cell r="BK669">
            <v>14784</v>
          </cell>
          <cell r="BL669">
            <v>14608</v>
          </cell>
          <cell r="BM669">
            <v>0</v>
          </cell>
          <cell r="BN669">
            <v>0</v>
          </cell>
          <cell r="BO669">
            <v>0</v>
          </cell>
          <cell r="BP669">
            <v>14608</v>
          </cell>
          <cell r="BQ669">
            <v>0</v>
          </cell>
          <cell r="BR669">
            <v>176</v>
          </cell>
          <cell r="BT669">
            <v>2</v>
          </cell>
          <cell r="BU669">
            <v>1</v>
          </cell>
          <cell r="BV669" t="str">
            <v>N</v>
          </cell>
          <cell r="BW669">
            <v>0</v>
          </cell>
          <cell r="BX669">
            <v>0</v>
          </cell>
          <cell r="BY669">
            <v>2026</v>
          </cell>
          <cell r="BZ669" t="str">
            <v>-</v>
          </cell>
          <cell r="CA669" t="str">
            <v>-</v>
          </cell>
        </row>
        <row r="670">
          <cell r="A670" t="str">
            <v>Lucknow</v>
          </cell>
          <cell r="B670" t="str">
            <v>Mavericks</v>
          </cell>
          <cell r="C670" t="str">
            <v>Mid Level</v>
          </cell>
          <cell r="D670" t="str">
            <v>Mohammad Fakhrul</v>
          </cell>
          <cell r="E670" t="str">
            <v>-</v>
          </cell>
          <cell r="F670" t="str">
            <v>MSP</v>
          </cell>
          <cell r="H670" t="str">
            <v>Pass Through/MSP</v>
          </cell>
          <cell r="J670" t="str">
            <v>ACH</v>
          </cell>
          <cell r="L670" t="str">
            <v>New</v>
          </cell>
          <cell r="M670">
            <v>46093</v>
          </cell>
          <cell r="N670">
            <v>109</v>
          </cell>
          <cell r="P670">
            <v>46458</v>
          </cell>
          <cell r="Q670" t="str">
            <v>PLC-Passthrough</v>
          </cell>
          <cell r="R670" t="str">
            <v>Somasekar Makireddy</v>
          </cell>
          <cell r="S670" t="str">
            <v>Individual</v>
          </cell>
          <cell r="T670" t="str">
            <v>C2C</v>
          </cell>
          <cell r="U670" t="str">
            <v>CoForge</v>
          </cell>
          <cell r="V670">
            <v>83</v>
          </cell>
          <cell r="W670">
            <v>0</v>
          </cell>
          <cell r="X670" t="str">
            <v>USD</v>
          </cell>
          <cell r="Y670">
            <v>84</v>
          </cell>
          <cell r="Z670">
            <v>0</v>
          </cell>
          <cell r="AA670">
            <v>0</v>
          </cell>
          <cell r="AB670">
            <v>0</v>
          </cell>
          <cell r="AC670">
            <v>46157</v>
          </cell>
          <cell r="AD670">
            <v>22</v>
          </cell>
          <cell r="AE670">
            <v>46387</v>
          </cell>
          <cell r="AF670">
            <v>83</v>
          </cell>
          <cell r="AG670">
            <v>0</v>
          </cell>
          <cell r="AH670">
            <v>83</v>
          </cell>
          <cell r="AI670">
            <v>84</v>
          </cell>
          <cell r="AJ670">
            <v>0</v>
          </cell>
          <cell r="AK670">
            <v>0</v>
          </cell>
          <cell r="AL670">
            <v>1</v>
          </cell>
          <cell r="AM670">
            <v>0</v>
          </cell>
          <cell r="AN670">
            <v>1</v>
          </cell>
          <cell r="AO670">
            <v>0</v>
          </cell>
          <cell r="AP670">
            <v>1</v>
          </cell>
          <cell r="AU670">
            <v>176</v>
          </cell>
          <cell r="BB670">
            <v>176</v>
          </cell>
          <cell r="BC670">
            <v>0</v>
          </cell>
          <cell r="BD670">
            <v>0</v>
          </cell>
          <cell r="BE670">
            <v>0</v>
          </cell>
          <cell r="BK670">
            <v>14784</v>
          </cell>
          <cell r="BL670">
            <v>14608</v>
          </cell>
          <cell r="BM670">
            <v>0</v>
          </cell>
          <cell r="BN670">
            <v>0</v>
          </cell>
          <cell r="BO670">
            <v>0</v>
          </cell>
          <cell r="BP670">
            <v>14608</v>
          </cell>
          <cell r="BQ670">
            <v>0</v>
          </cell>
          <cell r="BR670">
            <v>176</v>
          </cell>
          <cell r="BT670">
            <v>2</v>
          </cell>
          <cell r="BU670">
            <v>1</v>
          </cell>
          <cell r="BV670" t="str">
            <v>N</v>
          </cell>
          <cell r="BW670">
            <v>0</v>
          </cell>
          <cell r="BX670">
            <v>0</v>
          </cell>
          <cell r="BY670">
            <v>2026</v>
          </cell>
          <cell r="BZ670" t="str">
            <v>-</v>
          </cell>
          <cell r="CA670" t="str">
            <v>-</v>
          </cell>
        </row>
        <row r="671">
          <cell r="A671" t="str">
            <v>Lucknow</v>
          </cell>
          <cell r="B671" t="str">
            <v>Mavericks</v>
          </cell>
          <cell r="C671" t="str">
            <v>Mid Level</v>
          </cell>
          <cell r="D671" t="str">
            <v>Vikas Malik</v>
          </cell>
          <cell r="E671" t="str">
            <v>-</v>
          </cell>
          <cell r="F671" t="str">
            <v>Non-MSP</v>
          </cell>
          <cell r="H671" t="str">
            <v>Kajal Saini</v>
          </cell>
          <cell r="L671" t="str">
            <v>New</v>
          </cell>
          <cell r="M671">
            <v>46042</v>
          </cell>
          <cell r="N671">
            <v>160</v>
          </cell>
          <cell r="P671">
            <v>46407</v>
          </cell>
          <cell r="Q671" t="str">
            <v>PLC-4681</v>
          </cell>
          <cell r="R671" t="str">
            <v>Soujanya Gattu</v>
          </cell>
          <cell r="S671" t="str">
            <v>Individual</v>
          </cell>
          <cell r="T671" t="str">
            <v>FTE</v>
          </cell>
          <cell r="U671" t="str">
            <v>Wipro</v>
          </cell>
          <cell r="V671">
            <v>0</v>
          </cell>
          <cell r="W671">
            <v>0</v>
          </cell>
          <cell r="X671" t="str">
            <v>USD</v>
          </cell>
          <cell r="Y671">
            <v>1500</v>
          </cell>
          <cell r="Z671">
            <v>0</v>
          </cell>
          <cell r="AA671">
            <v>0</v>
          </cell>
          <cell r="AB671">
            <v>0</v>
          </cell>
          <cell r="AC671">
            <v>46037</v>
          </cell>
          <cell r="AD671">
            <v>1</v>
          </cell>
          <cell r="AE671">
            <v>46387</v>
          </cell>
          <cell r="AF671">
            <v>0</v>
          </cell>
          <cell r="AG671">
            <v>0</v>
          </cell>
          <cell r="AH671">
            <v>0</v>
          </cell>
          <cell r="AI671">
            <v>1500</v>
          </cell>
          <cell r="AJ671">
            <v>0</v>
          </cell>
          <cell r="AK671">
            <v>0</v>
          </cell>
          <cell r="AL671">
            <v>1500</v>
          </cell>
          <cell r="AM671">
            <v>0</v>
          </cell>
          <cell r="AN671">
            <v>1500</v>
          </cell>
          <cell r="AO671">
            <v>0</v>
          </cell>
          <cell r="AP671">
            <v>1500</v>
          </cell>
          <cell r="AQ671" t="str">
            <v>US_26954</v>
          </cell>
          <cell r="AR671">
            <v>0</v>
          </cell>
          <cell r="AS671">
            <v>1</v>
          </cell>
          <cell r="AU671">
            <v>1</v>
          </cell>
          <cell r="AV671">
            <v>0</v>
          </cell>
          <cell r="AW671">
            <v>1500</v>
          </cell>
          <cell r="AX671">
            <v>1500</v>
          </cell>
          <cell r="AY671">
            <v>0</v>
          </cell>
          <cell r="AZ671">
            <v>1500</v>
          </cell>
          <cell r="BA671">
            <v>1500</v>
          </cell>
          <cell r="BB671">
            <v>1500</v>
          </cell>
          <cell r="BC671">
            <v>0</v>
          </cell>
          <cell r="BD671">
            <v>0</v>
          </cell>
          <cell r="BE671">
            <v>0</v>
          </cell>
          <cell r="BG671">
            <v>1500</v>
          </cell>
          <cell r="BI671">
            <v>1500</v>
          </cell>
          <cell r="BJ671">
            <v>1500</v>
          </cell>
          <cell r="BK671">
            <v>1500</v>
          </cell>
          <cell r="BL671">
            <v>0</v>
          </cell>
          <cell r="BM671">
            <v>0</v>
          </cell>
          <cell r="BN671">
            <v>0</v>
          </cell>
          <cell r="BO671">
            <v>0</v>
          </cell>
          <cell r="BP671">
            <v>0</v>
          </cell>
          <cell r="BQ671">
            <v>0</v>
          </cell>
          <cell r="BR671">
            <v>1500</v>
          </cell>
          <cell r="BS671" t="str">
            <v>Y</v>
          </cell>
          <cell r="BT671">
            <v>1</v>
          </cell>
          <cell r="BU671">
            <v>1</v>
          </cell>
          <cell r="BV671" t="str">
            <v>N</v>
          </cell>
          <cell r="BW671">
            <v>0</v>
          </cell>
          <cell r="BX671">
            <v>0</v>
          </cell>
          <cell r="BY671">
            <v>2026</v>
          </cell>
          <cell r="BZ671" t="str">
            <v>-</v>
          </cell>
          <cell r="CA671" t="str">
            <v>-</v>
          </cell>
        </row>
        <row r="672">
          <cell r="A672" t="str">
            <v>Lucknow</v>
          </cell>
          <cell r="B672" t="str">
            <v>Titans</v>
          </cell>
          <cell r="C672" t="str">
            <v>Mid Level</v>
          </cell>
          <cell r="D672" t="str">
            <v>Bibhore Bhattacharya</v>
          </cell>
          <cell r="E672" t="str">
            <v>-</v>
          </cell>
          <cell r="F672" t="str">
            <v>Non-MSP</v>
          </cell>
          <cell r="H672" t="str">
            <v>Bibhore Bhattacharya</v>
          </cell>
          <cell r="L672" t="str">
            <v>New</v>
          </cell>
          <cell r="M672">
            <v>46056</v>
          </cell>
          <cell r="N672">
            <v>146</v>
          </cell>
          <cell r="O672">
            <v>46136</v>
          </cell>
          <cell r="P672">
            <v>46421</v>
          </cell>
          <cell r="Q672" t="str">
            <v>PLC-4709</v>
          </cell>
          <cell r="R672" t="str">
            <v>Sourabh Prasad</v>
          </cell>
          <cell r="S672" t="str">
            <v>Individual</v>
          </cell>
          <cell r="T672" t="str">
            <v>T4</v>
          </cell>
          <cell r="U672" t="str">
            <v>Genpact</v>
          </cell>
          <cell r="V672">
            <v>165</v>
          </cell>
          <cell r="W672">
            <v>0</v>
          </cell>
          <cell r="X672" t="str">
            <v>CAD</v>
          </cell>
          <cell r="Y672">
            <v>209.05</v>
          </cell>
          <cell r="Z672">
            <v>0</v>
          </cell>
          <cell r="AA672">
            <v>0</v>
          </cell>
          <cell r="AB672">
            <v>0</v>
          </cell>
          <cell r="AC672">
            <v>46068</v>
          </cell>
          <cell r="AD672">
            <v>19</v>
          </cell>
          <cell r="AE672">
            <v>46387</v>
          </cell>
          <cell r="AF672">
            <v>140.57999999999998</v>
          </cell>
          <cell r="AG672">
            <v>0</v>
          </cell>
          <cell r="AH672">
            <v>140.57999999999998</v>
          </cell>
          <cell r="AI672">
            <v>148.4255</v>
          </cell>
          <cell r="AJ672">
            <v>0</v>
          </cell>
          <cell r="AK672">
            <v>0</v>
          </cell>
          <cell r="AL672">
            <v>7.8455000000000155</v>
          </cell>
          <cell r="AM672">
            <v>0</v>
          </cell>
          <cell r="AN672">
            <v>7.8455000000000155</v>
          </cell>
          <cell r="AO672">
            <v>0</v>
          </cell>
          <cell r="AP672">
            <v>7.8455000000000155</v>
          </cell>
          <cell r="AQ672" t="str">
            <v>CAD_1994</v>
          </cell>
          <cell r="AR672">
            <v>0</v>
          </cell>
          <cell r="AS672">
            <v>112</v>
          </cell>
          <cell r="AU672">
            <v>112</v>
          </cell>
          <cell r="AV672">
            <v>0</v>
          </cell>
          <cell r="AW672">
            <v>878.69600000000173</v>
          </cell>
          <cell r="AX672">
            <v>878.69600000000173</v>
          </cell>
          <cell r="AY672">
            <v>0</v>
          </cell>
          <cell r="AZ672">
            <v>878.69600000000173</v>
          </cell>
          <cell r="BA672">
            <v>878.69600000000173</v>
          </cell>
          <cell r="BB672">
            <v>878.69600000000173</v>
          </cell>
          <cell r="BC672">
            <v>0</v>
          </cell>
          <cell r="BD672">
            <v>0</v>
          </cell>
          <cell r="BE672">
            <v>0</v>
          </cell>
          <cell r="BG672">
            <v>878.69600000000173</v>
          </cell>
          <cell r="BI672">
            <v>878.69600000000173</v>
          </cell>
          <cell r="BJ672">
            <v>23413.600000000002</v>
          </cell>
          <cell r="BK672">
            <v>16623.655999999999</v>
          </cell>
          <cell r="BL672">
            <v>13691.832</v>
          </cell>
          <cell r="BM672">
            <v>24.75</v>
          </cell>
          <cell r="BN672">
            <v>0</v>
          </cell>
          <cell r="BO672">
            <v>2772</v>
          </cell>
          <cell r="BP672">
            <v>16463.832000000002</v>
          </cell>
          <cell r="BQ672">
            <v>24.75</v>
          </cell>
          <cell r="BR672">
            <v>159.8239999999987</v>
          </cell>
          <cell r="BS672" t="str">
            <v>Y</v>
          </cell>
          <cell r="BT672">
            <v>1</v>
          </cell>
          <cell r="BU672">
            <v>1</v>
          </cell>
          <cell r="BV672" t="str">
            <v>Y</v>
          </cell>
          <cell r="BW672">
            <v>0</v>
          </cell>
          <cell r="BX672">
            <v>0</v>
          </cell>
          <cell r="BY672">
            <v>2026</v>
          </cell>
          <cell r="BZ672" t="str">
            <v>-</v>
          </cell>
          <cell r="CA672" t="str">
            <v>-</v>
          </cell>
        </row>
        <row r="673">
          <cell r="A673" t="str">
            <v>Lucknow</v>
          </cell>
          <cell r="B673" t="str">
            <v>Titans</v>
          </cell>
          <cell r="C673" t="str">
            <v>Mid Level</v>
          </cell>
          <cell r="D673" t="str">
            <v>Bibhore Bhattacharya</v>
          </cell>
          <cell r="E673" t="str">
            <v>-</v>
          </cell>
          <cell r="F673" t="str">
            <v>Non-MSP</v>
          </cell>
          <cell r="H673" t="str">
            <v>Bibhore Bhattacharya</v>
          </cell>
          <cell r="L673" t="str">
            <v>New</v>
          </cell>
          <cell r="M673">
            <v>46056</v>
          </cell>
          <cell r="N673">
            <v>146</v>
          </cell>
          <cell r="O673">
            <v>46136</v>
          </cell>
          <cell r="P673">
            <v>46421</v>
          </cell>
          <cell r="Q673" t="str">
            <v>PLC-4709</v>
          </cell>
          <cell r="R673" t="str">
            <v>Sourabh Prasad</v>
          </cell>
          <cell r="S673" t="str">
            <v>Individual</v>
          </cell>
          <cell r="T673" t="str">
            <v>T4</v>
          </cell>
          <cell r="U673" t="str">
            <v>Genpact</v>
          </cell>
          <cell r="V673">
            <v>165</v>
          </cell>
          <cell r="W673">
            <v>0</v>
          </cell>
          <cell r="X673" t="str">
            <v>CAD</v>
          </cell>
          <cell r="Y673">
            <v>209.05</v>
          </cell>
          <cell r="Z673">
            <v>0</v>
          </cell>
          <cell r="AA673">
            <v>0</v>
          </cell>
          <cell r="AB673">
            <v>0</v>
          </cell>
          <cell r="AC673">
            <v>46096</v>
          </cell>
          <cell r="AD673">
            <v>22</v>
          </cell>
          <cell r="AE673">
            <v>46387</v>
          </cell>
          <cell r="AF673">
            <v>140.57999999999998</v>
          </cell>
          <cell r="AG673">
            <v>0</v>
          </cell>
          <cell r="AH673">
            <v>140.57999999999998</v>
          </cell>
          <cell r="AI673">
            <v>148.4255</v>
          </cell>
          <cell r="AJ673">
            <v>0</v>
          </cell>
          <cell r="AK673">
            <v>0</v>
          </cell>
          <cell r="AL673">
            <v>7.8455000000000155</v>
          </cell>
          <cell r="AM673">
            <v>0</v>
          </cell>
          <cell r="AN673">
            <v>7.8455000000000155</v>
          </cell>
          <cell r="AO673">
            <v>0</v>
          </cell>
          <cell r="AP673">
            <v>7.8455000000000155</v>
          </cell>
          <cell r="AQ673" t="str">
            <v>CAD_2031</v>
          </cell>
          <cell r="AR673">
            <v>0</v>
          </cell>
          <cell r="AS673">
            <v>176</v>
          </cell>
          <cell r="AU673">
            <v>176</v>
          </cell>
          <cell r="AV673">
            <v>0</v>
          </cell>
          <cell r="AW673">
            <v>1380.8080000000027</v>
          </cell>
          <cell r="AX673">
            <v>1380.8080000000027</v>
          </cell>
          <cell r="AY673">
            <v>0</v>
          </cell>
          <cell r="AZ673">
            <v>1380.8080000000027</v>
          </cell>
          <cell r="BA673">
            <v>1380.8080000000027</v>
          </cell>
          <cell r="BB673">
            <v>1380.8080000000027</v>
          </cell>
          <cell r="BC673">
            <v>0</v>
          </cell>
          <cell r="BD673">
            <v>0</v>
          </cell>
          <cell r="BE673">
            <v>0</v>
          </cell>
          <cell r="BG673">
            <v>1380.8080000000027</v>
          </cell>
          <cell r="BI673">
            <v>1380.8080000000027</v>
          </cell>
          <cell r="BJ673">
            <v>36792.800000000003</v>
          </cell>
          <cell r="BK673">
            <v>26122.887999999999</v>
          </cell>
          <cell r="BL673">
            <v>21515.736000000001</v>
          </cell>
          <cell r="BM673">
            <v>24.75</v>
          </cell>
          <cell r="BN673">
            <v>0</v>
          </cell>
          <cell r="BO673">
            <v>4356</v>
          </cell>
          <cell r="BP673">
            <v>25871.736000000001</v>
          </cell>
          <cell r="BQ673">
            <v>24.75</v>
          </cell>
          <cell r="BR673">
            <v>251.15199999999822</v>
          </cell>
          <cell r="BS673" t="str">
            <v>Y</v>
          </cell>
          <cell r="BT673">
            <v>1</v>
          </cell>
          <cell r="BU673">
            <v>1</v>
          </cell>
          <cell r="BV673" t="str">
            <v>Y</v>
          </cell>
          <cell r="BW673">
            <v>0</v>
          </cell>
          <cell r="BX673">
            <v>0</v>
          </cell>
          <cell r="BY673">
            <v>2026</v>
          </cell>
          <cell r="BZ673" t="str">
            <v>-</v>
          </cell>
          <cell r="CA673" t="str">
            <v>-</v>
          </cell>
        </row>
        <row r="674">
          <cell r="A674" t="str">
            <v>Lucknow</v>
          </cell>
          <cell r="B674" t="str">
            <v>Titans</v>
          </cell>
          <cell r="C674" t="str">
            <v>Mid Level</v>
          </cell>
          <cell r="D674" t="str">
            <v>Bibhore Bhattacharya</v>
          </cell>
          <cell r="E674" t="str">
            <v>-</v>
          </cell>
          <cell r="F674" t="str">
            <v>Non-MSP</v>
          </cell>
          <cell r="H674" t="str">
            <v>Bibhore Bhattacharya</v>
          </cell>
          <cell r="J674" t="str">
            <v>ACH</v>
          </cell>
          <cell r="L674" t="str">
            <v>New</v>
          </cell>
          <cell r="M674">
            <v>46056</v>
          </cell>
          <cell r="N674">
            <v>146</v>
          </cell>
          <cell r="O674">
            <v>46136</v>
          </cell>
          <cell r="P674">
            <v>46421</v>
          </cell>
          <cell r="Q674" t="str">
            <v>PLC-4709</v>
          </cell>
          <cell r="R674" t="str">
            <v>Sourabh Prasad</v>
          </cell>
          <cell r="S674" t="str">
            <v>Individual</v>
          </cell>
          <cell r="T674" t="str">
            <v>T4</v>
          </cell>
          <cell r="U674" t="str">
            <v>Genpact</v>
          </cell>
          <cell r="V674">
            <v>165</v>
          </cell>
          <cell r="W674">
            <v>0</v>
          </cell>
          <cell r="X674" t="str">
            <v>CAD</v>
          </cell>
          <cell r="Y674">
            <v>209.05</v>
          </cell>
          <cell r="Z674">
            <v>0</v>
          </cell>
          <cell r="AA674">
            <v>0</v>
          </cell>
          <cell r="AB674">
            <v>0</v>
          </cell>
          <cell r="AC674">
            <v>46127</v>
          </cell>
          <cell r="AD674">
            <v>16</v>
          </cell>
          <cell r="AE674">
            <v>46387</v>
          </cell>
          <cell r="AF674">
            <v>140.57999999999998</v>
          </cell>
          <cell r="AG674">
            <v>0</v>
          </cell>
          <cell r="AH674">
            <v>140.57999999999998</v>
          </cell>
          <cell r="AI674">
            <v>148.4255</v>
          </cell>
          <cell r="AJ674">
            <v>0</v>
          </cell>
          <cell r="AK674">
            <v>0</v>
          </cell>
          <cell r="AL674">
            <v>7.8455000000000155</v>
          </cell>
          <cell r="AM674">
            <v>0</v>
          </cell>
          <cell r="AN674">
            <v>7.8455000000000155</v>
          </cell>
          <cell r="AO674">
            <v>0</v>
          </cell>
          <cell r="AP674">
            <v>7.8455000000000155</v>
          </cell>
          <cell r="AQ674" t="str">
            <v>CAD_2143</v>
          </cell>
          <cell r="AR674">
            <v>0</v>
          </cell>
          <cell r="AS674">
            <v>144</v>
          </cell>
          <cell r="AU674">
            <v>144</v>
          </cell>
          <cell r="AV674">
            <v>0</v>
          </cell>
          <cell r="AW674">
            <v>1129.7520000000022</v>
          </cell>
          <cell r="AX674">
            <v>1118.4544800000021</v>
          </cell>
          <cell r="AY674">
            <v>0</v>
          </cell>
          <cell r="AZ674">
            <v>1129.7520000000022</v>
          </cell>
          <cell r="BA674">
            <v>1118.4544800000021</v>
          </cell>
          <cell r="BB674">
            <v>1129.7520000000022</v>
          </cell>
          <cell r="BC674">
            <v>0</v>
          </cell>
          <cell r="BD674">
            <v>0</v>
          </cell>
          <cell r="BE674">
            <v>0</v>
          </cell>
          <cell r="BG674">
            <v>1118.4544800000021</v>
          </cell>
          <cell r="BI674">
            <v>1118.4544800000021</v>
          </cell>
          <cell r="BJ674">
            <v>30103.200000000001</v>
          </cell>
          <cell r="BK674">
            <v>21373.272000000001</v>
          </cell>
          <cell r="BL674">
            <v>17603.784</v>
          </cell>
          <cell r="BM674">
            <v>24.75</v>
          </cell>
          <cell r="BN674">
            <v>0</v>
          </cell>
          <cell r="BO674">
            <v>3564</v>
          </cell>
          <cell r="BP674">
            <v>21167.784</v>
          </cell>
          <cell r="BQ674">
            <v>24.75</v>
          </cell>
          <cell r="BR674">
            <v>205.48800000000119</v>
          </cell>
          <cell r="BT674">
            <v>2</v>
          </cell>
          <cell r="BU674">
            <v>1</v>
          </cell>
          <cell r="BV674" t="str">
            <v>N</v>
          </cell>
          <cell r="BW674">
            <v>0</v>
          </cell>
          <cell r="BX674">
            <v>0</v>
          </cell>
          <cell r="BY674">
            <v>2026</v>
          </cell>
          <cell r="BZ674" t="str">
            <v>-</v>
          </cell>
          <cell r="CA674" t="str">
            <v>-</v>
          </cell>
        </row>
        <row r="675">
          <cell r="A675" t="str">
            <v>Lucknow</v>
          </cell>
          <cell r="B675" t="str">
            <v>Pioneer</v>
          </cell>
          <cell r="C675" t="str">
            <v>Mid Level</v>
          </cell>
          <cell r="D675" t="str">
            <v>Lucky Jain</v>
          </cell>
          <cell r="E675" t="str">
            <v>-</v>
          </cell>
          <cell r="F675" t="str">
            <v>Non-MSP</v>
          </cell>
          <cell r="H675" t="str">
            <v>Ansh Singh Rathore</v>
          </cell>
          <cell r="L675" t="str">
            <v>New</v>
          </cell>
          <cell r="M675">
            <v>46132</v>
          </cell>
          <cell r="N675">
            <v>70</v>
          </cell>
          <cell r="P675">
            <v>46497</v>
          </cell>
          <cell r="Q675" t="str">
            <v>PLC-4858</v>
          </cell>
          <cell r="R675" t="str">
            <v>Sowjanya Nukala</v>
          </cell>
          <cell r="S675" t="str">
            <v>Individual</v>
          </cell>
          <cell r="T675" t="str">
            <v>FTE</v>
          </cell>
          <cell r="U675" t="str">
            <v>Maveric System</v>
          </cell>
          <cell r="V675">
            <v>0</v>
          </cell>
          <cell r="W675">
            <v>0</v>
          </cell>
          <cell r="X675" t="str">
            <v>USD</v>
          </cell>
          <cell r="Y675">
            <v>8330</v>
          </cell>
          <cell r="Z675">
            <v>0</v>
          </cell>
          <cell r="AA675">
            <v>0</v>
          </cell>
          <cell r="AB675">
            <v>0</v>
          </cell>
          <cell r="AC675">
            <v>46127</v>
          </cell>
          <cell r="AD675">
            <v>1</v>
          </cell>
          <cell r="AE675">
            <v>46387</v>
          </cell>
          <cell r="AF675">
            <v>0</v>
          </cell>
          <cell r="AG675">
            <v>0</v>
          </cell>
          <cell r="AH675">
            <v>0</v>
          </cell>
          <cell r="AI675">
            <v>8330</v>
          </cell>
          <cell r="AJ675">
            <v>0</v>
          </cell>
          <cell r="AK675">
            <v>0</v>
          </cell>
          <cell r="AL675">
            <v>8330</v>
          </cell>
          <cell r="AM675">
            <v>0</v>
          </cell>
          <cell r="AN675">
            <v>8330</v>
          </cell>
          <cell r="AO675">
            <v>0</v>
          </cell>
          <cell r="AP675">
            <v>8330</v>
          </cell>
          <cell r="AQ675" t="str">
            <v>US_27698</v>
          </cell>
          <cell r="AR675">
            <v>0</v>
          </cell>
          <cell r="AS675">
            <v>1</v>
          </cell>
          <cell r="AU675">
            <v>1</v>
          </cell>
          <cell r="AV675">
            <v>0</v>
          </cell>
          <cell r="AW675">
            <v>8330</v>
          </cell>
          <cell r="AX675">
            <v>8330</v>
          </cell>
          <cell r="AY675">
            <v>0</v>
          </cell>
          <cell r="AZ675">
            <v>8330</v>
          </cell>
          <cell r="BA675">
            <v>8330</v>
          </cell>
          <cell r="BB675">
            <v>8330</v>
          </cell>
          <cell r="BC675">
            <v>60</v>
          </cell>
          <cell r="BD675">
            <v>10995.6</v>
          </cell>
          <cell r="BE675">
            <v>10995.6</v>
          </cell>
          <cell r="BG675">
            <v>8330</v>
          </cell>
          <cell r="BI675">
            <v>0</v>
          </cell>
          <cell r="BJ675">
            <v>8330</v>
          </cell>
          <cell r="BK675">
            <v>8330</v>
          </cell>
          <cell r="BL675">
            <v>0</v>
          </cell>
          <cell r="BM675">
            <v>0</v>
          </cell>
          <cell r="BN675">
            <v>0</v>
          </cell>
          <cell r="BO675">
            <v>0</v>
          </cell>
          <cell r="BP675">
            <v>0</v>
          </cell>
          <cell r="BQ675">
            <v>0</v>
          </cell>
          <cell r="BR675">
            <v>8330</v>
          </cell>
          <cell r="BT675">
            <v>2</v>
          </cell>
          <cell r="BU675">
            <v>2</v>
          </cell>
          <cell r="BV675" t="str">
            <v>Y</v>
          </cell>
          <cell r="BW675">
            <v>21991.200000000001</v>
          </cell>
          <cell r="BX675">
            <v>21991.200000000001</v>
          </cell>
          <cell r="BY675">
            <v>2026</v>
          </cell>
          <cell r="BZ675" t="str">
            <v>-</v>
          </cell>
          <cell r="CA675" t="str">
            <v>-</v>
          </cell>
        </row>
        <row r="676">
          <cell r="A676" t="str">
            <v>Noida</v>
          </cell>
          <cell r="B676" t="str">
            <v>Noida IT</v>
          </cell>
          <cell r="C676" t="str">
            <v>Mid Level</v>
          </cell>
          <cell r="D676" t="str">
            <v>Abdul Rahman</v>
          </cell>
          <cell r="E676" t="str">
            <v>-</v>
          </cell>
          <cell r="F676" t="str">
            <v>Non-MSP</v>
          </cell>
          <cell r="H676" t="str">
            <v>Avinay Shrivastav</v>
          </cell>
          <cell r="J676" t="str">
            <v>ACH</v>
          </cell>
          <cell r="L676" t="str">
            <v>New</v>
          </cell>
          <cell r="M676">
            <v>46069</v>
          </cell>
          <cell r="N676">
            <v>133</v>
          </cell>
          <cell r="P676">
            <v>46434</v>
          </cell>
          <cell r="Q676" t="str">
            <v>PLC-4718</v>
          </cell>
          <cell r="R676" t="str">
            <v>Spandana Remala</v>
          </cell>
          <cell r="S676" t="str">
            <v>Individual</v>
          </cell>
          <cell r="T676" t="str">
            <v>C2C</v>
          </cell>
          <cell r="U676" t="str">
            <v xml:space="preserve">Happiest Minds </v>
          </cell>
          <cell r="V676">
            <v>50</v>
          </cell>
          <cell r="W676">
            <v>0</v>
          </cell>
          <cell r="X676" t="str">
            <v>USD</v>
          </cell>
          <cell r="Y676">
            <v>65</v>
          </cell>
          <cell r="Z676">
            <v>0</v>
          </cell>
          <cell r="AA676">
            <v>0</v>
          </cell>
          <cell r="AB676">
            <v>2</v>
          </cell>
          <cell r="AC676">
            <v>46068</v>
          </cell>
          <cell r="AD676">
            <v>10</v>
          </cell>
          <cell r="AE676">
            <v>46387</v>
          </cell>
          <cell r="AF676">
            <v>50</v>
          </cell>
          <cell r="AG676">
            <v>0</v>
          </cell>
          <cell r="AH676">
            <v>52</v>
          </cell>
          <cell r="AI676">
            <v>65</v>
          </cell>
          <cell r="AJ676">
            <v>0</v>
          </cell>
          <cell r="AK676">
            <v>0</v>
          </cell>
          <cell r="AL676">
            <v>13</v>
          </cell>
          <cell r="AM676">
            <v>0</v>
          </cell>
          <cell r="AN676">
            <v>13</v>
          </cell>
          <cell r="AO676">
            <v>0</v>
          </cell>
          <cell r="AP676">
            <v>13</v>
          </cell>
          <cell r="AQ676" t="str">
            <v>US_27181</v>
          </cell>
          <cell r="AR676">
            <v>0</v>
          </cell>
          <cell r="AS676">
            <v>64</v>
          </cell>
          <cell r="AU676">
            <v>64</v>
          </cell>
          <cell r="AV676">
            <v>0</v>
          </cell>
          <cell r="AW676">
            <v>832</v>
          </cell>
          <cell r="AX676">
            <v>823.68</v>
          </cell>
          <cell r="AY676">
            <v>0</v>
          </cell>
          <cell r="AZ676">
            <v>832</v>
          </cell>
          <cell r="BA676">
            <v>823.68</v>
          </cell>
          <cell r="BB676">
            <v>832</v>
          </cell>
          <cell r="BC676">
            <v>0</v>
          </cell>
          <cell r="BD676">
            <v>0</v>
          </cell>
          <cell r="BE676">
            <v>0</v>
          </cell>
          <cell r="BG676">
            <v>823.68</v>
          </cell>
          <cell r="BI676">
            <v>823.68</v>
          </cell>
          <cell r="BJ676">
            <v>4160</v>
          </cell>
          <cell r="BK676">
            <v>4160</v>
          </cell>
          <cell r="BL676">
            <v>3200</v>
          </cell>
          <cell r="BM676">
            <v>0</v>
          </cell>
          <cell r="BN676">
            <v>128</v>
          </cell>
          <cell r="BO676">
            <v>0</v>
          </cell>
          <cell r="BP676">
            <v>3328</v>
          </cell>
          <cell r="BQ676">
            <v>2</v>
          </cell>
          <cell r="BR676">
            <v>832</v>
          </cell>
          <cell r="BS676" t="str">
            <v>Y</v>
          </cell>
          <cell r="BT676">
            <v>1</v>
          </cell>
          <cell r="BU676">
            <v>1</v>
          </cell>
          <cell r="BV676" t="str">
            <v>N</v>
          </cell>
          <cell r="BW676">
            <v>0</v>
          </cell>
          <cell r="BX676">
            <v>0</v>
          </cell>
          <cell r="BY676">
            <v>2026</v>
          </cell>
          <cell r="BZ676" t="str">
            <v>-</v>
          </cell>
          <cell r="CA676" t="str">
            <v>-</v>
          </cell>
        </row>
        <row r="677">
          <cell r="A677" t="str">
            <v>Noida</v>
          </cell>
          <cell r="B677" t="str">
            <v>Noida IT</v>
          </cell>
          <cell r="C677" t="str">
            <v>Mid Level</v>
          </cell>
          <cell r="D677" t="str">
            <v>Abdul Rahman</v>
          </cell>
          <cell r="E677" t="str">
            <v>-</v>
          </cell>
          <cell r="F677" t="str">
            <v>Non-MSP</v>
          </cell>
          <cell r="H677" t="str">
            <v>Avinay Shrivastav</v>
          </cell>
          <cell r="J677" t="str">
            <v>ACH</v>
          </cell>
          <cell r="L677" t="str">
            <v>New</v>
          </cell>
          <cell r="M677">
            <v>46069</v>
          </cell>
          <cell r="N677">
            <v>133</v>
          </cell>
          <cell r="P677">
            <v>46434</v>
          </cell>
          <cell r="Q677" t="str">
            <v>PLC-4718</v>
          </cell>
          <cell r="R677" t="str">
            <v>Spandana Remala</v>
          </cell>
          <cell r="S677" t="str">
            <v>Individual</v>
          </cell>
          <cell r="T677" t="str">
            <v>C2C</v>
          </cell>
          <cell r="U677" t="str">
            <v xml:space="preserve">Happiest Minds </v>
          </cell>
          <cell r="V677">
            <v>50</v>
          </cell>
          <cell r="W677">
            <v>0</v>
          </cell>
          <cell r="X677" t="str">
            <v>USD</v>
          </cell>
          <cell r="Y677">
            <v>65</v>
          </cell>
          <cell r="Z677">
            <v>0</v>
          </cell>
          <cell r="AA677">
            <v>0</v>
          </cell>
          <cell r="AB677">
            <v>2</v>
          </cell>
          <cell r="AC677">
            <v>46096</v>
          </cell>
          <cell r="AD677">
            <v>22</v>
          </cell>
          <cell r="AE677">
            <v>46387</v>
          </cell>
          <cell r="AF677">
            <v>50</v>
          </cell>
          <cell r="AG677">
            <v>0</v>
          </cell>
          <cell r="AH677">
            <v>52</v>
          </cell>
          <cell r="AI677">
            <v>65</v>
          </cell>
          <cell r="AJ677">
            <v>0</v>
          </cell>
          <cell r="AK677">
            <v>0</v>
          </cell>
          <cell r="AL677">
            <v>13</v>
          </cell>
          <cell r="AM677">
            <v>0</v>
          </cell>
          <cell r="AN677">
            <v>13</v>
          </cell>
          <cell r="AO677">
            <v>0</v>
          </cell>
          <cell r="AP677">
            <v>13</v>
          </cell>
          <cell r="AQ677" t="str">
            <v>US_27394</v>
          </cell>
          <cell r="AR677">
            <v>0</v>
          </cell>
          <cell r="AS677">
            <v>176</v>
          </cell>
          <cell r="AU677">
            <v>176</v>
          </cell>
          <cell r="AV677">
            <v>0</v>
          </cell>
          <cell r="AW677">
            <v>2288</v>
          </cell>
          <cell r="AX677">
            <v>2265.12</v>
          </cell>
          <cell r="AY677">
            <v>0</v>
          </cell>
          <cell r="AZ677">
            <v>2288</v>
          </cell>
          <cell r="BA677">
            <v>2265.12</v>
          </cell>
          <cell r="BB677">
            <v>2288</v>
          </cell>
          <cell r="BC677">
            <v>0</v>
          </cell>
          <cell r="BD677">
            <v>0</v>
          </cell>
          <cell r="BE677">
            <v>0</v>
          </cell>
          <cell r="BG677">
            <v>2265.12</v>
          </cell>
          <cell r="BI677">
            <v>2265.12</v>
          </cell>
          <cell r="BJ677">
            <v>11440</v>
          </cell>
          <cell r="BK677">
            <v>11440</v>
          </cell>
          <cell r="BL677">
            <v>8800</v>
          </cell>
          <cell r="BM677">
            <v>0</v>
          </cell>
          <cell r="BN677">
            <v>352</v>
          </cell>
          <cell r="BO677">
            <v>0</v>
          </cell>
          <cell r="BP677">
            <v>9152</v>
          </cell>
          <cell r="BQ677">
            <v>2</v>
          </cell>
          <cell r="BR677">
            <v>2288</v>
          </cell>
          <cell r="BS677" t="str">
            <v>Y</v>
          </cell>
          <cell r="BT677">
            <v>1</v>
          </cell>
          <cell r="BU677">
            <v>1</v>
          </cell>
          <cell r="BV677" t="str">
            <v>N</v>
          </cell>
          <cell r="BW677">
            <v>0</v>
          </cell>
          <cell r="BX677">
            <v>0</v>
          </cell>
          <cell r="BY677">
            <v>2026</v>
          </cell>
          <cell r="BZ677" t="str">
            <v>-</v>
          </cell>
          <cell r="CA677" t="str">
            <v>-</v>
          </cell>
        </row>
        <row r="678">
          <cell r="A678" t="str">
            <v>Noida</v>
          </cell>
          <cell r="B678" t="str">
            <v>Noida IT</v>
          </cell>
          <cell r="C678" t="str">
            <v>Mid Level</v>
          </cell>
          <cell r="D678" t="str">
            <v>Abdul Rahman</v>
          </cell>
          <cell r="E678" t="str">
            <v>-</v>
          </cell>
          <cell r="F678" t="str">
            <v>Non-MSP</v>
          </cell>
          <cell r="H678" t="str">
            <v>Avinay Shrivastav</v>
          </cell>
          <cell r="J678" t="str">
            <v>ACH</v>
          </cell>
          <cell r="L678" t="str">
            <v>New</v>
          </cell>
          <cell r="M678">
            <v>46069</v>
          </cell>
          <cell r="N678">
            <v>133</v>
          </cell>
          <cell r="P678">
            <v>46434</v>
          </cell>
          <cell r="Q678" t="str">
            <v>PLC-4718</v>
          </cell>
          <cell r="R678" t="str">
            <v>Spandana Remala</v>
          </cell>
          <cell r="S678" t="str">
            <v>Individual</v>
          </cell>
          <cell r="T678" t="str">
            <v>C2C</v>
          </cell>
          <cell r="U678" t="str">
            <v xml:space="preserve">Happiest Minds </v>
          </cell>
          <cell r="V678">
            <v>50</v>
          </cell>
          <cell r="W678">
            <v>0</v>
          </cell>
          <cell r="X678" t="str">
            <v>USD</v>
          </cell>
          <cell r="Y678">
            <v>65</v>
          </cell>
          <cell r="Z678">
            <v>0</v>
          </cell>
          <cell r="AA678">
            <v>0</v>
          </cell>
          <cell r="AB678">
            <v>2</v>
          </cell>
          <cell r="AC678">
            <v>46127</v>
          </cell>
          <cell r="AD678">
            <v>22</v>
          </cell>
          <cell r="AE678">
            <v>46387</v>
          </cell>
          <cell r="AF678">
            <v>50</v>
          </cell>
          <cell r="AG678">
            <v>0</v>
          </cell>
          <cell r="AH678">
            <v>52</v>
          </cell>
          <cell r="AI678">
            <v>65</v>
          </cell>
          <cell r="AJ678">
            <v>0</v>
          </cell>
          <cell r="AK678">
            <v>0</v>
          </cell>
          <cell r="AL678">
            <v>13</v>
          </cell>
          <cell r="AM678">
            <v>0</v>
          </cell>
          <cell r="AN678">
            <v>13</v>
          </cell>
          <cell r="AO678">
            <v>0</v>
          </cell>
          <cell r="AP678">
            <v>13</v>
          </cell>
          <cell r="AQ678" t="str">
            <v>US_27627</v>
          </cell>
          <cell r="AR678">
            <v>0</v>
          </cell>
          <cell r="AS678">
            <v>176</v>
          </cell>
          <cell r="AU678">
            <v>176</v>
          </cell>
          <cell r="AV678">
            <v>0</v>
          </cell>
          <cell r="AW678">
            <v>2288</v>
          </cell>
          <cell r="AX678">
            <v>2265.12</v>
          </cell>
          <cell r="AY678">
            <v>0</v>
          </cell>
          <cell r="AZ678">
            <v>2288</v>
          </cell>
          <cell r="BA678">
            <v>2265.12</v>
          </cell>
          <cell r="BB678">
            <v>2288</v>
          </cell>
          <cell r="BC678">
            <v>0</v>
          </cell>
          <cell r="BD678">
            <v>0</v>
          </cell>
          <cell r="BE678">
            <v>0</v>
          </cell>
          <cell r="BG678">
            <v>2265.12</v>
          </cell>
          <cell r="BI678">
            <v>2265.12</v>
          </cell>
          <cell r="BJ678">
            <v>11440</v>
          </cell>
          <cell r="BK678">
            <v>11440</v>
          </cell>
          <cell r="BL678">
            <v>8800</v>
          </cell>
          <cell r="BM678">
            <v>0</v>
          </cell>
          <cell r="BN678">
            <v>352</v>
          </cell>
          <cell r="BO678">
            <v>0</v>
          </cell>
          <cell r="BP678">
            <v>9152</v>
          </cell>
          <cell r="BQ678">
            <v>2</v>
          </cell>
          <cell r="BR678">
            <v>2288</v>
          </cell>
          <cell r="BT678">
            <v>2</v>
          </cell>
          <cell r="BU678">
            <v>1</v>
          </cell>
          <cell r="BV678" t="str">
            <v>N</v>
          </cell>
          <cell r="BW678">
            <v>0</v>
          </cell>
          <cell r="BX678">
            <v>0</v>
          </cell>
          <cell r="BY678">
            <v>2026</v>
          </cell>
          <cell r="BZ678" t="str">
            <v>-</v>
          </cell>
          <cell r="CA678" t="str">
            <v>-</v>
          </cell>
        </row>
        <row r="679">
          <cell r="A679" t="str">
            <v>Noida</v>
          </cell>
          <cell r="B679" t="str">
            <v>Noida IT</v>
          </cell>
          <cell r="C679" t="str">
            <v>Mid Level</v>
          </cell>
          <cell r="D679" t="str">
            <v>Abdul Rahman</v>
          </cell>
          <cell r="E679" t="str">
            <v>-</v>
          </cell>
          <cell r="F679" t="str">
            <v>Non-MSP</v>
          </cell>
          <cell r="H679" t="str">
            <v>Avinay Shrivastav</v>
          </cell>
          <cell r="J679" t="str">
            <v>ACH</v>
          </cell>
          <cell r="L679" t="str">
            <v>New</v>
          </cell>
          <cell r="M679">
            <v>46069</v>
          </cell>
          <cell r="N679">
            <v>133</v>
          </cell>
          <cell r="P679">
            <v>46434</v>
          </cell>
          <cell r="Q679" t="str">
            <v>PLC-4718</v>
          </cell>
          <cell r="R679" t="str">
            <v>Spandana Remala</v>
          </cell>
          <cell r="S679" t="str">
            <v>Individual</v>
          </cell>
          <cell r="T679" t="str">
            <v>C2C</v>
          </cell>
          <cell r="U679" t="str">
            <v xml:space="preserve">Happiest Minds </v>
          </cell>
          <cell r="V679">
            <v>50</v>
          </cell>
          <cell r="W679">
            <v>0</v>
          </cell>
          <cell r="X679" t="str">
            <v>USD</v>
          </cell>
          <cell r="Y679">
            <v>65</v>
          </cell>
          <cell r="Z679">
            <v>0</v>
          </cell>
          <cell r="AA679">
            <v>0</v>
          </cell>
          <cell r="AB679">
            <v>2</v>
          </cell>
          <cell r="AC679">
            <v>46157</v>
          </cell>
          <cell r="AD679">
            <v>22</v>
          </cell>
          <cell r="AE679">
            <v>46387</v>
          </cell>
          <cell r="AF679">
            <v>50</v>
          </cell>
          <cell r="AG679">
            <v>0</v>
          </cell>
          <cell r="AH679">
            <v>52</v>
          </cell>
          <cell r="AI679">
            <v>65</v>
          </cell>
          <cell r="AJ679">
            <v>0</v>
          </cell>
          <cell r="AK679">
            <v>0</v>
          </cell>
          <cell r="AL679">
            <v>13</v>
          </cell>
          <cell r="AM679">
            <v>0</v>
          </cell>
          <cell r="AN679">
            <v>13</v>
          </cell>
          <cell r="AO679">
            <v>0</v>
          </cell>
          <cell r="AP679">
            <v>13</v>
          </cell>
          <cell r="AQ679" t="str">
            <v>US_27914</v>
          </cell>
          <cell r="AR679">
            <v>0</v>
          </cell>
          <cell r="AS679">
            <v>160</v>
          </cell>
          <cell r="AU679">
            <v>160</v>
          </cell>
          <cell r="AV679">
            <v>0</v>
          </cell>
          <cell r="AW679">
            <v>2080</v>
          </cell>
          <cell r="AX679">
            <v>2059.1999999999998</v>
          </cell>
          <cell r="AY679">
            <v>0</v>
          </cell>
          <cell r="AZ679">
            <v>2080</v>
          </cell>
          <cell r="BA679">
            <v>2059.1999999999998</v>
          </cell>
          <cell r="BB679">
            <v>2080</v>
          </cell>
          <cell r="BC679">
            <v>0</v>
          </cell>
          <cell r="BD679">
            <v>0</v>
          </cell>
          <cell r="BE679">
            <v>0</v>
          </cell>
          <cell r="BG679">
            <v>2059.1999999999998</v>
          </cell>
          <cell r="BI679">
            <v>2059.1999999999998</v>
          </cell>
          <cell r="BJ679">
            <v>10400</v>
          </cell>
          <cell r="BK679">
            <v>10400</v>
          </cell>
          <cell r="BL679">
            <v>8000</v>
          </cell>
          <cell r="BM679">
            <v>0</v>
          </cell>
          <cell r="BN679">
            <v>320</v>
          </cell>
          <cell r="BO679">
            <v>0</v>
          </cell>
          <cell r="BP679">
            <v>8320</v>
          </cell>
          <cell r="BQ679">
            <v>2</v>
          </cell>
          <cell r="BR679">
            <v>2080</v>
          </cell>
          <cell r="BT679">
            <v>2</v>
          </cell>
          <cell r="BU679">
            <v>1</v>
          </cell>
          <cell r="BV679" t="str">
            <v>N</v>
          </cell>
          <cell r="BW679">
            <v>0</v>
          </cell>
          <cell r="BX679">
            <v>0</v>
          </cell>
          <cell r="BY679">
            <v>2026</v>
          </cell>
          <cell r="BZ679" t="str">
            <v>-</v>
          </cell>
          <cell r="CA679" t="str">
            <v>-</v>
          </cell>
        </row>
        <row r="680">
          <cell r="A680" t="str">
            <v>Lucknow</v>
          </cell>
          <cell r="B680" t="str">
            <v>Mavericks</v>
          </cell>
          <cell r="C680" t="str">
            <v>Mid Level</v>
          </cell>
          <cell r="D680" t="str">
            <v>Kashif Nabi</v>
          </cell>
          <cell r="E680" t="str">
            <v>Khatib Ur Rahman</v>
          </cell>
          <cell r="F680" t="str">
            <v>Non-MSP</v>
          </cell>
          <cell r="H680" t="str">
            <v>Shraddha Patel</v>
          </cell>
          <cell r="J680" t="str">
            <v>ACH</v>
          </cell>
          <cell r="L680" t="str">
            <v>New</v>
          </cell>
          <cell r="M680">
            <v>46127</v>
          </cell>
          <cell r="N680">
            <v>75</v>
          </cell>
          <cell r="P680">
            <v>46492</v>
          </cell>
          <cell r="Q680" t="str">
            <v>PLC-2258</v>
          </cell>
          <cell r="R680" t="str">
            <v>Sravan Kumar Gone</v>
          </cell>
          <cell r="S680" t="str">
            <v>Individual</v>
          </cell>
          <cell r="T680" t="str">
            <v>C2C</v>
          </cell>
          <cell r="U680" t="str">
            <v>Cigniti</v>
          </cell>
          <cell r="V680">
            <v>60</v>
          </cell>
          <cell r="W680">
            <v>0</v>
          </cell>
          <cell r="X680" t="str">
            <v>USD</v>
          </cell>
          <cell r="Y680">
            <v>66</v>
          </cell>
          <cell r="Z680">
            <v>0</v>
          </cell>
          <cell r="AA680">
            <v>0</v>
          </cell>
          <cell r="AB680">
            <v>0</v>
          </cell>
          <cell r="AC680">
            <v>46127</v>
          </cell>
          <cell r="AD680">
            <v>12</v>
          </cell>
          <cell r="AE680">
            <v>46387</v>
          </cell>
          <cell r="AF680">
            <v>60</v>
          </cell>
          <cell r="AG680">
            <v>0</v>
          </cell>
          <cell r="AH680">
            <v>60</v>
          </cell>
          <cell r="AI680">
            <v>66</v>
          </cell>
          <cell r="AJ680">
            <v>0</v>
          </cell>
          <cell r="AK680">
            <v>0</v>
          </cell>
          <cell r="AL680">
            <v>6</v>
          </cell>
          <cell r="AM680">
            <v>0</v>
          </cell>
          <cell r="AN680">
            <v>6</v>
          </cell>
          <cell r="AO680">
            <v>0</v>
          </cell>
          <cell r="AP680">
            <v>6</v>
          </cell>
          <cell r="AQ680" t="str">
            <v>US_27701</v>
          </cell>
          <cell r="AR680">
            <v>0</v>
          </cell>
          <cell r="AS680">
            <v>96</v>
          </cell>
          <cell r="AU680">
            <v>96</v>
          </cell>
          <cell r="AV680">
            <v>0</v>
          </cell>
          <cell r="AW680">
            <v>576</v>
          </cell>
          <cell r="AX680">
            <v>570.24</v>
          </cell>
          <cell r="AY680">
            <v>0</v>
          </cell>
          <cell r="AZ680">
            <v>576</v>
          </cell>
          <cell r="BA680">
            <v>570.24</v>
          </cell>
          <cell r="BB680">
            <v>576</v>
          </cell>
          <cell r="BC680">
            <v>50</v>
          </cell>
          <cell r="BD680">
            <v>752.71680000000003</v>
          </cell>
          <cell r="BE680">
            <v>752.71680000000003</v>
          </cell>
          <cell r="BG680">
            <v>570.24</v>
          </cell>
          <cell r="BI680">
            <v>0</v>
          </cell>
          <cell r="BJ680">
            <v>6336</v>
          </cell>
          <cell r="BK680">
            <v>6336</v>
          </cell>
          <cell r="BL680">
            <v>5760</v>
          </cell>
          <cell r="BM680">
            <v>0</v>
          </cell>
          <cell r="BN680">
            <v>0</v>
          </cell>
          <cell r="BO680">
            <v>0</v>
          </cell>
          <cell r="BP680">
            <v>5760</v>
          </cell>
          <cell r="BQ680">
            <v>0</v>
          </cell>
          <cell r="BR680">
            <v>576</v>
          </cell>
          <cell r="BT680">
            <v>2</v>
          </cell>
          <cell r="BU680">
            <v>2</v>
          </cell>
          <cell r="BV680" t="str">
            <v>N</v>
          </cell>
          <cell r="BW680">
            <v>1505.4336000000001</v>
          </cell>
          <cell r="BX680">
            <v>1505.4336000000001</v>
          </cell>
          <cell r="BY680">
            <v>2026</v>
          </cell>
          <cell r="BZ680" t="str">
            <v>-</v>
          </cell>
          <cell r="CA680" t="str">
            <v>-</v>
          </cell>
        </row>
        <row r="681">
          <cell r="A681" t="str">
            <v>Lucknow</v>
          </cell>
          <cell r="B681" t="str">
            <v>Mavericks</v>
          </cell>
          <cell r="C681" t="str">
            <v>Mid Level</v>
          </cell>
          <cell r="D681" t="str">
            <v>Kashif Nabi</v>
          </cell>
          <cell r="E681" t="str">
            <v>Khatib Ur Rahman</v>
          </cell>
          <cell r="F681" t="str">
            <v>Non-MSP</v>
          </cell>
          <cell r="H681" t="str">
            <v>Shraddha Patel</v>
          </cell>
          <cell r="J681" t="str">
            <v>ACH</v>
          </cell>
          <cell r="L681" t="str">
            <v>New</v>
          </cell>
          <cell r="M681">
            <v>46127</v>
          </cell>
          <cell r="N681">
            <v>75</v>
          </cell>
          <cell r="P681">
            <v>46492</v>
          </cell>
          <cell r="Q681" t="str">
            <v>PLC-2258</v>
          </cell>
          <cell r="R681" t="str">
            <v>Sravan Kumar Gone</v>
          </cell>
          <cell r="S681" t="str">
            <v>Individual</v>
          </cell>
          <cell r="T681" t="str">
            <v>C2C</v>
          </cell>
          <cell r="U681" t="str">
            <v>Cigniti</v>
          </cell>
          <cell r="V681">
            <v>60</v>
          </cell>
          <cell r="W681">
            <v>0</v>
          </cell>
          <cell r="X681" t="str">
            <v>USD</v>
          </cell>
          <cell r="Y681">
            <v>66</v>
          </cell>
          <cell r="Z681">
            <v>0</v>
          </cell>
          <cell r="AA681">
            <v>0</v>
          </cell>
          <cell r="AB681">
            <v>0</v>
          </cell>
          <cell r="AC681">
            <v>46157</v>
          </cell>
          <cell r="AD681">
            <v>12</v>
          </cell>
          <cell r="AE681">
            <v>46387</v>
          </cell>
          <cell r="AF681">
            <v>60</v>
          </cell>
          <cell r="AG681">
            <v>0</v>
          </cell>
          <cell r="AH681">
            <v>60</v>
          </cell>
          <cell r="AI681">
            <v>66</v>
          </cell>
          <cell r="AJ681">
            <v>0</v>
          </cell>
          <cell r="AK681">
            <v>0</v>
          </cell>
          <cell r="AL681">
            <v>6</v>
          </cell>
          <cell r="AM681">
            <v>0</v>
          </cell>
          <cell r="AN681">
            <v>6</v>
          </cell>
          <cell r="AO681">
            <v>0</v>
          </cell>
          <cell r="AP681">
            <v>6</v>
          </cell>
          <cell r="AQ681" t="str">
            <v>US_27946</v>
          </cell>
          <cell r="AR681">
            <v>0</v>
          </cell>
          <cell r="AS681">
            <v>160</v>
          </cell>
          <cell r="AU681">
            <v>160</v>
          </cell>
          <cell r="AV681">
            <v>0</v>
          </cell>
          <cell r="AW681">
            <v>960</v>
          </cell>
          <cell r="AX681">
            <v>950.4</v>
          </cell>
          <cell r="AY681">
            <v>0</v>
          </cell>
          <cell r="AZ681">
            <v>960</v>
          </cell>
          <cell r="BA681">
            <v>950.4</v>
          </cell>
          <cell r="BB681">
            <v>960</v>
          </cell>
          <cell r="BC681">
            <v>50</v>
          </cell>
          <cell r="BD681">
            <v>1254.528</v>
          </cell>
          <cell r="BE681">
            <v>1254.528</v>
          </cell>
          <cell r="BG681">
            <v>950.4</v>
          </cell>
          <cell r="BI681">
            <v>0</v>
          </cell>
          <cell r="BJ681">
            <v>10560</v>
          </cell>
          <cell r="BK681">
            <v>10560</v>
          </cell>
          <cell r="BL681">
            <v>9600</v>
          </cell>
          <cell r="BM681">
            <v>0</v>
          </cell>
          <cell r="BN681">
            <v>0</v>
          </cell>
          <cell r="BO681">
            <v>0</v>
          </cell>
          <cell r="BP681">
            <v>9600</v>
          </cell>
          <cell r="BQ681">
            <v>0</v>
          </cell>
          <cell r="BR681">
            <v>960</v>
          </cell>
          <cell r="BT681">
            <v>2</v>
          </cell>
          <cell r="BU681">
            <v>2</v>
          </cell>
          <cell r="BV681" t="str">
            <v>N</v>
          </cell>
          <cell r="BW681">
            <v>2509.056</v>
          </cell>
          <cell r="BX681">
            <v>2509.056</v>
          </cell>
          <cell r="BY681">
            <v>2026</v>
          </cell>
          <cell r="BZ681" t="str">
            <v>-</v>
          </cell>
          <cell r="CA681" t="str">
            <v>-</v>
          </cell>
        </row>
        <row r="682">
          <cell r="A682" t="str">
            <v>Lucknow</v>
          </cell>
          <cell r="B682" t="str">
            <v>Mavericks</v>
          </cell>
          <cell r="C682" t="str">
            <v>Mid Level</v>
          </cell>
          <cell r="D682" t="str">
            <v>Mohammad Fakhrul</v>
          </cell>
          <cell r="E682" t="str">
            <v>-</v>
          </cell>
          <cell r="F682" t="str">
            <v>MSP</v>
          </cell>
          <cell r="H682" t="str">
            <v>Pass Through/MSP</v>
          </cell>
          <cell r="L682" t="str">
            <v>New</v>
          </cell>
          <cell r="M682">
            <v>46105</v>
          </cell>
          <cell r="N682">
            <v>97</v>
          </cell>
          <cell r="P682">
            <v>46470</v>
          </cell>
          <cell r="Q682" t="str">
            <v>PLC-Passthrough</v>
          </cell>
          <cell r="R682" t="str">
            <v>Sreedhar Reddy Agraharam</v>
          </cell>
          <cell r="S682" t="str">
            <v>Individual</v>
          </cell>
          <cell r="T682" t="str">
            <v>C2C</v>
          </cell>
          <cell r="U682" t="str">
            <v>CoForge</v>
          </cell>
          <cell r="V682">
            <v>80</v>
          </cell>
          <cell r="W682">
            <v>0</v>
          </cell>
          <cell r="X682" t="str">
            <v>USD</v>
          </cell>
          <cell r="Y682">
            <v>82</v>
          </cell>
          <cell r="Z682">
            <v>0</v>
          </cell>
          <cell r="AA682">
            <v>0</v>
          </cell>
          <cell r="AB682">
            <v>0</v>
          </cell>
          <cell r="AC682">
            <v>46096</v>
          </cell>
          <cell r="AD682">
            <v>6</v>
          </cell>
          <cell r="AE682">
            <v>46387</v>
          </cell>
          <cell r="AF682">
            <v>80</v>
          </cell>
          <cell r="AG682">
            <v>0</v>
          </cell>
          <cell r="AH682">
            <v>80</v>
          </cell>
          <cell r="AI682">
            <v>82</v>
          </cell>
          <cell r="AJ682">
            <v>0</v>
          </cell>
          <cell r="AK682">
            <v>0</v>
          </cell>
          <cell r="AL682">
            <v>2</v>
          </cell>
          <cell r="AM682">
            <v>0</v>
          </cell>
          <cell r="AN682">
            <v>2</v>
          </cell>
          <cell r="AO682">
            <v>0</v>
          </cell>
          <cell r="AP682">
            <v>2</v>
          </cell>
          <cell r="AQ682" t="str">
            <v>US_CMSP_00575</v>
          </cell>
          <cell r="AR682">
            <v>0</v>
          </cell>
          <cell r="AS682">
            <v>48</v>
          </cell>
          <cell r="AU682">
            <v>48</v>
          </cell>
          <cell r="AV682">
            <v>0</v>
          </cell>
          <cell r="AW682">
            <v>96</v>
          </cell>
          <cell r="AX682">
            <v>96</v>
          </cell>
          <cell r="AY682">
            <v>0</v>
          </cell>
          <cell r="AZ682">
            <v>96</v>
          </cell>
          <cell r="BA682">
            <v>96</v>
          </cell>
          <cell r="BB682">
            <v>96</v>
          </cell>
          <cell r="BC682">
            <v>0</v>
          </cell>
          <cell r="BD682">
            <v>0</v>
          </cell>
          <cell r="BE682">
            <v>0</v>
          </cell>
          <cell r="BG682">
            <v>96</v>
          </cell>
          <cell r="BI682">
            <v>96</v>
          </cell>
          <cell r="BJ682">
            <v>3936</v>
          </cell>
          <cell r="BK682">
            <v>3936</v>
          </cell>
          <cell r="BL682">
            <v>3840</v>
          </cell>
          <cell r="BM682">
            <v>0</v>
          </cell>
          <cell r="BN682">
            <v>0</v>
          </cell>
          <cell r="BO682">
            <v>0</v>
          </cell>
          <cell r="BP682">
            <v>3840</v>
          </cell>
          <cell r="BQ682">
            <v>0</v>
          </cell>
          <cell r="BR682">
            <v>96</v>
          </cell>
          <cell r="BS682" t="str">
            <v>Y</v>
          </cell>
          <cell r="BT682">
            <v>1</v>
          </cell>
          <cell r="BU682">
            <v>1</v>
          </cell>
          <cell r="BV682" t="str">
            <v>N</v>
          </cell>
          <cell r="BW682">
            <v>0</v>
          </cell>
          <cell r="BX682">
            <v>0</v>
          </cell>
          <cell r="BY682">
            <v>2026</v>
          </cell>
          <cell r="BZ682" t="str">
            <v>-</v>
          </cell>
          <cell r="CA682" t="str">
            <v>-</v>
          </cell>
        </row>
        <row r="683">
          <cell r="A683" t="str">
            <v>Lucknow</v>
          </cell>
          <cell r="B683" t="str">
            <v>Mavericks</v>
          </cell>
          <cell r="C683" t="str">
            <v>Mid Level</v>
          </cell>
          <cell r="D683" t="str">
            <v>Mohammad Fakhrul</v>
          </cell>
          <cell r="E683" t="str">
            <v>-</v>
          </cell>
          <cell r="F683" t="str">
            <v>MSP</v>
          </cell>
          <cell r="H683" t="str">
            <v>Pass Through/MSP</v>
          </cell>
          <cell r="J683" t="str">
            <v>ACH</v>
          </cell>
          <cell r="L683" t="str">
            <v>New</v>
          </cell>
          <cell r="M683">
            <v>46105</v>
          </cell>
          <cell r="N683">
            <v>97</v>
          </cell>
          <cell r="P683">
            <v>46470</v>
          </cell>
          <cell r="Q683" t="str">
            <v>PLC-Passthrough</v>
          </cell>
          <cell r="R683" t="str">
            <v>Sreedhar Reddy Agraharam</v>
          </cell>
          <cell r="S683" t="str">
            <v>Individual</v>
          </cell>
          <cell r="T683" t="str">
            <v>C2C</v>
          </cell>
          <cell r="U683" t="str">
            <v>CoForge</v>
          </cell>
          <cell r="V683">
            <v>80</v>
          </cell>
          <cell r="W683">
            <v>0</v>
          </cell>
          <cell r="X683" t="str">
            <v>USD</v>
          </cell>
          <cell r="Y683">
            <v>82</v>
          </cell>
          <cell r="Z683">
            <v>0</v>
          </cell>
          <cell r="AA683">
            <v>0</v>
          </cell>
          <cell r="AB683">
            <v>0</v>
          </cell>
          <cell r="AC683">
            <v>46127</v>
          </cell>
          <cell r="AD683">
            <v>22</v>
          </cell>
          <cell r="AE683">
            <v>46387</v>
          </cell>
          <cell r="AF683">
            <v>80</v>
          </cell>
          <cell r="AG683">
            <v>0</v>
          </cell>
          <cell r="AH683">
            <v>80</v>
          </cell>
          <cell r="AI683">
            <v>82</v>
          </cell>
          <cell r="AJ683">
            <v>0</v>
          </cell>
          <cell r="AK683">
            <v>0</v>
          </cell>
          <cell r="AL683">
            <v>2</v>
          </cell>
          <cell r="AM683">
            <v>0</v>
          </cell>
          <cell r="AN683">
            <v>2</v>
          </cell>
          <cell r="AO683">
            <v>0</v>
          </cell>
          <cell r="AP683">
            <v>2</v>
          </cell>
          <cell r="AQ683" t="str">
            <v>US_CMSP_00716</v>
          </cell>
          <cell r="AR683">
            <v>0</v>
          </cell>
          <cell r="AS683">
            <v>160</v>
          </cell>
          <cell r="AU683">
            <v>160</v>
          </cell>
          <cell r="AV683">
            <v>0</v>
          </cell>
          <cell r="AW683">
            <v>320</v>
          </cell>
          <cell r="AX683">
            <v>316.8</v>
          </cell>
          <cell r="AY683">
            <v>0</v>
          </cell>
          <cell r="AZ683">
            <v>320</v>
          </cell>
          <cell r="BA683">
            <v>316.8</v>
          </cell>
          <cell r="BB683">
            <v>320</v>
          </cell>
          <cell r="BC683">
            <v>0</v>
          </cell>
          <cell r="BD683">
            <v>0</v>
          </cell>
          <cell r="BE683">
            <v>0</v>
          </cell>
          <cell r="BG683">
            <v>316.8</v>
          </cell>
          <cell r="BI683">
            <v>316.8</v>
          </cell>
          <cell r="BJ683">
            <v>13120</v>
          </cell>
          <cell r="BK683">
            <v>13120</v>
          </cell>
          <cell r="BL683">
            <v>12800</v>
          </cell>
          <cell r="BM683">
            <v>0</v>
          </cell>
          <cell r="BN683">
            <v>0</v>
          </cell>
          <cell r="BO683">
            <v>0</v>
          </cell>
          <cell r="BP683">
            <v>12800</v>
          </cell>
          <cell r="BQ683">
            <v>0</v>
          </cell>
          <cell r="BR683">
            <v>320</v>
          </cell>
          <cell r="BT683">
            <v>2</v>
          </cell>
          <cell r="BU683">
            <v>1</v>
          </cell>
          <cell r="BV683" t="str">
            <v>N</v>
          </cell>
          <cell r="BW683">
            <v>0</v>
          </cell>
          <cell r="BX683">
            <v>0</v>
          </cell>
          <cell r="BY683">
            <v>2026</v>
          </cell>
          <cell r="BZ683" t="str">
            <v>-</v>
          </cell>
          <cell r="CA683" t="str">
            <v>-</v>
          </cell>
        </row>
        <row r="684">
          <cell r="A684" t="str">
            <v>Lucknow</v>
          </cell>
          <cell r="B684" t="str">
            <v>Mavericks</v>
          </cell>
          <cell r="C684" t="str">
            <v>Mid Level</v>
          </cell>
          <cell r="D684" t="str">
            <v>Mohammad Fakhrul</v>
          </cell>
          <cell r="E684" t="str">
            <v>-</v>
          </cell>
          <cell r="F684" t="str">
            <v>MSP</v>
          </cell>
          <cell r="H684" t="str">
            <v>Pass Through/MSP</v>
          </cell>
          <cell r="J684" t="str">
            <v>ACH</v>
          </cell>
          <cell r="L684" t="str">
            <v>New</v>
          </cell>
          <cell r="M684">
            <v>46105</v>
          </cell>
          <cell r="N684">
            <v>97</v>
          </cell>
          <cell r="P684">
            <v>46470</v>
          </cell>
          <cell r="Q684" t="str">
            <v>PLC-Passthrough</v>
          </cell>
          <cell r="R684" t="str">
            <v>Sreedhar Reddy Agraharam</v>
          </cell>
          <cell r="S684" t="str">
            <v>Individual</v>
          </cell>
          <cell r="T684" t="str">
            <v>C2C</v>
          </cell>
          <cell r="U684" t="str">
            <v>CoForge</v>
          </cell>
          <cell r="V684">
            <v>80</v>
          </cell>
          <cell r="W684">
            <v>0</v>
          </cell>
          <cell r="X684" t="str">
            <v>USD</v>
          </cell>
          <cell r="Y684">
            <v>82</v>
          </cell>
          <cell r="Z684">
            <v>0</v>
          </cell>
          <cell r="AA684">
            <v>0</v>
          </cell>
          <cell r="AB684">
            <v>0</v>
          </cell>
          <cell r="AC684">
            <v>46157</v>
          </cell>
          <cell r="AD684">
            <v>22</v>
          </cell>
          <cell r="AE684">
            <v>46387</v>
          </cell>
          <cell r="AF684">
            <v>80</v>
          </cell>
          <cell r="AG684">
            <v>0</v>
          </cell>
          <cell r="AH684">
            <v>80</v>
          </cell>
          <cell r="AI684">
            <v>82</v>
          </cell>
          <cell r="AJ684">
            <v>0</v>
          </cell>
          <cell r="AK684">
            <v>0</v>
          </cell>
          <cell r="AL684">
            <v>2</v>
          </cell>
          <cell r="AM684">
            <v>0</v>
          </cell>
          <cell r="AN684">
            <v>2</v>
          </cell>
          <cell r="AO684">
            <v>0</v>
          </cell>
          <cell r="AP684">
            <v>2</v>
          </cell>
          <cell r="AU684">
            <v>176</v>
          </cell>
          <cell r="BB684">
            <v>352</v>
          </cell>
          <cell r="BC684">
            <v>0</v>
          </cell>
          <cell r="BD684">
            <v>0</v>
          </cell>
          <cell r="BE684">
            <v>0</v>
          </cell>
          <cell r="BK684">
            <v>14432</v>
          </cell>
          <cell r="BL684">
            <v>14080</v>
          </cell>
          <cell r="BM684">
            <v>0</v>
          </cell>
          <cell r="BN684">
            <v>0</v>
          </cell>
          <cell r="BO684">
            <v>0</v>
          </cell>
          <cell r="BP684">
            <v>14080</v>
          </cell>
          <cell r="BQ684">
            <v>0</v>
          </cell>
          <cell r="BR684">
            <v>352</v>
          </cell>
          <cell r="BT684">
            <v>2</v>
          </cell>
          <cell r="BU684">
            <v>1</v>
          </cell>
          <cell r="BV684" t="str">
            <v>N</v>
          </cell>
          <cell r="BW684">
            <v>0</v>
          </cell>
          <cell r="BX684">
            <v>0</v>
          </cell>
          <cell r="BY684">
            <v>2026</v>
          </cell>
          <cell r="BZ684" t="str">
            <v>-</v>
          </cell>
          <cell r="CA684" t="str">
            <v>-</v>
          </cell>
        </row>
        <row r="685">
          <cell r="A685" t="str">
            <v>Lucknow</v>
          </cell>
          <cell r="B685" t="str">
            <v>Vantedge</v>
          </cell>
          <cell r="C685" t="str">
            <v>Senior</v>
          </cell>
          <cell r="D685" t="str">
            <v>Mayank Saxena</v>
          </cell>
          <cell r="E685" t="str">
            <v>-</v>
          </cell>
          <cell r="F685" t="str">
            <v>Non-MSP</v>
          </cell>
          <cell r="H685" t="str">
            <v>Pass Through</v>
          </cell>
          <cell r="L685" t="str">
            <v>New</v>
          </cell>
          <cell r="M685">
            <v>46058</v>
          </cell>
          <cell r="N685">
            <v>144</v>
          </cell>
          <cell r="P685">
            <v>46423</v>
          </cell>
          <cell r="Q685" t="str">
            <v>PLC-Passthrough</v>
          </cell>
          <cell r="R685" t="str">
            <v>Sridhar A</v>
          </cell>
          <cell r="S685" t="str">
            <v>Individual</v>
          </cell>
          <cell r="T685" t="str">
            <v>FTE</v>
          </cell>
          <cell r="U685" t="str">
            <v>Digitide</v>
          </cell>
          <cell r="V685">
            <v>0</v>
          </cell>
          <cell r="W685">
            <v>0</v>
          </cell>
          <cell r="X685" t="str">
            <v>USD</v>
          </cell>
          <cell r="Y685">
            <v>3733.3333333333335</v>
          </cell>
          <cell r="Z685">
            <v>0</v>
          </cell>
          <cell r="AA685">
            <v>0</v>
          </cell>
          <cell r="AB685">
            <v>0</v>
          </cell>
          <cell r="AC685">
            <v>46068</v>
          </cell>
          <cell r="AD685">
            <v>1</v>
          </cell>
          <cell r="AE685">
            <v>46387</v>
          </cell>
          <cell r="AF685">
            <v>0</v>
          </cell>
          <cell r="AG685">
            <v>0</v>
          </cell>
          <cell r="AH685">
            <v>0</v>
          </cell>
          <cell r="AI685">
            <v>3733.3333333333335</v>
          </cell>
          <cell r="AJ685">
            <v>0</v>
          </cell>
          <cell r="AK685">
            <v>0</v>
          </cell>
          <cell r="AL685">
            <v>3733.3333333333335</v>
          </cell>
          <cell r="AM685">
            <v>0</v>
          </cell>
          <cell r="AN685">
            <v>3733.3333333333335</v>
          </cell>
          <cell r="AO685">
            <v>0</v>
          </cell>
          <cell r="AP685">
            <v>3733.3333333333335</v>
          </cell>
          <cell r="AU685">
            <v>1</v>
          </cell>
          <cell r="BB685">
            <v>3733.3333333333335</v>
          </cell>
          <cell r="BC685">
            <v>0</v>
          </cell>
          <cell r="BD685">
            <v>0</v>
          </cell>
          <cell r="BE685">
            <v>0</v>
          </cell>
          <cell r="BK685">
            <v>3733.3333333333335</v>
          </cell>
          <cell r="BL685">
            <v>0</v>
          </cell>
          <cell r="BM685">
            <v>0</v>
          </cell>
          <cell r="BN685">
            <v>0</v>
          </cell>
          <cell r="BO685">
            <v>0</v>
          </cell>
          <cell r="BP685">
            <v>0</v>
          </cell>
          <cell r="BQ685">
            <v>0</v>
          </cell>
          <cell r="BR685">
            <v>3733.3333333333335</v>
          </cell>
          <cell r="BT685">
            <v>1</v>
          </cell>
          <cell r="BU685">
            <v>1</v>
          </cell>
          <cell r="BV685" t="str">
            <v>Y</v>
          </cell>
          <cell r="BW685">
            <v>0</v>
          </cell>
          <cell r="BX685">
            <v>0</v>
          </cell>
          <cell r="BY685">
            <v>2026</v>
          </cell>
          <cell r="BZ685" t="str">
            <v>-</v>
          </cell>
          <cell r="CA685" t="str">
            <v>-</v>
          </cell>
        </row>
        <row r="686">
          <cell r="A686" t="str">
            <v>Lucknow</v>
          </cell>
          <cell r="B686" t="str">
            <v>Mavericks</v>
          </cell>
          <cell r="C686" t="str">
            <v>Mid Level</v>
          </cell>
          <cell r="D686" t="str">
            <v>Rohit Gupta</v>
          </cell>
          <cell r="E686" t="str">
            <v>-</v>
          </cell>
          <cell r="F686" t="str">
            <v>Non-MSP</v>
          </cell>
          <cell r="H686" t="str">
            <v>Rohit Gupta</v>
          </cell>
          <cell r="L686" t="str">
            <v>New</v>
          </cell>
          <cell r="M686">
            <v>46084</v>
          </cell>
          <cell r="N686">
            <v>118</v>
          </cell>
          <cell r="P686">
            <v>46449</v>
          </cell>
          <cell r="Q686" t="str">
            <v>PLC-764</v>
          </cell>
          <cell r="R686" t="str">
            <v>Srikanth Reddy Bojja</v>
          </cell>
          <cell r="S686" t="str">
            <v>Individual</v>
          </cell>
          <cell r="T686" t="str">
            <v>C2C</v>
          </cell>
          <cell r="U686" t="str">
            <v>CoForge</v>
          </cell>
          <cell r="V686">
            <v>82</v>
          </cell>
          <cell r="W686">
            <v>0</v>
          </cell>
          <cell r="X686" t="str">
            <v>USD</v>
          </cell>
          <cell r="Y686">
            <v>85</v>
          </cell>
          <cell r="Z686">
            <v>0</v>
          </cell>
          <cell r="AA686">
            <v>0</v>
          </cell>
          <cell r="AB686">
            <v>0</v>
          </cell>
          <cell r="AC686">
            <v>46096</v>
          </cell>
          <cell r="AD686">
            <v>21</v>
          </cell>
          <cell r="AE686">
            <v>46387</v>
          </cell>
          <cell r="AF686">
            <v>82</v>
          </cell>
          <cell r="AG686">
            <v>0</v>
          </cell>
          <cell r="AH686">
            <v>82</v>
          </cell>
          <cell r="AI686">
            <v>85</v>
          </cell>
          <cell r="AJ686">
            <v>0</v>
          </cell>
          <cell r="AK686">
            <v>0</v>
          </cell>
          <cell r="AL686">
            <v>3</v>
          </cell>
          <cell r="AM686">
            <v>0</v>
          </cell>
          <cell r="AN686">
            <v>3</v>
          </cell>
          <cell r="AO686">
            <v>0</v>
          </cell>
          <cell r="AP686">
            <v>3</v>
          </cell>
          <cell r="AQ686" t="str">
            <v>US_27424</v>
          </cell>
          <cell r="AR686">
            <v>0</v>
          </cell>
          <cell r="AS686">
            <v>128</v>
          </cell>
          <cell r="AU686">
            <v>128</v>
          </cell>
          <cell r="AV686">
            <v>0</v>
          </cell>
          <cell r="AW686">
            <v>384</v>
          </cell>
          <cell r="AX686">
            <v>384</v>
          </cell>
          <cell r="AY686">
            <v>0</v>
          </cell>
          <cell r="AZ686">
            <v>384</v>
          </cell>
          <cell r="BA686">
            <v>384</v>
          </cell>
          <cell r="BB686">
            <v>384</v>
          </cell>
          <cell r="BC686">
            <v>0</v>
          </cell>
          <cell r="BD686">
            <v>0</v>
          </cell>
          <cell r="BE686">
            <v>0</v>
          </cell>
          <cell r="BG686">
            <v>384</v>
          </cell>
          <cell r="BI686">
            <v>384</v>
          </cell>
          <cell r="BJ686">
            <v>10880</v>
          </cell>
          <cell r="BK686">
            <v>10880</v>
          </cell>
          <cell r="BL686">
            <v>10496</v>
          </cell>
          <cell r="BM686">
            <v>0</v>
          </cell>
          <cell r="BN686">
            <v>0</v>
          </cell>
          <cell r="BO686">
            <v>0</v>
          </cell>
          <cell r="BP686">
            <v>10496</v>
          </cell>
          <cell r="BQ686">
            <v>0</v>
          </cell>
          <cell r="BR686">
            <v>384</v>
          </cell>
          <cell r="BS686" t="str">
            <v>Y</v>
          </cell>
          <cell r="BT686">
            <v>1</v>
          </cell>
          <cell r="BU686">
            <v>1</v>
          </cell>
          <cell r="BV686" t="str">
            <v>N</v>
          </cell>
          <cell r="BW686">
            <v>0</v>
          </cell>
          <cell r="BX686">
            <v>0</v>
          </cell>
          <cell r="BY686">
            <v>2026</v>
          </cell>
          <cell r="BZ686" t="str">
            <v>-</v>
          </cell>
          <cell r="CA686" t="str">
            <v>-</v>
          </cell>
        </row>
        <row r="687">
          <cell r="A687" t="str">
            <v>Lucknow</v>
          </cell>
          <cell r="B687" t="str">
            <v>Mavericks</v>
          </cell>
          <cell r="C687" t="str">
            <v>Mid Level</v>
          </cell>
          <cell r="D687" t="str">
            <v>Rohit Gupta</v>
          </cell>
          <cell r="E687" t="str">
            <v>-</v>
          </cell>
          <cell r="F687" t="str">
            <v>Non-MSP</v>
          </cell>
          <cell r="H687" t="str">
            <v>Rohit Gupta</v>
          </cell>
          <cell r="J687" t="str">
            <v>ACH</v>
          </cell>
          <cell r="L687" t="str">
            <v>New</v>
          </cell>
          <cell r="M687">
            <v>46084</v>
          </cell>
          <cell r="N687">
            <v>118</v>
          </cell>
          <cell r="P687">
            <v>46449</v>
          </cell>
          <cell r="Q687" t="str">
            <v>PLC-764</v>
          </cell>
          <cell r="R687" t="str">
            <v>Srikanth Reddy Bojja</v>
          </cell>
          <cell r="S687" t="str">
            <v>Individual</v>
          </cell>
          <cell r="T687" t="str">
            <v>C2C</v>
          </cell>
          <cell r="U687" t="str">
            <v>CoForge</v>
          </cell>
          <cell r="V687">
            <v>82</v>
          </cell>
          <cell r="W687">
            <v>0</v>
          </cell>
          <cell r="X687" t="str">
            <v>USD</v>
          </cell>
          <cell r="Y687">
            <v>85</v>
          </cell>
          <cell r="Z687">
            <v>0</v>
          </cell>
          <cell r="AA687">
            <v>0</v>
          </cell>
          <cell r="AB687">
            <v>0</v>
          </cell>
          <cell r="AC687">
            <v>46127</v>
          </cell>
          <cell r="AD687">
            <v>22</v>
          </cell>
          <cell r="AE687">
            <v>46387</v>
          </cell>
          <cell r="AF687">
            <v>82</v>
          </cell>
          <cell r="AG687">
            <v>0</v>
          </cell>
          <cell r="AH687">
            <v>82</v>
          </cell>
          <cell r="AI687">
            <v>85</v>
          </cell>
          <cell r="AJ687">
            <v>0</v>
          </cell>
          <cell r="AK687">
            <v>0</v>
          </cell>
          <cell r="AL687">
            <v>3</v>
          </cell>
          <cell r="AM687">
            <v>0</v>
          </cell>
          <cell r="AN687">
            <v>3</v>
          </cell>
          <cell r="AO687">
            <v>0</v>
          </cell>
          <cell r="AP687">
            <v>3</v>
          </cell>
          <cell r="AQ687" t="str">
            <v>US_27655</v>
          </cell>
          <cell r="AR687">
            <v>0</v>
          </cell>
          <cell r="AS687">
            <v>168</v>
          </cell>
          <cell r="AU687">
            <v>168</v>
          </cell>
          <cell r="AV687">
            <v>0</v>
          </cell>
          <cell r="AW687">
            <v>504</v>
          </cell>
          <cell r="AX687">
            <v>498.96</v>
          </cell>
          <cell r="AY687">
            <v>0</v>
          </cell>
          <cell r="AZ687">
            <v>504</v>
          </cell>
          <cell r="BA687">
            <v>498.96</v>
          </cell>
          <cell r="BB687">
            <v>504</v>
          </cell>
          <cell r="BC687">
            <v>0</v>
          </cell>
          <cell r="BD687">
            <v>0</v>
          </cell>
          <cell r="BE687">
            <v>0</v>
          </cell>
          <cell r="BG687">
            <v>498.96</v>
          </cell>
          <cell r="BI687">
            <v>498.96</v>
          </cell>
          <cell r="BJ687">
            <v>14280</v>
          </cell>
          <cell r="BK687">
            <v>14280</v>
          </cell>
          <cell r="BL687">
            <v>13776</v>
          </cell>
          <cell r="BM687">
            <v>0</v>
          </cell>
          <cell r="BN687">
            <v>0</v>
          </cell>
          <cell r="BO687">
            <v>0</v>
          </cell>
          <cell r="BP687">
            <v>13776</v>
          </cell>
          <cell r="BQ687">
            <v>0</v>
          </cell>
          <cell r="BR687">
            <v>504</v>
          </cell>
          <cell r="BS687" t="str">
            <v>Y</v>
          </cell>
          <cell r="BT687">
            <v>2</v>
          </cell>
          <cell r="BU687">
            <v>1</v>
          </cell>
          <cell r="BV687" t="str">
            <v>N</v>
          </cell>
          <cell r="BW687">
            <v>0</v>
          </cell>
          <cell r="BX687">
            <v>0</v>
          </cell>
          <cell r="BY687">
            <v>2026</v>
          </cell>
          <cell r="BZ687" t="str">
            <v>-</v>
          </cell>
          <cell r="CA687" t="str">
            <v>-</v>
          </cell>
        </row>
        <row r="688">
          <cell r="A688" t="str">
            <v>Lucknow</v>
          </cell>
          <cell r="B688" t="str">
            <v>Mavericks</v>
          </cell>
          <cell r="C688" t="str">
            <v>Mid Level</v>
          </cell>
          <cell r="D688" t="str">
            <v>Rohit Gupta</v>
          </cell>
          <cell r="E688" t="str">
            <v>-</v>
          </cell>
          <cell r="F688" t="str">
            <v>Non-MSP</v>
          </cell>
          <cell r="H688" t="str">
            <v>Rohit Gupta</v>
          </cell>
          <cell r="J688" t="str">
            <v>ACH</v>
          </cell>
          <cell r="L688" t="str">
            <v>New</v>
          </cell>
          <cell r="M688">
            <v>46084</v>
          </cell>
          <cell r="N688">
            <v>118</v>
          </cell>
          <cell r="P688">
            <v>46449</v>
          </cell>
          <cell r="Q688" t="str">
            <v>PLC-764</v>
          </cell>
          <cell r="R688" t="str">
            <v>Srikanth Reddy Bojja</v>
          </cell>
          <cell r="S688" t="str">
            <v>Individual</v>
          </cell>
          <cell r="T688" t="str">
            <v>C2C</v>
          </cell>
          <cell r="U688" t="str">
            <v>CoForge</v>
          </cell>
          <cell r="V688">
            <v>82</v>
          </cell>
          <cell r="W688">
            <v>0</v>
          </cell>
          <cell r="X688" t="str">
            <v>USD</v>
          </cell>
          <cell r="Y688">
            <v>85</v>
          </cell>
          <cell r="Z688">
            <v>0</v>
          </cell>
          <cell r="AA688">
            <v>0</v>
          </cell>
          <cell r="AB688">
            <v>0</v>
          </cell>
          <cell r="AC688">
            <v>46157</v>
          </cell>
          <cell r="AD688">
            <v>22</v>
          </cell>
          <cell r="AE688">
            <v>46387</v>
          </cell>
          <cell r="AF688">
            <v>82</v>
          </cell>
          <cell r="AG688">
            <v>0</v>
          </cell>
          <cell r="AH688">
            <v>82</v>
          </cell>
          <cell r="AI688">
            <v>85</v>
          </cell>
          <cell r="AJ688">
            <v>0</v>
          </cell>
          <cell r="AK688">
            <v>0</v>
          </cell>
          <cell r="AL688">
            <v>3</v>
          </cell>
          <cell r="AM688">
            <v>0</v>
          </cell>
          <cell r="AN688">
            <v>3</v>
          </cell>
          <cell r="AO688">
            <v>0</v>
          </cell>
          <cell r="AP688">
            <v>3</v>
          </cell>
          <cell r="AQ688" t="str">
            <v>US_27935</v>
          </cell>
          <cell r="AR688">
            <v>0</v>
          </cell>
          <cell r="AS688">
            <v>160</v>
          </cell>
          <cell r="AU688">
            <v>160</v>
          </cell>
          <cell r="AV688">
            <v>0</v>
          </cell>
          <cell r="AW688">
            <v>480</v>
          </cell>
          <cell r="AX688">
            <v>475.2</v>
          </cell>
          <cell r="AY688">
            <v>0</v>
          </cell>
          <cell r="AZ688">
            <v>480</v>
          </cell>
          <cell r="BA688">
            <v>475.2</v>
          </cell>
          <cell r="BB688">
            <v>480</v>
          </cell>
          <cell r="BC688">
            <v>0</v>
          </cell>
          <cell r="BD688">
            <v>0</v>
          </cell>
          <cell r="BE688">
            <v>0</v>
          </cell>
          <cell r="BG688">
            <v>475.2</v>
          </cell>
          <cell r="BI688">
            <v>475.2</v>
          </cell>
          <cell r="BJ688">
            <v>13600</v>
          </cell>
          <cell r="BK688">
            <v>13600</v>
          </cell>
          <cell r="BL688">
            <v>13120</v>
          </cell>
          <cell r="BM688">
            <v>0</v>
          </cell>
          <cell r="BN688">
            <v>0</v>
          </cell>
          <cell r="BO688">
            <v>0</v>
          </cell>
          <cell r="BP688">
            <v>13120</v>
          </cell>
          <cell r="BQ688">
            <v>0</v>
          </cell>
          <cell r="BR688">
            <v>480</v>
          </cell>
          <cell r="BT688">
            <v>2</v>
          </cell>
          <cell r="BU688">
            <v>1</v>
          </cell>
          <cell r="BV688" t="str">
            <v>N</v>
          </cell>
          <cell r="BW688">
            <v>0</v>
          </cell>
          <cell r="BX688">
            <v>0</v>
          </cell>
          <cell r="BY688">
            <v>2026</v>
          </cell>
          <cell r="BZ688" t="str">
            <v>-</v>
          </cell>
          <cell r="CA688" t="str">
            <v>-</v>
          </cell>
        </row>
        <row r="689">
          <cell r="A689" t="str">
            <v>Lucknow</v>
          </cell>
          <cell r="B689" t="str">
            <v>Mavericks</v>
          </cell>
          <cell r="C689" t="str">
            <v>Mid Level</v>
          </cell>
          <cell r="D689" t="str">
            <v>Mohammad Fakhrul</v>
          </cell>
          <cell r="E689" t="str">
            <v>-</v>
          </cell>
          <cell r="F689" t="str">
            <v>MSP</v>
          </cell>
          <cell r="H689" t="str">
            <v>Pass Through/MSP</v>
          </cell>
          <cell r="L689" t="str">
            <v>New</v>
          </cell>
          <cell r="M689">
            <v>46090</v>
          </cell>
          <cell r="N689">
            <v>112</v>
          </cell>
          <cell r="P689">
            <v>46455</v>
          </cell>
          <cell r="Q689" t="str">
            <v>PLC-Passthrough</v>
          </cell>
          <cell r="R689" t="str">
            <v>Srilekha Potla</v>
          </cell>
          <cell r="S689" t="str">
            <v>Individual</v>
          </cell>
          <cell r="T689" t="str">
            <v>C2C</v>
          </cell>
          <cell r="U689" t="str">
            <v>CoForge</v>
          </cell>
          <cell r="V689">
            <v>76</v>
          </cell>
          <cell r="W689">
            <v>0</v>
          </cell>
          <cell r="X689" t="str">
            <v>USD</v>
          </cell>
          <cell r="Y689">
            <v>77</v>
          </cell>
          <cell r="Z689">
            <v>0</v>
          </cell>
          <cell r="AA689">
            <v>0</v>
          </cell>
          <cell r="AB689">
            <v>0</v>
          </cell>
          <cell r="AC689">
            <v>46096</v>
          </cell>
          <cell r="AD689">
            <v>17</v>
          </cell>
          <cell r="AE689">
            <v>46387</v>
          </cell>
          <cell r="AF689">
            <v>76</v>
          </cell>
          <cell r="AG689">
            <v>0</v>
          </cell>
          <cell r="AH689">
            <v>76</v>
          </cell>
          <cell r="AI689">
            <v>77</v>
          </cell>
          <cell r="AJ689">
            <v>0</v>
          </cell>
          <cell r="AK689">
            <v>0</v>
          </cell>
          <cell r="AL689">
            <v>1</v>
          </cell>
          <cell r="AM689">
            <v>0</v>
          </cell>
          <cell r="AN689">
            <v>1</v>
          </cell>
          <cell r="AO689">
            <v>0</v>
          </cell>
          <cell r="AP689">
            <v>1</v>
          </cell>
          <cell r="AQ689" t="str">
            <v>US_CMSP_00567</v>
          </cell>
          <cell r="AR689">
            <v>0</v>
          </cell>
          <cell r="AS689">
            <v>96</v>
          </cell>
          <cell r="AU689">
            <v>96</v>
          </cell>
          <cell r="AV689">
            <v>0</v>
          </cell>
          <cell r="AW689">
            <v>96</v>
          </cell>
          <cell r="AX689">
            <v>96</v>
          </cell>
          <cell r="AY689">
            <v>0</v>
          </cell>
          <cell r="AZ689">
            <v>96</v>
          </cell>
          <cell r="BA689">
            <v>96</v>
          </cell>
          <cell r="BB689">
            <v>96</v>
          </cell>
          <cell r="BC689">
            <v>0</v>
          </cell>
          <cell r="BD689">
            <v>0</v>
          </cell>
          <cell r="BE689">
            <v>0</v>
          </cell>
          <cell r="BG689">
            <v>96</v>
          </cell>
          <cell r="BI689">
            <v>96</v>
          </cell>
          <cell r="BJ689">
            <v>7392</v>
          </cell>
          <cell r="BK689">
            <v>7392</v>
          </cell>
          <cell r="BL689">
            <v>7296</v>
          </cell>
          <cell r="BM689">
            <v>0</v>
          </cell>
          <cell r="BN689">
            <v>0</v>
          </cell>
          <cell r="BO689">
            <v>0</v>
          </cell>
          <cell r="BP689">
            <v>7296</v>
          </cell>
          <cell r="BQ689">
            <v>0</v>
          </cell>
          <cell r="BR689">
            <v>96</v>
          </cell>
          <cell r="BT689">
            <v>1</v>
          </cell>
          <cell r="BU689">
            <v>1</v>
          </cell>
          <cell r="BV689" t="str">
            <v>N</v>
          </cell>
          <cell r="BW689">
            <v>0</v>
          </cell>
          <cell r="BX689">
            <v>0</v>
          </cell>
          <cell r="BY689">
            <v>2026</v>
          </cell>
          <cell r="BZ689" t="str">
            <v>-</v>
          </cell>
          <cell r="CA689" t="str">
            <v>-</v>
          </cell>
        </row>
        <row r="690">
          <cell r="A690" t="str">
            <v>Lucknow</v>
          </cell>
          <cell r="B690" t="str">
            <v>Mavericks</v>
          </cell>
          <cell r="C690" t="str">
            <v>Mid Level</v>
          </cell>
          <cell r="D690" t="str">
            <v>Mohammad Fakhrul</v>
          </cell>
          <cell r="E690" t="str">
            <v>-</v>
          </cell>
          <cell r="F690" t="str">
            <v>MSP</v>
          </cell>
          <cell r="H690" t="str">
            <v>Pass Through/MSP</v>
          </cell>
          <cell r="J690" t="str">
            <v>ACH</v>
          </cell>
          <cell r="L690" t="str">
            <v>New</v>
          </cell>
          <cell r="M690">
            <v>46090</v>
          </cell>
          <cell r="N690">
            <v>112</v>
          </cell>
          <cell r="P690">
            <v>46455</v>
          </cell>
          <cell r="Q690" t="str">
            <v>PLC-Passthrough</v>
          </cell>
          <cell r="R690" t="str">
            <v>Srilekha Potla</v>
          </cell>
          <cell r="S690" t="str">
            <v>Individual</v>
          </cell>
          <cell r="T690" t="str">
            <v>C2C</v>
          </cell>
          <cell r="U690" t="str">
            <v>CoForge</v>
          </cell>
          <cell r="V690">
            <v>76</v>
          </cell>
          <cell r="W690">
            <v>0</v>
          </cell>
          <cell r="X690" t="str">
            <v>USD</v>
          </cell>
          <cell r="Y690">
            <v>77</v>
          </cell>
          <cell r="Z690">
            <v>0</v>
          </cell>
          <cell r="AA690">
            <v>0</v>
          </cell>
          <cell r="AB690">
            <v>0</v>
          </cell>
          <cell r="AC690">
            <v>46127</v>
          </cell>
          <cell r="AD690">
            <v>22</v>
          </cell>
          <cell r="AE690">
            <v>46387</v>
          </cell>
          <cell r="AF690">
            <v>76</v>
          </cell>
          <cell r="AG690">
            <v>0</v>
          </cell>
          <cell r="AH690">
            <v>76</v>
          </cell>
          <cell r="AI690">
            <v>77</v>
          </cell>
          <cell r="AJ690">
            <v>0</v>
          </cell>
          <cell r="AK690">
            <v>0</v>
          </cell>
          <cell r="AL690">
            <v>1</v>
          </cell>
          <cell r="AM690">
            <v>0</v>
          </cell>
          <cell r="AN690">
            <v>1</v>
          </cell>
          <cell r="AO690">
            <v>0</v>
          </cell>
          <cell r="AP690">
            <v>1</v>
          </cell>
          <cell r="AQ690" t="str">
            <v>US_CMSP_00708</v>
          </cell>
          <cell r="AR690">
            <v>0</v>
          </cell>
          <cell r="AS690">
            <v>176</v>
          </cell>
          <cell r="AU690">
            <v>176</v>
          </cell>
          <cell r="AV690">
            <v>0</v>
          </cell>
          <cell r="AW690">
            <v>176</v>
          </cell>
          <cell r="AX690">
            <v>174.24</v>
          </cell>
          <cell r="AY690">
            <v>0</v>
          </cell>
          <cell r="AZ690">
            <v>176</v>
          </cell>
          <cell r="BA690">
            <v>174.24</v>
          </cell>
          <cell r="BB690">
            <v>176</v>
          </cell>
          <cell r="BC690">
            <v>0</v>
          </cell>
          <cell r="BD690">
            <v>0</v>
          </cell>
          <cell r="BE690">
            <v>0</v>
          </cell>
          <cell r="BG690">
            <v>174.24</v>
          </cell>
          <cell r="BI690">
            <v>174.24</v>
          </cell>
          <cell r="BJ690">
            <v>13552</v>
          </cell>
          <cell r="BK690">
            <v>13552</v>
          </cell>
          <cell r="BL690">
            <v>13376</v>
          </cell>
          <cell r="BM690">
            <v>0</v>
          </cell>
          <cell r="BN690">
            <v>0</v>
          </cell>
          <cell r="BO690">
            <v>0</v>
          </cell>
          <cell r="BP690">
            <v>13376</v>
          </cell>
          <cell r="BQ690">
            <v>0</v>
          </cell>
          <cell r="BR690">
            <v>176</v>
          </cell>
          <cell r="BT690">
            <v>2</v>
          </cell>
          <cell r="BU690">
            <v>1</v>
          </cell>
          <cell r="BV690" t="str">
            <v>N</v>
          </cell>
          <cell r="BW690">
            <v>0</v>
          </cell>
          <cell r="BX690">
            <v>0</v>
          </cell>
          <cell r="BY690">
            <v>2026</v>
          </cell>
          <cell r="BZ690" t="str">
            <v>-</v>
          </cell>
          <cell r="CA690" t="str">
            <v>-</v>
          </cell>
        </row>
        <row r="691">
          <cell r="A691" t="str">
            <v>Lucknow</v>
          </cell>
          <cell r="B691" t="str">
            <v>Mavericks</v>
          </cell>
          <cell r="C691" t="str">
            <v>Mid Level</v>
          </cell>
          <cell r="D691" t="str">
            <v>Mohammad Fakhrul</v>
          </cell>
          <cell r="E691" t="str">
            <v>-</v>
          </cell>
          <cell r="F691" t="str">
            <v>MSP</v>
          </cell>
          <cell r="H691" t="str">
            <v>Pass Through/MSP</v>
          </cell>
          <cell r="J691" t="str">
            <v>ACH</v>
          </cell>
          <cell r="L691" t="str">
            <v>New</v>
          </cell>
          <cell r="M691">
            <v>46090</v>
          </cell>
          <cell r="N691">
            <v>112</v>
          </cell>
          <cell r="P691">
            <v>46455</v>
          </cell>
          <cell r="Q691" t="str">
            <v>PLC-Passthrough</v>
          </cell>
          <cell r="R691" t="str">
            <v>Srilekha Potla</v>
          </cell>
          <cell r="S691" t="str">
            <v>Individual</v>
          </cell>
          <cell r="T691" t="str">
            <v>C2C</v>
          </cell>
          <cell r="U691" t="str">
            <v>CoForge</v>
          </cell>
          <cell r="V691">
            <v>76</v>
          </cell>
          <cell r="W691">
            <v>0</v>
          </cell>
          <cell r="X691" t="str">
            <v>USD</v>
          </cell>
          <cell r="Y691">
            <v>77</v>
          </cell>
          <cell r="Z691">
            <v>0</v>
          </cell>
          <cell r="AA691">
            <v>0</v>
          </cell>
          <cell r="AB691">
            <v>0</v>
          </cell>
          <cell r="AC691">
            <v>46157</v>
          </cell>
          <cell r="AD691">
            <v>22</v>
          </cell>
          <cell r="AE691">
            <v>46387</v>
          </cell>
          <cell r="AF691">
            <v>76</v>
          </cell>
          <cell r="AG691">
            <v>0</v>
          </cell>
          <cell r="AH691">
            <v>76</v>
          </cell>
          <cell r="AI691">
            <v>77</v>
          </cell>
          <cell r="AJ691">
            <v>0</v>
          </cell>
          <cell r="AK691">
            <v>0</v>
          </cell>
          <cell r="AL691">
            <v>1</v>
          </cell>
          <cell r="AM691">
            <v>0</v>
          </cell>
          <cell r="AN691">
            <v>1</v>
          </cell>
          <cell r="AO691">
            <v>0</v>
          </cell>
          <cell r="AP691">
            <v>1</v>
          </cell>
          <cell r="AQ691" t="str">
            <v>US_CMSP_00761</v>
          </cell>
          <cell r="AR691">
            <v>0</v>
          </cell>
          <cell r="AS691">
            <v>160</v>
          </cell>
          <cell r="AU691">
            <v>160</v>
          </cell>
          <cell r="AV691">
            <v>0</v>
          </cell>
          <cell r="AW691">
            <v>160</v>
          </cell>
          <cell r="AX691">
            <v>158.4</v>
          </cell>
          <cell r="AY691">
            <v>0</v>
          </cell>
          <cell r="AZ691">
            <v>160</v>
          </cell>
          <cell r="BA691">
            <v>158.4</v>
          </cell>
          <cell r="BB691">
            <v>160</v>
          </cell>
          <cell r="BC691">
            <v>0</v>
          </cell>
          <cell r="BD691">
            <v>0</v>
          </cell>
          <cell r="BE691">
            <v>0</v>
          </cell>
          <cell r="BG691">
            <v>158.4</v>
          </cell>
          <cell r="BI691">
            <v>158.4</v>
          </cell>
          <cell r="BJ691">
            <v>12320</v>
          </cell>
          <cell r="BK691">
            <v>12320</v>
          </cell>
          <cell r="BL691">
            <v>12160</v>
          </cell>
          <cell r="BM691">
            <v>0</v>
          </cell>
          <cell r="BN691">
            <v>0</v>
          </cell>
          <cell r="BO691">
            <v>0</v>
          </cell>
          <cell r="BP691">
            <v>12160</v>
          </cell>
          <cell r="BQ691">
            <v>0</v>
          </cell>
          <cell r="BR691">
            <v>160</v>
          </cell>
          <cell r="BT691">
            <v>2</v>
          </cell>
          <cell r="BU691">
            <v>1</v>
          </cell>
          <cell r="BV691" t="str">
            <v>N</v>
          </cell>
          <cell r="BW691">
            <v>0</v>
          </cell>
          <cell r="BX691">
            <v>0</v>
          </cell>
          <cell r="BY691">
            <v>2026</v>
          </cell>
          <cell r="BZ691" t="str">
            <v>-</v>
          </cell>
          <cell r="CA691" t="str">
            <v>-</v>
          </cell>
        </row>
        <row r="692">
          <cell r="A692" t="str">
            <v>Lucknow</v>
          </cell>
          <cell r="B692" t="str">
            <v>Mavericks</v>
          </cell>
          <cell r="C692" t="str">
            <v>Mid Level</v>
          </cell>
          <cell r="D692" t="str">
            <v>Mohammad Fakhrul</v>
          </cell>
          <cell r="E692" t="str">
            <v>-</v>
          </cell>
          <cell r="F692" t="str">
            <v>MSP</v>
          </cell>
          <cell r="H692" t="str">
            <v>Pass Through/MSP</v>
          </cell>
          <cell r="L692" t="str">
            <v>New</v>
          </cell>
          <cell r="M692">
            <v>46023</v>
          </cell>
          <cell r="N692">
            <v>179</v>
          </cell>
          <cell r="O692">
            <v>46081</v>
          </cell>
          <cell r="P692">
            <v>46388</v>
          </cell>
          <cell r="Q692" t="str">
            <v>PLC-Passthrough</v>
          </cell>
          <cell r="R692" t="str">
            <v>Srinivas Rao Bayana</v>
          </cell>
          <cell r="S692" t="str">
            <v>Individual</v>
          </cell>
          <cell r="T692" t="str">
            <v>C2c</v>
          </cell>
          <cell r="U692" t="str">
            <v>Cigniti</v>
          </cell>
          <cell r="V692">
            <v>63</v>
          </cell>
          <cell r="W692">
            <v>0</v>
          </cell>
          <cell r="X692" t="str">
            <v>USD</v>
          </cell>
          <cell r="Y692">
            <v>63</v>
          </cell>
          <cell r="Z692">
            <v>0</v>
          </cell>
          <cell r="AA692">
            <v>0</v>
          </cell>
          <cell r="AB692">
            <v>0</v>
          </cell>
          <cell r="AC692">
            <v>46037</v>
          </cell>
          <cell r="AD692">
            <v>21</v>
          </cell>
          <cell r="AE692">
            <v>46387</v>
          </cell>
          <cell r="AF692">
            <v>63</v>
          </cell>
          <cell r="AG692">
            <v>0</v>
          </cell>
          <cell r="AH692">
            <v>63</v>
          </cell>
          <cell r="AI692">
            <v>63</v>
          </cell>
          <cell r="AJ692">
            <v>0</v>
          </cell>
          <cell r="AK692">
            <v>0</v>
          </cell>
          <cell r="AL692">
            <v>0</v>
          </cell>
          <cell r="AM692">
            <v>0</v>
          </cell>
          <cell r="AN692">
            <v>0</v>
          </cell>
          <cell r="AO692">
            <v>0</v>
          </cell>
          <cell r="AP692">
            <v>0</v>
          </cell>
          <cell r="AQ692" t="str">
            <v>US_CMSP_00321</v>
          </cell>
          <cell r="AR692">
            <v>0</v>
          </cell>
          <cell r="AS692">
            <v>216</v>
          </cell>
          <cell r="AU692">
            <v>216</v>
          </cell>
          <cell r="AV692">
            <v>0</v>
          </cell>
          <cell r="AW692">
            <v>0</v>
          </cell>
          <cell r="AX692">
            <v>0</v>
          </cell>
          <cell r="AY692">
            <v>0</v>
          </cell>
          <cell r="AZ692">
            <v>0</v>
          </cell>
          <cell r="BA692">
            <v>0</v>
          </cell>
          <cell r="BB692">
            <v>0</v>
          </cell>
          <cell r="BC692">
            <v>0</v>
          </cell>
          <cell r="BD692">
            <v>0</v>
          </cell>
          <cell r="BE692">
            <v>0</v>
          </cell>
          <cell r="BG692">
            <v>0</v>
          </cell>
          <cell r="BI692">
            <v>0</v>
          </cell>
          <cell r="BJ692">
            <v>13608</v>
          </cell>
          <cell r="BK692">
            <v>13608</v>
          </cell>
          <cell r="BL692">
            <v>13608</v>
          </cell>
          <cell r="BM692">
            <v>0</v>
          </cell>
          <cell r="BN692">
            <v>0</v>
          </cell>
          <cell r="BO692">
            <v>0</v>
          </cell>
          <cell r="BP692">
            <v>13608</v>
          </cell>
          <cell r="BQ692">
            <v>0</v>
          </cell>
          <cell r="BR692">
            <v>0</v>
          </cell>
          <cell r="BS692" t="str">
            <v>Y</v>
          </cell>
          <cell r="BT692">
            <v>1</v>
          </cell>
          <cell r="BU692">
            <v>1</v>
          </cell>
          <cell r="BV692" t="str">
            <v>N</v>
          </cell>
          <cell r="BW692">
            <v>0</v>
          </cell>
          <cell r="BX692">
            <v>0</v>
          </cell>
          <cell r="BY692">
            <v>2026</v>
          </cell>
          <cell r="BZ692" t="str">
            <v>-</v>
          </cell>
          <cell r="CA692" t="str">
            <v>-</v>
          </cell>
        </row>
        <row r="693">
          <cell r="A693" t="str">
            <v>Lucknow</v>
          </cell>
          <cell r="B693" t="str">
            <v>Mavericks</v>
          </cell>
          <cell r="C693" t="str">
            <v>Mid Level</v>
          </cell>
          <cell r="D693" t="str">
            <v>Mohammad Fakhrul</v>
          </cell>
          <cell r="E693" t="str">
            <v>-</v>
          </cell>
          <cell r="F693" t="str">
            <v>MSP</v>
          </cell>
          <cell r="H693" t="str">
            <v>Pass Through/MSP</v>
          </cell>
          <cell r="L693" t="str">
            <v>New</v>
          </cell>
          <cell r="M693">
            <v>46023</v>
          </cell>
          <cell r="N693">
            <v>179</v>
          </cell>
          <cell r="O693">
            <v>46081</v>
          </cell>
          <cell r="P693">
            <v>46388</v>
          </cell>
          <cell r="Q693" t="str">
            <v>PLC-Passthrough</v>
          </cell>
          <cell r="R693" t="str">
            <v>Srinivas Rao Bayana</v>
          </cell>
          <cell r="S693" t="str">
            <v>Individual</v>
          </cell>
          <cell r="T693" t="str">
            <v>C2c</v>
          </cell>
          <cell r="U693" t="str">
            <v>Cigniti</v>
          </cell>
          <cell r="V693">
            <v>63</v>
          </cell>
          <cell r="W693">
            <v>0</v>
          </cell>
          <cell r="X693" t="str">
            <v>USD</v>
          </cell>
          <cell r="Y693">
            <v>63</v>
          </cell>
          <cell r="Z693">
            <v>0</v>
          </cell>
          <cell r="AA693">
            <v>0</v>
          </cell>
          <cell r="AB693">
            <v>0</v>
          </cell>
          <cell r="AC693">
            <v>46068</v>
          </cell>
          <cell r="AD693">
            <v>19</v>
          </cell>
          <cell r="AE693">
            <v>46387</v>
          </cell>
          <cell r="AF693">
            <v>63</v>
          </cell>
          <cell r="AG693">
            <v>0</v>
          </cell>
          <cell r="AH693">
            <v>63</v>
          </cell>
          <cell r="AI693">
            <v>63</v>
          </cell>
          <cell r="AJ693">
            <v>0</v>
          </cell>
          <cell r="AK693">
            <v>0</v>
          </cell>
          <cell r="AL693">
            <v>0</v>
          </cell>
          <cell r="AM693">
            <v>0</v>
          </cell>
          <cell r="AN693">
            <v>0</v>
          </cell>
          <cell r="AO693">
            <v>0</v>
          </cell>
          <cell r="AP693">
            <v>0</v>
          </cell>
          <cell r="AQ693" t="str">
            <v>US_CMSP_00434</v>
          </cell>
          <cell r="AR693">
            <v>0</v>
          </cell>
          <cell r="AS693">
            <v>160</v>
          </cell>
          <cell r="AU693">
            <v>160</v>
          </cell>
          <cell r="AV693">
            <v>0</v>
          </cell>
          <cell r="AW693">
            <v>0</v>
          </cell>
          <cell r="AX693">
            <v>0</v>
          </cell>
          <cell r="AY693">
            <v>0</v>
          </cell>
          <cell r="AZ693">
            <v>0</v>
          </cell>
          <cell r="BA693">
            <v>0</v>
          </cell>
          <cell r="BB693">
            <v>0</v>
          </cell>
          <cell r="BC693">
            <v>0</v>
          </cell>
          <cell r="BD693">
            <v>0</v>
          </cell>
          <cell r="BE693">
            <v>0</v>
          </cell>
          <cell r="BG693">
            <v>0</v>
          </cell>
          <cell r="BI693">
            <v>0</v>
          </cell>
          <cell r="BJ693">
            <v>10080</v>
          </cell>
          <cell r="BK693">
            <v>10080</v>
          </cell>
          <cell r="BL693">
            <v>10080</v>
          </cell>
          <cell r="BM693">
            <v>0</v>
          </cell>
          <cell r="BN693">
            <v>0</v>
          </cell>
          <cell r="BO693">
            <v>0</v>
          </cell>
          <cell r="BP693">
            <v>10080</v>
          </cell>
          <cell r="BQ693">
            <v>0</v>
          </cell>
          <cell r="BR693">
            <v>0</v>
          </cell>
          <cell r="BS693" t="str">
            <v>Y</v>
          </cell>
          <cell r="BT693">
            <v>1</v>
          </cell>
          <cell r="BU693">
            <v>1</v>
          </cell>
          <cell r="BV693" t="str">
            <v>N</v>
          </cell>
          <cell r="BW693">
            <v>0</v>
          </cell>
          <cell r="BX693">
            <v>0</v>
          </cell>
          <cell r="BY693">
            <v>2026</v>
          </cell>
          <cell r="BZ693" t="str">
            <v>-</v>
          </cell>
          <cell r="CA693" t="str">
            <v>-</v>
          </cell>
        </row>
        <row r="694">
          <cell r="A694" t="str">
            <v>Lucknow</v>
          </cell>
          <cell r="B694" t="str">
            <v>Mavericks</v>
          </cell>
          <cell r="C694" t="str">
            <v>Mid Level</v>
          </cell>
          <cell r="D694" t="str">
            <v>Mohammad Fakhrul</v>
          </cell>
          <cell r="E694" t="str">
            <v>-</v>
          </cell>
          <cell r="F694" t="str">
            <v>MSP</v>
          </cell>
          <cell r="H694" t="str">
            <v>Pass Through/MSP</v>
          </cell>
          <cell r="L694" t="str">
            <v>New</v>
          </cell>
          <cell r="M694">
            <v>46112</v>
          </cell>
          <cell r="N694">
            <v>90</v>
          </cell>
          <cell r="P694">
            <v>46477</v>
          </cell>
          <cell r="Q694" t="str">
            <v>PLC-Passthrough</v>
          </cell>
          <cell r="R694" t="str">
            <v>Srinivasa Rao Upputuri</v>
          </cell>
          <cell r="S694" t="str">
            <v>Individual</v>
          </cell>
          <cell r="T694" t="str">
            <v>C2C</v>
          </cell>
          <cell r="U694" t="str">
            <v>CoForge</v>
          </cell>
          <cell r="V694">
            <v>79</v>
          </cell>
          <cell r="W694">
            <v>0</v>
          </cell>
          <cell r="X694" t="str">
            <v>USD</v>
          </cell>
          <cell r="Y694">
            <v>80</v>
          </cell>
          <cell r="Z694">
            <v>0</v>
          </cell>
          <cell r="AA694">
            <v>0</v>
          </cell>
          <cell r="AB694">
            <v>0</v>
          </cell>
          <cell r="AC694">
            <v>46096</v>
          </cell>
          <cell r="AD694">
            <v>1</v>
          </cell>
          <cell r="AE694">
            <v>46387</v>
          </cell>
          <cell r="AF694">
            <v>79</v>
          </cell>
          <cell r="AG694">
            <v>0</v>
          </cell>
          <cell r="AH694">
            <v>79</v>
          </cell>
          <cell r="AI694">
            <v>80</v>
          </cell>
          <cell r="AJ694">
            <v>0</v>
          </cell>
          <cell r="AK694">
            <v>0</v>
          </cell>
          <cell r="AL694">
            <v>1</v>
          </cell>
          <cell r="AM694">
            <v>0</v>
          </cell>
          <cell r="AN694">
            <v>1</v>
          </cell>
          <cell r="AO694">
            <v>0</v>
          </cell>
          <cell r="AP694">
            <v>1</v>
          </cell>
          <cell r="AQ694" t="str">
            <v>US_CMSP_00574</v>
          </cell>
          <cell r="AR694">
            <v>0</v>
          </cell>
          <cell r="AS694">
            <v>8</v>
          </cell>
          <cell r="AU694">
            <v>8</v>
          </cell>
          <cell r="AV694">
            <v>0</v>
          </cell>
          <cell r="AW694">
            <v>8</v>
          </cell>
          <cell r="AX694">
            <v>8</v>
          </cell>
          <cell r="AY694">
            <v>0</v>
          </cell>
          <cell r="AZ694">
            <v>8</v>
          </cell>
          <cell r="BA694">
            <v>8</v>
          </cell>
          <cell r="BB694">
            <v>8</v>
          </cell>
          <cell r="BC694">
            <v>0</v>
          </cell>
          <cell r="BD694">
            <v>0</v>
          </cell>
          <cell r="BE694">
            <v>0</v>
          </cell>
          <cell r="BG694">
            <v>8</v>
          </cell>
          <cell r="BI694">
            <v>0</v>
          </cell>
          <cell r="BJ694">
            <v>640</v>
          </cell>
          <cell r="BK694">
            <v>640</v>
          </cell>
          <cell r="BL694">
            <v>632</v>
          </cell>
          <cell r="BM694">
            <v>0</v>
          </cell>
          <cell r="BN694">
            <v>0</v>
          </cell>
          <cell r="BO694">
            <v>0</v>
          </cell>
          <cell r="BP694">
            <v>632</v>
          </cell>
          <cell r="BQ694">
            <v>0</v>
          </cell>
          <cell r="BR694">
            <v>8</v>
          </cell>
          <cell r="BS694" t="str">
            <v>Y</v>
          </cell>
          <cell r="BT694">
            <v>1</v>
          </cell>
          <cell r="BU694">
            <v>1</v>
          </cell>
          <cell r="BV694" t="str">
            <v>N</v>
          </cell>
          <cell r="BW694">
            <v>0</v>
          </cell>
          <cell r="BX694">
            <v>0</v>
          </cell>
          <cell r="BY694">
            <v>2026</v>
          </cell>
          <cell r="BZ694" t="str">
            <v>-</v>
          </cell>
          <cell r="CA694" t="str">
            <v>-</v>
          </cell>
        </row>
        <row r="695">
          <cell r="A695" t="str">
            <v>Lucknow</v>
          </cell>
          <cell r="B695" t="str">
            <v>Mavericks</v>
          </cell>
          <cell r="C695" t="str">
            <v>Mid Level</v>
          </cell>
          <cell r="D695" t="str">
            <v>Mohammad Fakhrul</v>
          </cell>
          <cell r="E695" t="str">
            <v>-</v>
          </cell>
          <cell r="F695" t="str">
            <v>MSP</v>
          </cell>
          <cell r="H695" t="str">
            <v>Pass Through/MSP</v>
          </cell>
          <cell r="J695" t="str">
            <v>ACH</v>
          </cell>
          <cell r="L695" t="str">
            <v>New</v>
          </cell>
          <cell r="M695">
            <v>46112</v>
          </cell>
          <cell r="N695">
            <v>90</v>
          </cell>
          <cell r="P695">
            <v>46477</v>
          </cell>
          <cell r="Q695" t="str">
            <v>PLC-Passthrough</v>
          </cell>
          <cell r="R695" t="str">
            <v>Srinivasa Rao Upputuri</v>
          </cell>
          <cell r="S695" t="str">
            <v>Individual</v>
          </cell>
          <cell r="T695" t="str">
            <v>C2C</v>
          </cell>
          <cell r="U695" t="str">
            <v>CoForge</v>
          </cell>
          <cell r="V695">
            <v>79</v>
          </cell>
          <cell r="W695">
            <v>0</v>
          </cell>
          <cell r="X695" t="str">
            <v>USD</v>
          </cell>
          <cell r="Y695">
            <v>80</v>
          </cell>
          <cell r="Z695">
            <v>0</v>
          </cell>
          <cell r="AA695">
            <v>0</v>
          </cell>
          <cell r="AB695">
            <v>0</v>
          </cell>
          <cell r="AC695">
            <v>46127</v>
          </cell>
          <cell r="AD695">
            <v>22</v>
          </cell>
          <cell r="AE695">
            <v>46387</v>
          </cell>
          <cell r="AF695">
            <v>79</v>
          </cell>
          <cell r="AG695">
            <v>0</v>
          </cell>
          <cell r="AH695">
            <v>79</v>
          </cell>
          <cell r="AI695">
            <v>80</v>
          </cell>
          <cell r="AJ695">
            <v>0</v>
          </cell>
          <cell r="AK695">
            <v>0</v>
          </cell>
          <cell r="AL695">
            <v>1</v>
          </cell>
          <cell r="AM695">
            <v>0</v>
          </cell>
          <cell r="AN695">
            <v>1</v>
          </cell>
          <cell r="AO695">
            <v>0</v>
          </cell>
          <cell r="AP695">
            <v>1</v>
          </cell>
          <cell r="AQ695" t="str">
            <v>US_CMSP_00715</v>
          </cell>
          <cell r="AR695">
            <v>0</v>
          </cell>
          <cell r="AS695">
            <v>168</v>
          </cell>
          <cell r="AU695">
            <v>168</v>
          </cell>
          <cell r="AV695">
            <v>0</v>
          </cell>
          <cell r="AW695">
            <v>168</v>
          </cell>
          <cell r="AX695">
            <v>166.32</v>
          </cell>
          <cell r="AY695">
            <v>0</v>
          </cell>
          <cell r="AZ695">
            <v>168</v>
          </cell>
          <cell r="BA695">
            <v>166.32</v>
          </cell>
          <cell r="BB695">
            <v>168</v>
          </cell>
          <cell r="BC695">
            <v>0</v>
          </cell>
          <cell r="BD695">
            <v>0</v>
          </cell>
          <cell r="BE695">
            <v>0</v>
          </cell>
          <cell r="BG695">
            <v>166.32</v>
          </cell>
          <cell r="BI695">
            <v>0</v>
          </cell>
          <cell r="BJ695">
            <v>13440</v>
          </cell>
          <cell r="BK695">
            <v>13440</v>
          </cell>
          <cell r="BL695">
            <v>13272</v>
          </cell>
          <cell r="BM695">
            <v>0</v>
          </cell>
          <cell r="BN695">
            <v>0</v>
          </cell>
          <cell r="BO695">
            <v>0</v>
          </cell>
          <cell r="BP695">
            <v>13272</v>
          </cell>
          <cell r="BQ695">
            <v>0</v>
          </cell>
          <cell r="BR695">
            <v>168</v>
          </cell>
          <cell r="BT695">
            <v>2</v>
          </cell>
          <cell r="BU695">
            <v>1</v>
          </cell>
          <cell r="BV695" t="str">
            <v>N</v>
          </cell>
          <cell r="BW695">
            <v>0</v>
          </cell>
          <cell r="BX695">
            <v>0</v>
          </cell>
          <cell r="BY695">
            <v>2026</v>
          </cell>
          <cell r="BZ695" t="str">
            <v>-</v>
          </cell>
          <cell r="CA695" t="str">
            <v>-</v>
          </cell>
        </row>
        <row r="696">
          <cell r="A696" t="str">
            <v>Lucknow</v>
          </cell>
          <cell r="B696" t="str">
            <v>Mavericks</v>
          </cell>
          <cell r="C696" t="str">
            <v>Mid Level</v>
          </cell>
          <cell r="D696" t="str">
            <v>Mohammad Fakhrul</v>
          </cell>
          <cell r="E696" t="str">
            <v>-</v>
          </cell>
          <cell r="F696" t="str">
            <v>MSP</v>
          </cell>
          <cell r="H696" t="str">
            <v>Pass Through/MSP</v>
          </cell>
          <cell r="J696" t="str">
            <v>ACH</v>
          </cell>
          <cell r="L696" t="str">
            <v>New</v>
          </cell>
          <cell r="M696">
            <v>46112</v>
          </cell>
          <cell r="N696">
            <v>90</v>
          </cell>
          <cell r="P696">
            <v>46477</v>
          </cell>
          <cell r="Q696" t="str">
            <v>PLC-Passthrough</v>
          </cell>
          <cell r="R696" t="str">
            <v>Srinivasa Rao Upputuri</v>
          </cell>
          <cell r="S696" t="str">
            <v>Individual</v>
          </cell>
          <cell r="T696" t="str">
            <v>C2C</v>
          </cell>
          <cell r="U696" t="str">
            <v>CoForge</v>
          </cell>
          <cell r="V696">
            <v>79</v>
          </cell>
          <cell r="W696">
            <v>0</v>
          </cell>
          <cell r="X696" t="str">
            <v>USD</v>
          </cell>
          <cell r="Y696">
            <v>80</v>
          </cell>
          <cell r="Z696">
            <v>0</v>
          </cell>
          <cell r="AA696">
            <v>0</v>
          </cell>
          <cell r="AB696">
            <v>0</v>
          </cell>
          <cell r="AC696">
            <v>46157</v>
          </cell>
          <cell r="AD696">
            <v>22</v>
          </cell>
          <cell r="AE696">
            <v>46387</v>
          </cell>
          <cell r="AF696">
            <v>79</v>
          </cell>
          <cell r="AG696">
            <v>0</v>
          </cell>
          <cell r="AH696">
            <v>79</v>
          </cell>
          <cell r="AI696">
            <v>80</v>
          </cell>
          <cell r="AJ696">
            <v>0</v>
          </cell>
          <cell r="AK696">
            <v>0</v>
          </cell>
          <cell r="AL696">
            <v>1</v>
          </cell>
          <cell r="AM696">
            <v>0</v>
          </cell>
          <cell r="AN696">
            <v>1</v>
          </cell>
          <cell r="AO696">
            <v>0</v>
          </cell>
          <cell r="AP696">
            <v>1</v>
          </cell>
          <cell r="AU696">
            <v>176</v>
          </cell>
          <cell r="BB696">
            <v>176</v>
          </cell>
          <cell r="BC696">
            <v>0</v>
          </cell>
          <cell r="BD696">
            <v>0</v>
          </cell>
          <cell r="BE696">
            <v>0</v>
          </cell>
          <cell r="BI696">
            <v>0</v>
          </cell>
          <cell r="BK696">
            <v>14080</v>
          </cell>
          <cell r="BL696">
            <v>13904</v>
          </cell>
          <cell r="BM696">
            <v>0</v>
          </cell>
          <cell r="BN696">
            <v>0</v>
          </cell>
          <cell r="BO696">
            <v>0</v>
          </cell>
          <cell r="BP696">
            <v>13904</v>
          </cell>
          <cell r="BQ696">
            <v>0</v>
          </cell>
          <cell r="BR696">
            <v>176</v>
          </cell>
          <cell r="BT696">
            <v>2</v>
          </cell>
          <cell r="BU696">
            <v>1</v>
          </cell>
          <cell r="BV696" t="str">
            <v>N</v>
          </cell>
          <cell r="BW696">
            <v>0</v>
          </cell>
          <cell r="BX696">
            <v>0</v>
          </cell>
          <cell r="BY696">
            <v>2026</v>
          </cell>
          <cell r="BZ696" t="str">
            <v>-</v>
          </cell>
          <cell r="CA696" t="str">
            <v>-</v>
          </cell>
        </row>
        <row r="697">
          <cell r="A697" t="str">
            <v>Lucknow</v>
          </cell>
          <cell r="B697" t="str">
            <v>Trust</v>
          </cell>
          <cell r="C697" t="str">
            <v>Mid Level</v>
          </cell>
          <cell r="D697" t="str">
            <v>Harsh Agarwal</v>
          </cell>
          <cell r="F697" t="str">
            <v>Non-MSP</v>
          </cell>
          <cell r="H697" t="str">
            <v>Neelendra Dwivedi</v>
          </cell>
          <cell r="L697" t="str">
            <v>New</v>
          </cell>
          <cell r="M697">
            <v>46169</v>
          </cell>
          <cell r="N697">
            <v>33</v>
          </cell>
          <cell r="P697">
            <v>46534</v>
          </cell>
          <cell r="Q697" t="str">
            <v>PLC-4885</v>
          </cell>
          <cell r="R697" t="str">
            <v>Sripathi Sharma Shivadevuni</v>
          </cell>
          <cell r="S697" t="str">
            <v>Individual</v>
          </cell>
          <cell r="T697" t="str">
            <v>FTE</v>
          </cell>
          <cell r="U697" t="str">
            <v>TCS</v>
          </cell>
          <cell r="V697">
            <v>0</v>
          </cell>
          <cell r="W697">
            <v>0</v>
          </cell>
          <cell r="X697" t="str">
            <v>USD</v>
          </cell>
          <cell r="Y697">
            <v>19000</v>
          </cell>
          <cell r="Z697">
            <v>0</v>
          </cell>
          <cell r="AA697">
            <v>0</v>
          </cell>
          <cell r="AB697">
            <v>0</v>
          </cell>
          <cell r="AC697">
            <v>46157</v>
          </cell>
          <cell r="AD697">
            <v>1</v>
          </cell>
          <cell r="AE697">
            <v>46387</v>
          </cell>
          <cell r="AF697">
            <v>0</v>
          </cell>
          <cell r="AG697">
            <v>0</v>
          </cell>
          <cell r="AH697">
            <v>0</v>
          </cell>
          <cell r="AI697">
            <v>18240</v>
          </cell>
          <cell r="AJ697">
            <v>0</v>
          </cell>
          <cell r="AK697">
            <v>0</v>
          </cell>
          <cell r="AL697">
            <v>18240</v>
          </cell>
          <cell r="AM697">
            <v>0</v>
          </cell>
          <cell r="AN697">
            <v>18240</v>
          </cell>
          <cell r="AO697">
            <v>0</v>
          </cell>
          <cell r="AP697">
            <v>15000</v>
          </cell>
          <cell r="AQ697" t="str">
            <v>US_27738</v>
          </cell>
          <cell r="AR697">
            <v>0</v>
          </cell>
          <cell r="AS697">
            <v>1</v>
          </cell>
          <cell r="AU697">
            <v>1</v>
          </cell>
          <cell r="AV697">
            <v>0</v>
          </cell>
          <cell r="AW697">
            <v>18240</v>
          </cell>
          <cell r="AX697">
            <v>18240</v>
          </cell>
          <cell r="AY697">
            <v>0</v>
          </cell>
          <cell r="AZ697">
            <v>15000</v>
          </cell>
          <cell r="BA697">
            <v>15000</v>
          </cell>
          <cell r="BB697">
            <v>18240</v>
          </cell>
          <cell r="BC697">
            <v>0</v>
          </cell>
          <cell r="BD697">
            <v>0</v>
          </cell>
          <cell r="BE697">
            <v>0</v>
          </cell>
          <cell r="BF697">
            <v>39</v>
          </cell>
          <cell r="BG697">
            <v>15000</v>
          </cell>
          <cell r="BH697">
            <v>8250</v>
          </cell>
          <cell r="BI697">
            <v>0</v>
          </cell>
          <cell r="BJ697">
            <v>19000</v>
          </cell>
          <cell r="BK697">
            <v>18240</v>
          </cell>
          <cell r="BL697">
            <v>0</v>
          </cell>
          <cell r="BM697">
            <v>0</v>
          </cell>
          <cell r="BN697">
            <v>0</v>
          </cell>
          <cell r="BO697">
            <v>0</v>
          </cell>
          <cell r="BP697">
            <v>0</v>
          </cell>
          <cell r="BQ697">
            <v>0</v>
          </cell>
          <cell r="BR697">
            <v>18240</v>
          </cell>
          <cell r="BT697">
            <v>2</v>
          </cell>
          <cell r="BU697">
            <v>2</v>
          </cell>
          <cell r="BV697" t="str">
            <v>N</v>
          </cell>
          <cell r="BW697">
            <v>0</v>
          </cell>
          <cell r="BX697">
            <v>0</v>
          </cell>
          <cell r="BY697">
            <v>2026</v>
          </cell>
          <cell r="BZ697" t="str">
            <v>-</v>
          </cell>
          <cell r="CA697" t="str">
            <v>-</v>
          </cell>
        </row>
        <row r="698">
          <cell r="A698" t="str">
            <v>Lucknow</v>
          </cell>
          <cell r="B698" t="str">
            <v>Pioneer</v>
          </cell>
          <cell r="C698" t="str">
            <v>Mid Level</v>
          </cell>
          <cell r="D698" t="str">
            <v>Lucky Jain</v>
          </cell>
          <cell r="E698" t="str">
            <v>-</v>
          </cell>
          <cell r="F698" t="str">
            <v>Non-MSP</v>
          </cell>
          <cell r="H698" t="str">
            <v>Abhishek Rajpoot</v>
          </cell>
          <cell r="J698" t="str">
            <v>ACH</v>
          </cell>
          <cell r="L698" t="str">
            <v>New</v>
          </cell>
          <cell r="M698">
            <v>46030</v>
          </cell>
          <cell r="N698">
            <v>172</v>
          </cell>
          <cell r="P698">
            <v>46395</v>
          </cell>
          <cell r="Q698" t="str">
            <v>PLC-4676</v>
          </cell>
          <cell r="R698" t="str">
            <v>Sriya Banerjee</v>
          </cell>
          <cell r="S698" t="str">
            <v>Individual</v>
          </cell>
          <cell r="T698" t="str">
            <v>C2C</v>
          </cell>
          <cell r="U698" t="str">
            <v>Reworld /Covanta</v>
          </cell>
          <cell r="V698">
            <v>67.857142857142861</v>
          </cell>
          <cell r="W698">
            <v>0</v>
          </cell>
          <cell r="X698" t="str">
            <v>USD</v>
          </cell>
          <cell r="Y698">
            <v>150</v>
          </cell>
          <cell r="Z698">
            <v>0</v>
          </cell>
          <cell r="AA698">
            <v>0</v>
          </cell>
          <cell r="AB698">
            <v>0</v>
          </cell>
          <cell r="AC698">
            <v>46037</v>
          </cell>
          <cell r="AD698">
            <v>12.5</v>
          </cell>
          <cell r="AE698">
            <v>46387</v>
          </cell>
          <cell r="AF698">
            <v>67.857142857142861</v>
          </cell>
          <cell r="AG698">
            <v>0</v>
          </cell>
          <cell r="AH698">
            <v>67.857142857142861</v>
          </cell>
          <cell r="AI698">
            <v>150</v>
          </cell>
          <cell r="AJ698">
            <v>0</v>
          </cell>
          <cell r="AK698">
            <v>0</v>
          </cell>
          <cell r="AL698">
            <v>82.142857142857139</v>
          </cell>
          <cell r="AM698">
            <v>0</v>
          </cell>
          <cell r="AN698">
            <v>82.142857142857139</v>
          </cell>
          <cell r="AO698">
            <v>0</v>
          </cell>
          <cell r="AP698">
            <v>20</v>
          </cell>
          <cell r="AQ698" t="str">
            <v>US_26726</v>
          </cell>
          <cell r="AR698">
            <v>0</v>
          </cell>
          <cell r="AS698">
            <v>100</v>
          </cell>
          <cell r="AU698">
            <v>100</v>
          </cell>
          <cell r="AV698">
            <v>0</v>
          </cell>
          <cell r="AW698">
            <v>8214.2857142857138</v>
          </cell>
          <cell r="AX698">
            <v>8132.1428571428569</v>
          </cell>
          <cell r="AY698">
            <v>0</v>
          </cell>
          <cell r="AZ698">
            <v>2000</v>
          </cell>
          <cell r="BA698">
            <v>1980</v>
          </cell>
          <cell r="BB698">
            <v>8214.2857142857138</v>
          </cell>
          <cell r="BC698">
            <v>0</v>
          </cell>
          <cell r="BD698">
            <v>0</v>
          </cell>
          <cell r="BE698">
            <v>0</v>
          </cell>
          <cell r="BG698">
            <v>1980</v>
          </cell>
          <cell r="BI698">
            <v>8132.1428571428569</v>
          </cell>
          <cell r="BJ698">
            <v>15000</v>
          </cell>
          <cell r="BK698">
            <v>15000</v>
          </cell>
          <cell r="BL698">
            <v>6785.7142857142862</v>
          </cell>
          <cell r="BM698">
            <v>0</v>
          </cell>
          <cell r="BN698">
            <v>0</v>
          </cell>
          <cell r="BO698">
            <v>0</v>
          </cell>
          <cell r="BP698">
            <v>6785.7142857142862</v>
          </cell>
          <cell r="BQ698">
            <v>0</v>
          </cell>
          <cell r="BR698">
            <v>8214.2857142857138</v>
          </cell>
          <cell r="BS698" t="str">
            <v>Y</v>
          </cell>
          <cell r="BT698">
            <v>1</v>
          </cell>
          <cell r="BU698">
            <v>1</v>
          </cell>
          <cell r="BV698" t="str">
            <v>Y</v>
          </cell>
          <cell r="BW698">
            <v>0</v>
          </cell>
          <cell r="BX698">
            <v>0</v>
          </cell>
          <cell r="BY698">
            <v>2026</v>
          </cell>
          <cell r="BZ698" t="str">
            <v>-</v>
          </cell>
          <cell r="CA698" t="str">
            <v>-</v>
          </cell>
        </row>
        <row r="699">
          <cell r="A699" t="str">
            <v>Lucknow</v>
          </cell>
          <cell r="B699" t="str">
            <v>Pioneer</v>
          </cell>
          <cell r="C699" t="str">
            <v>Mid Level</v>
          </cell>
          <cell r="D699" t="str">
            <v>Lucky Jain</v>
          </cell>
          <cell r="E699" t="str">
            <v>-</v>
          </cell>
          <cell r="F699" t="str">
            <v>Non-MSP</v>
          </cell>
          <cell r="H699" t="str">
            <v>Abhishek Rajpoot</v>
          </cell>
          <cell r="J699" t="str">
            <v>ACH</v>
          </cell>
          <cell r="L699" t="str">
            <v>New</v>
          </cell>
          <cell r="M699">
            <v>46030</v>
          </cell>
          <cell r="N699">
            <v>172</v>
          </cell>
          <cell r="P699">
            <v>46395</v>
          </cell>
          <cell r="Q699" t="str">
            <v>PLC-4676</v>
          </cell>
          <cell r="R699" t="str">
            <v>Sriya Banerjee</v>
          </cell>
          <cell r="S699" t="str">
            <v>Individual</v>
          </cell>
          <cell r="T699" t="str">
            <v>C2C</v>
          </cell>
          <cell r="U699" t="str">
            <v>Reworld /Covanta</v>
          </cell>
          <cell r="V699">
            <v>67.857142857142861</v>
          </cell>
          <cell r="W699">
            <v>0</v>
          </cell>
          <cell r="X699" t="str">
            <v>USD</v>
          </cell>
          <cell r="Y699">
            <v>150</v>
          </cell>
          <cell r="Z699">
            <v>0</v>
          </cell>
          <cell r="AA699">
            <v>0</v>
          </cell>
          <cell r="AB699">
            <v>0</v>
          </cell>
          <cell r="AC699">
            <v>46096</v>
          </cell>
          <cell r="AD699">
            <v>12.5</v>
          </cell>
          <cell r="AE699">
            <v>46387</v>
          </cell>
          <cell r="AF699">
            <v>67.857142857142861</v>
          </cell>
          <cell r="AG699">
            <v>0</v>
          </cell>
          <cell r="AH699">
            <v>67.857142857142861</v>
          </cell>
          <cell r="AI699">
            <v>150</v>
          </cell>
          <cell r="AJ699">
            <v>0</v>
          </cell>
          <cell r="AK699">
            <v>0</v>
          </cell>
          <cell r="AL699">
            <v>82.142857142857139</v>
          </cell>
          <cell r="AM699">
            <v>0</v>
          </cell>
          <cell r="AN699">
            <v>82.142857142857139</v>
          </cell>
          <cell r="AO699">
            <v>0</v>
          </cell>
          <cell r="AP699">
            <v>20</v>
          </cell>
          <cell r="AQ699" t="str">
            <v>US_27217</v>
          </cell>
          <cell r="AR699">
            <v>0</v>
          </cell>
          <cell r="AS699">
            <v>100</v>
          </cell>
          <cell r="AU699">
            <v>100</v>
          </cell>
          <cell r="AV699">
            <v>0</v>
          </cell>
          <cell r="AW699">
            <v>8214.2857142857138</v>
          </cell>
          <cell r="AX699">
            <v>8132.1428571428569</v>
          </cell>
          <cell r="AY699">
            <v>0</v>
          </cell>
          <cell r="AZ699">
            <v>2000</v>
          </cell>
          <cell r="BA699">
            <v>1980</v>
          </cell>
          <cell r="BB699">
            <v>8214.2857142857138</v>
          </cell>
          <cell r="BC699">
            <v>0</v>
          </cell>
          <cell r="BD699">
            <v>0</v>
          </cell>
          <cell r="BE699">
            <v>0</v>
          </cell>
          <cell r="BG699">
            <v>1980</v>
          </cell>
          <cell r="BI699">
            <v>8132.1428571428569</v>
          </cell>
          <cell r="BJ699">
            <v>15000</v>
          </cell>
          <cell r="BK699">
            <v>15000</v>
          </cell>
          <cell r="BL699">
            <v>6785.7142857142862</v>
          </cell>
          <cell r="BM699">
            <v>0</v>
          </cell>
          <cell r="BN699">
            <v>0</v>
          </cell>
          <cell r="BO699">
            <v>0</v>
          </cell>
          <cell r="BP699">
            <v>6785.7142857142862</v>
          </cell>
          <cell r="BQ699">
            <v>0</v>
          </cell>
          <cell r="BR699">
            <v>8214.2857142857138</v>
          </cell>
          <cell r="BS699" t="str">
            <v>Y</v>
          </cell>
          <cell r="BT699">
            <v>1</v>
          </cell>
          <cell r="BU699">
            <v>1</v>
          </cell>
          <cell r="BV699" t="str">
            <v>Y</v>
          </cell>
          <cell r="BW699">
            <v>0</v>
          </cell>
          <cell r="BX699">
            <v>0</v>
          </cell>
          <cell r="BY699">
            <v>2026</v>
          </cell>
          <cell r="BZ699" t="str">
            <v>-</v>
          </cell>
          <cell r="CA699" t="str">
            <v>-</v>
          </cell>
        </row>
        <row r="700">
          <cell r="A700" t="str">
            <v>Lucknow</v>
          </cell>
          <cell r="B700" t="str">
            <v>Pioneer</v>
          </cell>
          <cell r="C700" t="str">
            <v>Mid Level</v>
          </cell>
          <cell r="D700" t="str">
            <v>Lucky Jain</v>
          </cell>
          <cell r="E700" t="str">
            <v>-</v>
          </cell>
          <cell r="F700" t="str">
            <v>Non-MSP</v>
          </cell>
          <cell r="H700" t="str">
            <v>Abhishek Rajpoot</v>
          </cell>
          <cell r="J700" t="str">
            <v>ACH</v>
          </cell>
          <cell r="L700" t="str">
            <v>New</v>
          </cell>
          <cell r="M700">
            <v>46030</v>
          </cell>
          <cell r="N700">
            <v>172</v>
          </cell>
          <cell r="P700">
            <v>46395</v>
          </cell>
          <cell r="Q700" t="str">
            <v>PLC-4676</v>
          </cell>
          <cell r="R700" t="str">
            <v>Sriya Banerjee</v>
          </cell>
          <cell r="S700" t="str">
            <v>Individual</v>
          </cell>
          <cell r="T700" t="str">
            <v>C2C</v>
          </cell>
          <cell r="U700" t="str">
            <v>Reworld /Covanta</v>
          </cell>
          <cell r="V700">
            <v>67.857142857142861</v>
          </cell>
          <cell r="W700">
            <v>0</v>
          </cell>
          <cell r="X700" t="str">
            <v>USD</v>
          </cell>
          <cell r="Y700">
            <v>150</v>
          </cell>
          <cell r="Z700">
            <v>0</v>
          </cell>
          <cell r="AA700">
            <v>0</v>
          </cell>
          <cell r="AB700">
            <v>0</v>
          </cell>
          <cell r="AC700">
            <v>46068</v>
          </cell>
          <cell r="AD700">
            <v>12.5</v>
          </cell>
          <cell r="AE700">
            <v>46387</v>
          </cell>
          <cell r="AF700">
            <v>67.857142857142861</v>
          </cell>
          <cell r="AG700">
            <v>0</v>
          </cell>
          <cell r="AH700">
            <v>67.857142857142861</v>
          </cell>
          <cell r="AI700">
            <v>150</v>
          </cell>
          <cell r="AJ700">
            <v>0</v>
          </cell>
          <cell r="AK700">
            <v>0</v>
          </cell>
          <cell r="AL700">
            <v>82.142857142857139</v>
          </cell>
          <cell r="AM700">
            <v>0</v>
          </cell>
          <cell r="AN700">
            <v>82.142857142857139</v>
          </cell>
          <cell r="AO700">
            <v>0</v>
          </cell>
          <cell r="AP700">
            <v>20</v>
          </cell>
          <cell r="AU700">
            <v>100</v>
          </cell>
          <cell r="BB700">
            <v>8214.2857142857138</v>
          </cell>
          <cell r="BC700">
            <v>0</v>
          </cell>
          <cell r="BD700">
            <v>0</v>
          </cell>
          <cell r="BE700">
            <v>0</v>
          </cell>
          <cell r="BK700">
            <v>15000</v>
          </cell>
          <cell r="BL700">
            <v>6785.7142857142862</v>
          </cell>
          <cell r="BM700">
            <v>0</v>
          </cell>
          <cell r="BN700">
            <v>0</v>
          </cell>
          <cell r="BO700">
            <v>0</v>
          </cell>
          <cell r="BP700">
            <v>6785.7142857142862</v>
          </cell>
          <cell r="BQ700">
            <v>0</v>
          </cell>
          <cell r="BR700">
            <v>8214.2857142857138</v>
          </cell>
          <cell r="BT700">
            <v>1</v>
          </cell>
          <cell r="BU700">
            <v>1</v>
          </cell>
          <cell r="BV700" t="str">
            <v>Y</v>
          </cell>
          <cell r="BW700">
            <v>0</v>
          </cell>
          <cell r="BX700">
            <v>0</v>
          </cell>
          <cell r="BY700">
            <v>2026</v>
          </cell>
          <cell r="BZ700" t="str">
            <v>-</v>
          </cell>
          <cell r="CA700" t="str">
            <v>-</v>
          </cell>
        </row>
        <row r="701">
          <cell r="A701" t="str">
            <v>Lucknow</v>
          </cell>
          <cell r="B701" t="str">
            <v>Pioneer</v>
          </cell>
          <cell r="C701" t="str">
            <v>Mid Level</v>
          </cell>
          <cell r="D701" t="str">
            <v>Lucky Jain</v>
          </cell>
          <cell r="E701" t="str">
            <v>-</v>
          </cell>
          <cell r="F701" t="str">
            <v>Non-MSP</v>
          </cell>
          <cell r="H701" t="str">
            <v>Abhishek Rajpoot</v>
          </cell>
          <cell r="J701" t="str">
            <v>ACH</v>
          </cell>
          <cell r="L701" t="str">
            <v>New</v>
          </cell>
          <cell r="M701">
            <v>46030</v>
          </cell>
          <cell r="N701">
            <v>172</v>
          </cell>
          <cell r="P701">
            <v>46395</v>
          </cell>
          <cell r="Q701" t="str">
            <v>PLC-4676</v>
          </cell>
          <cell r="R701" t="str">
            <v>Sriya Banerjee</v>
          </cell>
          <cell r="S701" t="str">
            <v>Individual</v>
          </cell>
          <cell r="T701" t="str">
            <v>C2C</v>
          </cell>
          <cell r="U701" t="str">
            <v>Reworld /Covanta</v>
          </cell>
          <cell r="V701">
            <v>67.857142857142861</v>
          </cell>
          <cell r="W701">
            <v>0</v>
          </cell>
          <cell r="X701" t="str">
            <v>USD</v>
          </cell>
          <cell r="Y701">
            <v>150</v>
          </cell>
          <cell r="Z701">
            <v>0</v>
          </cell>
          <cell r="AA701">
            <v>0</v>
          </cell>
          <cell r="AB701">
            <v>0</v>
          </cell>
          <cell r="AC701">
            <v>46127</v>
          </cell>
          <cell r="AD701">
            <v>12.5</v>
          </cell>
          <cell r="AE701">
            <v>46387</v>
          </cell>
          <cell r="AF701">
            <v>67.857142857142861</v>
          </cell>
          <cell r="AG701">
            <v>0</v>
          </cell>
          <cell r="AH701">
            <v>67.857142857142861</v>
          </cell>
          <cell r="AI701">
            <v>150</v>
          </cell>
          <cell r="AJ701">
            <v>0</v>
          </cell>
          <cell r="AK701">
            <v>0</v>
          </cell>
          <cell r="AL701">
            <v>82.142857142857139</v>
          </cell>
          <cell r="AM701">
            <v>0</v>
          </cell>
          <cell r="AN701">
            <v>82.142857142857139</v>
          </cell>
          <cell r="AO701">
            <v>0</v>
          </cell>
          <cell r="AP701">
            <v>20</v>
          </cell>
          <cell r="AU701">
            <v>100</v>
          </cell>
          <cell r="BB701">
            <v>8214.2857142857138</v>
          </cell>
          <cell r="BC701">
            <v>0</v>
          </cell>
          <cell r="BD701">
            <v>0</v>
          </cell>
          <cell r="BE701">
            <v>0</v>
          </cell>
          <cell r="BK701">
            <v>15000</v>
          </cell>
          <cell r="BL701">
            <v>6785.7142857142862</v>
          </cell>
          <cell r="BM701">
            <v>0</v>
          </cell>
          <cell r="BN701">
            <v>0</v>
          </cell>
          <cell r="BO701">
            <v>0</v>
          </cell>
          <cell r="BP701">
            <v>6785.7142857142862</v>
          </cell>
          <cell r="BQ701">
            <v>0</v>
          </cell>
          <cell r="BR701">
            <v>8214.2857142857138</v>
          </cell>
          <cell r="BT701">
            <v>2</v>
          </cell>
          <cell r="BU701">
            <v>1</v>
          </cell>
          <cell r="BV701" t="str">
            <v>N</v>
          </cell>
          <cell r="BW701">
            <v>0</v>
          </cell>
          <cell r="BX701">
            <v>0</v>
          </cell>
          <cell r="BY701">
            <v>2026</v>
          </cell>
          <cell r="BZ701" t="str">
            <v>-</v>
          </cell>
          <cell r="CA701" t="str">
            <v>-</v>
          </cell>
        </row>
        <row r="702">
          <cell r="A702" t="str">
            <v>Lucknow</v>
          </cell>
          <cell r="B702" t="str">
            <v>Pioneer</v>
          </cell>
          <cell r="C702" t="str">
            <v>Mid Level</v>
          </cell>
          <cell r="D702" t="str">
            <v>Lucky Jain</v>
          </cell>
          <cell r="E702" t="str">
            <v>-</v>
          </cell>
          <cell r="F702" t="str">
            <v>Non-MSP</v>
          </cell>
          <cell r="H702" t="str">
            <v>Abhishek Rajpoot</v>
          </cell>
          <cell r="J702" t="str">
            <v>ACH</v>
          </cell>
          <cell r="L702" t="str">
            <v>New</v>
          </cell>
          <cell r="M702">
            <v>46030</v>
          </cell>
          <cell r="N702">
            <v>172</v>
          </cell>
          <cell r="P702">
            <v>46395</v>
          </cell>
          <cell r="Q702" t="str">
            <v>PLC-4676</v>
          </cell>
          <cell r="R702" t="str">
            <v>Sriya Banerjee</v>
          </cell>
          <cell r="S702" t="str">
            <v>Individual</v>
          </cell>
          <cell r="T702" t="str">
            <v>C2C</v>
          </cell>
          <cell r="U702" t="str">
            <v>Reworld /Covanta</v>
          </cell>
          <cell r="V702">
            <v>67.857142857142861</v>
          </cell>
          <cell r="W702">
            <v>0</v>
          </cell>
          <cell r="X702" t="str">
            <v>USD</v>
          </cell>
          <cell r="Y702">
            <v>150</v>
          </cell>
          <cell r="Z702">
            <v>0</v>
          </cell>
          <cell r="AA702">
            <v>0</v>
          </cell>
          <cell r="AB702">
            <v>0</v>
          </cell>
          <cell r="AC702">
            <v>46157</v>
          </cell>
          <cell r="AD702">
            <v>12.5</v>
          </cell>
          <cell r="AE702">
            <v>46387</v>
          </cell>
          <cell r="AF702">
            <v>67.857142857142861</v>
          </cell>
          <cell r="AG702">
            <v>0</v>
          </cell>
          <cell r="AH702">
            <v>67.857142857142861</v>
          </cell>
          <cell r="AI702">
            <v>150</v>
          </cell>
          <cell r="AJ702">
            <v>0</v>
          </cell>
          <cell r="AK702">
            <v>0</v>
          </cell>
          <cell r="AL702">
            <v>82.142857142857139</v>
          </cell>
          <cell r="AM702">
            <v>0</v>
          </cell>
          <cell r="AN702">
            <v>82.142857142857139</v>
          </cell>
          <cell r="AO702">
            <v>0</v>
          </cell>
          <cell r="AP702">
            <v>20</v>
          </cell>
          <cell r="AU702">
            <v>100</v>
          </cell>
          <cell r="BB702">
            <v>8214.2857142857138</v>
          </cell>
          <cell r="BC702">
            <v>0</v>
          </cell>
          <cell r="BD702">
            <v>0</v>
          </cell>
          <cell r="BE702">
            <v>0</v>
          </cell>
          <cell r="BK702">
            <v>15000</v>
          </cell>
          <cell r="BL702">
            <v>6785.7142857142862</v>
          </cell>
          <cell r="BM702">
            <v>0</v>
          </cell>
          <cell r="BN702">
            <v>0</v>
          </cell>
          <cell r="BO702">
            <v>0</v>
          </cell>
          <cell r="BP702">
            <v>6785.7142857142862</v>
          </cell>
          <cell r="BQ702">
            <v>0</v>
          </cell>
          <cell r="BR702">
            <v>8214.2857142857138</v>
          </cell>
          <cell r="BT702">
            <v>2</v>
          </cell>
          <cell r="BU702">
            <v>1</v>
          </cell>
          <cell r="BV702" t="str">
            <v>N</v>
          </cell>
          <cell r="BW702">
            <v>0</v>
          </cell>
          <cell r="BX702">
            <v>0</v>
          </cell>
          <cell r="BY702">
            <v>2026</v>
          </cell>
          <cell r="BZ702" t="str">
            <v>-</v>
          </cell>
          <cell r="CA702" t="str">
            <v>-</v>
          </cell>
        </row>
        <row r="703">
          <cell r="A703" t="str">
            <v>Lucknow</v>
          </cell>
          <cell r="B703" t="str">
            <v>Titans</v>
          </cell>
          <cell r="C703" t="str">
            <v>Mid Level</v>
          </cell>
          <cell r="D703" t="str">
            <v>Aditya Yadav</v>
          </cell>
          <cell r="E703" t="str">
            <v>-</v>
          </cell>
          <cell r="F703" t="str">
            <v>Non-MSP</v>
          </cell>
          <cell r="H703" t="str">
            <v>Shagun Tewari</v>
          </cell>
          <cell r="L703" t="str">
            <v>New</v>
          </cell>
          <cell r="M703">
            <v>46132</v>
          </cell>
          <cell r="N703">
            <v>70</v>
          </cell>
          <cell r="P703">
            <v>46497</v>
          </cell>
          <cell r="Q703" t="str">
            <v>PLC-4836</v>
          </cell>
          <cell r="R703" t="str">
            <v>Stephan Vetter</v>
          </cell>
          <cell r="S703" t="str">
            <v>Individual</v>
          </cell>
          <cell r="T703" t="str">
            <v>FTE</v>
          </cell>
          <cell r="U703" t="str">
            <v>LTTS</v>
          </cell>
          <cell r="V703">
            <v>0</v>
          </cell>
          <cell r="W703">
            <v>0</v>
          </cell>
          <cell r="X703" t="str">
            <v>USD</v>
          </cell>
          <cell r="Y703">
            <v>7330</v>
          </cell>
          <cell r="Z703">
            <v>0</v>
          </cell>
          <cell r="AA703">
            <v>0</v>
          </cell>
          <cell r="AB703">
            <v>0</v>
          </cell>
          <cell r="AC703">
            <v>46127</v>
          </cell>
          <cell r="AD703">
            <v>1</v>
          </cell>
          <cell r="AE703">
            <v>46387</v>
          </cell>
          <cell r="AF703">
            <v>0</v>
          </cell>
          <cell r="AG703">
            <v>0</v>
          </cell>
          <cell r="AH703">
            <v>0</v>
          </cell>
          <cell r="AI703">
            <v>7330</v>
          </cell>
          <cell r="AJ703">
            <v>0</v>
          </cell>
          <cell r="AK703">
            <v>0</v>
          </cell>
          <cell r="AL703">
            <v>7330</v>
          </cell>
          <cell r="AM703">
            <v>0</v>
          </cell>
          <cell r="AN703">
            <v>7330</v>
          </cell>
          <cell r="AO703">
            <v>0</v>
          </cell>
          <cell r="AP703">
            <v>7330</v>
          </cell>
          <cell r="AQ703" t="str">
            <v>US_27461</v>
          </cell>
          <cell r="AR703">
            <v>0</v>
          </cell>
          <cell r="AS703">
            <v>1</v>
          </cell>
          <cell r="AU703">
            <v>1</v>
          </cell>
          <cell r="AV703">
            <v>0</v>
          </cell>
          <cell r="AW703">
            <v>7330</v>
          </cell>
          <cell r="AX703">
            <v>7330</v>
          </cell>
          <cell r="AY703">
            <v>0</v>
          </cell>
          <cell r="AZ703">
            <v>7330</v>
          </cell>
          <cell r="BA703">
            <v>7330</v>
          </cell>
          <cell r="BB703">
            <v>7330</v>
          </cell>
          <cell r="BC703">
            <v>0</v>
          </cell>
          <cell r="BD703">
            <v>0</v>
          </cell>
          <cell r="BE703">
            <v>0</v>
          </cell>
          <cell r="BG703">
            <v>7330</v>
          </cell>
          <cell r="BI703">
            <v>0</v>
          </cell>
          <cell r="BJ703">
            <v>7330</v>
          </cell>
          <cell r="BK703">
            <v>7330</v>
          </cell>
          <cell r="BL703">
            <v>0</v>
          </cell>
          <cell r="BM703">
            <v>0</v>
          </cell>
          <cell r="BN703">
            <v>0</v>
          </cell>
          <cell r="BO703">
            <v>0</v>
          </cell>
          <cell r="BP703">
            <v>0</v>
          </cell>
          <cell r="BQ703">
            <v>0</v>
          </cell>
          <cell r="BR703">
            <v>7330</v>
          </cell>
          <cell r="BT703">
            <v>2</v>
          </cell>
          <cell r="BU703">
            <v>2</v>
          </cell>
          <cell r="BV703" t="str">
            <v>N</v>
          </cell>
          <cell r="BW703">
            <v>0</v>
          </cell>
          <cell r="BX703">
            <v>0</v>
          </cell>
          <cell r="BY703">
            <v>2026</v>
          </cell>
          <cell r="BZ703" t="str">
            <v>-</v>
          </cell>
          <cell r="CA703" t="str">
            <v>-</v>
          </cell>
        </row>
        <row r="704">
          <cell r="A704" t="str">
            <v>Lucknow</v>
          </cell>
          <cell r="B704" t="str">
            <v>Trust</v>
          </cell>
          <cell r="C704" t="str">
            <v>Mid Level</v>
          </cell>
          <cell r="D704" t="str">
            <v>Harsh Agarwal</v>
          </cell>
          <cell r="E704" t="str">
            <v>-</v>
          </cell>
          <cell r="F704" t="str">
            <v>Non-MSP</v>
          </cell>
          <cell r="H704" t="str">
            <v>Alisha Iqbal</v>
          </cell>
          <cell r="L704" t="str">
            <v>New</v>
          </cell>
          <cell r="M704">
            <v>46064</v>
          </cell>
          <cell r="N704">
            <v>138</v>
          </cell>
          <cell r="P704">
            <v>46429</v>
          </cell>
          <cell r="Q704" t="str">
            <v>PLC-4625</v>
          </cell>
          <cell r="R704" t="str">
            <v>Stevi Coye Vaughn</v>
          </cell>
          <cell r="S704" t="str">
            <v>Individual</v>
          </cell>
          <cell r="T704" t="str">
            <v>W2</v>
          </cell>
          <cell r="U704" t="str">
            <v>Global Logic</v>
          </cell>
          <cell r="V704">
            <v>21</v>
          </cell>
          <cell r="W704">
            <v>0</v>
          </cell>
          <cell r="X704" t="str">
            <v>USD</v>
          </cell>
          <cell r="Y704">
            <v>29</v>
          </cell>
          <cell r="Z704">
            <v>0</v>
          </cell>
          <cell r="AA704">
            <v>0</v>
          </cell>
          <cell r="AB704">
            <v>0</v>
          </cell>
          <cell r="AC704">
            <v>46068</v>
          </cell>
          <cell r="AD704">
            <v>13</v>
          </cell>
          <cell r="AE704">
            <v>46387</v>
          </cell>
          <cell r="AF704">
            <v>24.15</v>
          </cell>
          <cell r="AG704">
            <v>0</v>
          </cell>
          <cell r="AH704">
            <v>24.15</v>
          </cell>
          <cell r="AI704">
            <v>29</v>
          </cell>
          <cell r="AJ704">
            <v>0</v>
          </cell>
          <cell r="AK704">
            <v>0</v>
          </cell>
          <cell r="AL704">
            <v>4.8500000000000014</v>
          </cell>
          <cell r="AM704">
            <v>0</v>
          </cell>
          <cell r="AN704">
            <v>4.8500000000000014</v>
          </cell>
          <cell r="AO704">
            <v>0</v>
          </cell>
          <cell r="AP704">
            <v>4.8500000000000014</v>
          </cell>
          <cell r="AQ704" t="str">
            <v>US_27168</v>
          </cell>
          <cell r="AR704">
            <v>0</v>
          </cell>
          <cell r="AS704">
            <v>84</v>
          </cell>
          <cell r="AU704">
            <v>84</v>
          </cell>
          <cell r="AV704">
            <v>0</v>
          </cell>
          <cell r="AW704">
            <v>407.40000000000009</v>
          </cell>
          <cell r="AX704">
            <v>407.40000000000009</v>
          </cell>
          <cell r="AY704">
            <v>0</v>
          </cell>
          <cell r="AZ704">
            <v>407.40000000000009</v>
          </cell>
          <cell r="BA704">
            <v>407.40000000000009</v>
          </cell>
          <cell r="BB704">
            <v>407.40000000000009</v>
          </cell>
          <cell r="BC704">
            <v>0</v>
          </cell>
          <cell r="BD704">
            <v>0</v>
          </cell>
          <cell r="BE704">
            <v>0</v>
          </cell>
          <cell r="BF704">
            <v>39</v>
          </cell>
          <cell r="BG704">
            <v>407.40000000000009</v>
          </cell>
          <cell r="BH704">
            <v>224.07000000000005</v>
          </cell>
          <cell r="BI704">
            <v>407.40000000000009</v>
          </cell>
          <cell r="BJ704">
            <v>2436</v>
          </cell>
          <cell r="BK704">
            <v>2436</v>
          </cell>
          <cell r="BL704">
            <v>1764</v>
          </cell>
          <cell r="BM704">
            <v>3.15</v>
          </cell>
          <cell r="BN704">
            <v>0</v>
          </cell>
          <cell r="BO704">
            <v>264.59999999999997</v>
          </cell>
          <cell r="BP704">
            <v>2028.6</v>
          </cell>
          <cell r="BQ704">
            <v>3.15</v>
          </cell>
          <cell r="BR704">
            <v>407.40000000000003</v>
          </cell>
          <cell r="BS704" t="str">
            <v>Y</v>
          </cell>
          <cell r="BT704">
            <v>1</v>
          </cell>
          <cell r="BU704">
            <v>1</v>
          </cell>
          <cell r="BV704" t="str">
            <v>N</v>
          </cell>
          <cell r="BW704">
            <v>0</v>
          </cell>
          <cell r="BX704">
            <v>0</v>
          </cell>
          <cell r="BY704">
            <v>2026</v>
          </cell>
          <cell r="BZ704" t="str">
            <v>-</v>
          </cell>
          <cell r="CA704" t="str">
            <v>-</v>
          </cell>
        </row>
        <row r="705">
          <cell r="A705" t="str">
            <v>Lucknow</v>
          </cell>
          <cell r="B705" t="str">
            <v>Trust</v>
          </cell>
          <cell r="C705" t="str">
            <v>Mid Level</v>
          </cell>
          <cell r="D705" t="str">
            <v>Harsh Agarwal</v>
          </cell>
          <cell r="E705" t="str">
            <v>-</v>
          </cell>
          <cell r="F705" t="str">
            <v>Non-MSP</v>
          </cell>
          <cell r="H705" t="str">
            <v>Alisha Iqbal</v>
          </cell>
          <cell r="L705" t="str">
            <v>New</v>
          </cell>
          <cell r="M705">
            <v>46064</v>
          </cell>
          <cell r="N705">
            <v>138</v>
          </cell>
          <cell r="P705">
            <v>46429</v>
          </cell>
          <cell r="Q705" t="str">
            <v>PLC-4625</v>
          </cell>
          <cell r="R705" t="str">
            <v>Stevi Coye Vaughn</v>
          </cell>
          <cell r="S705" t="str">
            <v>Individual</v>
          </cell>
          <cell r="T705" t="str">
            <v>W2</v>
          </cell>
          <cell r="U705" t="str">
            <v>Global Logic</v>
          </cell>
          <cell r="V705">
            <v>21</v>
          </cell>
          <cell r="W705">
            <v>0</v>
          </cell>
          <cell r="X705" t="str">
            <v>USD</v>
          </cell>
          <cell r="Y705">
            <v>29</v>
          </cell>
          <cell r="Z705">
            <v>0</v>
          </cell>
          <cell r="AA705">
            <v>0</v>
          </cell>
          <cell r="AB705">
            <v>0</v>
          </cell>
          <cell r="AC705">
            <v>46096</v>
          </cell>
          <cell r="AD705">
            <v>22</v>
          </cell>
          <cell r="AE705">
            <v>46387</v>
          </cell>
          <cell r="AF705">
            <v>24.15</v>
          </cell>
          <cell r="AG705">
            <v>0</v>
          </cell>
          <cell r="AH705">
            <v>24.15</v>
          </cell>
          <cell r="AI705">
            <v>29</v>
          </cell>
          <cell r="AJ705">
            <v>0</v>
          </cell>
          <cell r="AK705">
            <v>0</v>
          </cell>
          <cell r="AL705">
            <v>4.8500000000000014</v>
          </cell>
          <cell r="AM705">
            <v>0</v>
          </cell>
          <cell r="AN705">
            <v>4.8500000000000014</v>
          </cell>
          <cell r="AO705">
            <v>0</v>
          </cell>
          <cell r="AP705">
            <v>4.8500000000000014</v>
          </cell>
          <cell r="AQ705" t="str">
            <v>US_27383</v>
          </cell>
          <cell r="AR705">
            <v>0</v>
          </cell>
          <cell r="AS705">
            <v>164</v>
          </cell>
          <cell r="AU705">
            <v>164</v>
          </cell>
          <cell r="AV705">
            <v>0</v>
          </cell>
          <cell r="AW705">
            <v>795.4000000000002</v>
          </cell>
          <cell r="AX705">
            <v>795.4000000000002</v>
          </cell>
          <cell r="AY705">
            <v>0</v>
          </cell>
          <cell r="AZ705">
            <v>795.4000000000002</v>
          </cell>
          <cell r="BA705">
            <v>795.4000000000002</v>
          </cell>
          <cell r="BB705">
            <v>795.4000000000002</v>
          </cell>
          <cell r="BC705">
            <v>0</v>
          </cell>
          <cell r="BD705">
            <v>0</v>
          </cell>
          <cell r="BE705">
            <v>0</v>
          </cell>
          <cell r="BF705">
            <v>39</v>
          </cell>
          <cell r="BG705">
            <v>795.4000000000002</v>
          </cell>
          <cell r="BH705">
            <v>437.47000000000014</v>
          </cell>
          <cell r="BI705">
            <v>795.4000000000002</v>
          </cell>
          <cell r="BJ705">
            <v>4756</v>
          </cell>
          <cell r="BK705">
            <v>4756</v>
          </cell>
          <cell r="BL705">
            <v>3444</v>
          </cell>
          <cell r="BM705">
            <v>3.15</v>
          </cell>
          <cell r="BN705">
            <v>0</v>
          </cell>
          <cell r="BO705">
            <v>516.6</v>
          </cell>
          <cell r="BP705">
            <v>3960.6</v>
          </cell>
          <cell r="BQ705">
            <v>3.15</v>
          </cell>
          <cell r="BR705">
            <v>795.4</v>
          </cell>
          <cell r="BS705" t="str">
            <v>Y</v>
          </cell>
          <cell r="BT705">
            <v>1</v>
          </cell>
          <cell r="BU705">
            <v>1</v>
          </cell>
          <cell r="BV705" t="str">
            <v>N</v>
          </cell>
          <cell r="BW705">
            <v>0</v>
          </cell>
          <cell r="BX705">
            <v>0</v>
          </cell>
          <cell r="BY705">
            <v>2026</v>
          </cell>
          <cell r="BZ705" t="str">
            <v>-</v>
          </cell>
          <cell r="CA705" t="str">
            <v>-</v>
          </cell>
        </row>
        <row r="706">
          <cell r="A706" t="str">
            <v>Lucknow</v>
          </cell>
          <cell r="B706" t="str">
            <v>Trust</v>
          </cell>
          <cell r="C706" t="str">
            <v>Mid Level</v>
          </cell>
          <cell r="D706" t="str">
            <v>Harsh Agarwal</v>
          </cell>
          <cell r="E706" t="str">
            <v>-</v>
          </cell>
          <cell r="F706" t="str">
            <v>Non-MSP</v>
          </cell>
          <cell r="H706" t="str">
            <v>Alisha Iqbal</v>
          </cell>
          <cell r="J706" t="str">
            <v>ACH</v>
          </cell>
          <cell r="L706" t="str">
            <v>New</v>
          </cell>
          <cell r="M706">
            <v>46064</v>
          </cell>
          <cell r="N706">
            <v>138</v>
          </cell>
          <cell r="P706">
            <v>46429</v>
          </cell>
          <cell r="Q706" t="str">
            <v>PLC-4625</v>
          </cell>
          <cell r="R706" t="str">
            <v>Stevi Coye Vaughn</v>
          </cell>
          <cell r="S706" t="str">
            <v>Individual</v>
          </cell>
          <cell r="T706" t="str">
            <v>W2</v>
          </cell>
          <cell r="U706" t="str">
            <v>Global Logic</v>
          </cell>
          <cell r="V706">
            <v>21</v>
          </cell>
          <cell r="W706">
            <v>0</v>
          </cell>
          <cell r="X706" t="str">
            <v>USD</v>
          </cell>
          <cell r="Y706">
            <v>29</v>
          </cell>
          <cell r="Z706">
            <v>0</v>
          </cell>
          <cell r="AA706">
            <v>0</v>
          </cell>
          <cell r="AB706">
            <v>0</v>
          </cell>
          <cell r="AC706">
            <v>46127</v>
          </cell>
          <cell r="AD706">
            <v>22</v>
          </cell>
          <cell r="AE706">
            <v>46387</v>
          </cell>
          <cell r="AF706">
            <v>24.15</v>
          </cell>
          <cell r="AG706">
            <v>0</v>
          </cell>
          <cell r="AH706">
            <v>24.15</v>
          </cell>
          <cell r="AI706">
            <v>29</v>
          </cell>
          <cell r="AJ706">
            <v>0</v>
          </cell>
          <cell r="AK706">
            <v>0</v>
          </cell>
          <cell r="AL706">
            <v>4.8500000000000014</v>
          </cell>
          <cell r="AM706">
            <v>0</v>
          </cell>
          <cell r="AN706">
            <v>4.8500000000000014</v>
          </cell>
          <cell r="AO706">
            <v>0</v>
          </cell>
          <cell r="AP706">
            <v>4.8500000000000014</v>
          </cell>
          <cell r="AQ706" t="str">
            <v>US_27618</v>
          </cell>
          <cell r="AR706">
            <v>0</v>
          </cell>
          <cell r="AS706">
            <v>176</v>
          </cell>
          <cell r="AU706">
            <v>176</v>
          </cell>
          <cell r="AV706">
            <v>0</v>
          </cell>
          <cell r="AW706">
            <v>853.60000000000025</v>
          </cell>
          <cell r="AX706">
            <v>845.06400000000019</v>
          </cell>
          <cell r="AY706">
            <v>0</v>
          </cell>
          <cell r="AZ706">
            <v>853.60000000000025</v>
          </cell>
          <cell r="BA706">
            <v>845.06400000000019</v>
          </cell>
          <cell r="BB706">
            <v>853.60000000000025</v>
          </cell>
          <cell r="BC706">
            <v>0</v>
          </cell>
          <cell r="BD706">
            <v>0</v>
          </cell>
          <cell r="BE706">
            <v>0</v>
          </cell>
          <cell r="BF706">
            <v>39</v>
          </cell>
          <cell r="BG706">
            <v>845.06400000000019</v>
          </cell>
          <cell r="BH706">
            <v>464.78520000000009</v>
          </cell>
          <cell r="BI706">
            <v>845.06400000000019</v>
          </cell>
          <cell r="BJ706">
            <v>5104</v>
          </cell>
          <cell r="BK706">
            <v>5104</v>
          </cell>
          <cell r="BL706">
            <v>3696</v>
          </cell>
          <cell r="BM706">
            <v>3.15</v>
          </cell>
          <cell r="BN706">
            <v>0</v>
          </cell>
          <cell r="BO706">
            <v>554.4</v>
          </cell>
          <cell r="BP706">
            <v>4250.3999999999996</v>
          </cell>
          <cell r="BQ706">
            <v>3.15</v>
          </cell>
          <cell r="BR706">
            <v>853.6</v>
          </cell>
          <cell r="BT706">
            <v>2</v>
          </cell>
          <cell r="BU706">
            <v>1</v>
          </cell>
          <cell r="BV706" t="str">
            <v>N</v>
          </cell>
          <cell r="BW706">
            <v>0</v>
          </cell>
          <cell r="BX706">
            <v>0</v>
          </cell>
          <cell r="BY706">
            <v>2026</v>
          </cell>
          <cell r="BZ706" t="str">
            <v>-</v>
          </cell>
          <cell r="CA706" t="str">
            <v>-</v>
          </cell>
        </row>
        <row r="707">
          <cell r="A707" t="str">
            <v>Lucknow</v>
          </cell>
          <cell r="B707" t="str">
            <v>Trust</v>
          </cell>
          <cell r="C707" t="str">
            <v>Mid Level</v>
          </cell>
          <cell r="D707" t="str">
            <v>Harsh Agarwal</v>
          </cell>
          <cell r="E707" t="str">
            <v>-</v>
          </cell>
          <cell r="F707" t="str">
            <v>Non-MSP</v>
          </cell>
          <cell r="H707" t="str">
            <v>Alisha Iqbal</v>
          </cell>
          <cell r="J707" t="str">
            <v>ACH</v>
          </cell>
          <cell r="L707" t="str">
            <v>New</v>
          </cell>
          <cell r="M707">
            <v>46064</v>
          </cell>
          <cell r="N707">
            <v>138</v>
          </cell>
          <cell r="P707">
            <v>46429</v>
          </cell>
          <cell r="Q707" t="str">
            <v>PLC-4625</v>
          </cell>
          <cell r="R707" t="str">
            <v>Stevi Coye Vaughn</v>
          </cell>
          <cell r="S707" t="str">
            <v>Individual</v>
          </cell>
          <cell r="T707" t="str">
            <v>W2</v>
          </cell>
          <cell r="U707" t="str">
            <v>Global Logic</v>
          </cell>
          <cell r="V707">
            <v>21</v>
          </cell>
          <cell r="W707">
            <v>0</v>
          </cell>
          <cell r="X707" t="str">
            <v>USD</v>
          </cell>
          <cell r="Y707">
            <v>29</v>
          </cell>
          <cell r="Z707">
            <v>0</v>
          </cell>
          <cell r="AA707">
            <v>0</v>
          </cell>
          <cell r="AB707">
            <v>0</v>
          </cell>
          <cell r="AC707">
            <v>46157</v>
          </cell>
          <cell r="AD707">
            <v>22</v>
          </cell>
          <cell r="AE707">
            <v>46387</v>
          </cell>
          <cell r="AF707">
            <v>24.15</v>
          </cell>
          <cell r="AG707">
            <v>0</v>
          </cell>
          <cell r="AH707">
            <v>24.15</v>
          </cell>
          <cell r="AI707">
            <v>29</v>
          </cell>
          <cell r="AJ707">
            <v>0</v>
          </cell>
          <cell r="AK707">
            <v>0</v>
          </cell>
          <cell r="AL707">
            <v>4.8500000000000014</v>
          </cell>
          <cell r="AM707">
            <v>0</v>
          </cell>
          <cell r="AN707">
            <v>4.8500000000000014</v>
          </cell>
          <cell r="AO707">
            <v>0</v>
          </cell>
          <cell r="AP707">
            <v>4.8500000000000014</v>
          </cell>
          <cell r="AU707">
            <v>176</v>
          </cell>
          <cell r="BB707">
            <v>853.60000000000025</v>
          </cell>
          <cell r="BC707">
            <v>0</v>
          </cell>
          <cell r="BD707">
            <v>0</v>
          </cell>
          <cell r="BE707">
            <v>0</v>
          </cell>
          <cell r="BF707">
            <v>39</v>
          </cell>
          <cell r="BK707">
            <v>5104</v>
          </cell>
          <cell r="BL707">
            <v>3696</v>
          </cell>
          <cell r="BM707">
            <v>3.15</v>
          </cell>
          <cell r="BN707">
            <v>0</v>
          </cell>
          <cell r="BO707">
            <v>554.4</v>
          </cell>
          <cell r="BP707">
            <v>4250.3999999999996</v>
          </cell>
          <cell r="BQ707">
            <v>3.15</v>
          </cell>
          <cell r="BR707">
            <v>853.6</v>
          </cell>
          <cell r="BT707">
            <v>2</v>
          </cell>
          <cell r="BU707">
            <v>1</v>
          </cell>
          <cell r="BV707" t="str">
            <v>N</v>
          </cell>
          <cell r="BW707">
            <v>0</v>
          </cell>
          <cell r="BX707">
            <v>0</v>
          </cell>
          <cell r="BY707">
            <v>2026</v>
          </cell>
          <cell r="BZ707" t="str">
            <v>-</v>
          </cell>
          <cell r="CA707" t="str">
            <v>-</v>
          </cell>
        </row>
        <row r="708">
          <cell r="A708" t="str">
            <v>Lucknow</v>
          </cell>
          <cell r="B708" t="str">
            <v>Mavericks</v>
          </cell>
          <cell r="C708" t="str">
            <v>Mid Level</v>
          </cell>
          <cell r="D708" t="str">
            <v>Mohammad Fakhrul</v>
          </cell>
          <cell r="E708" t="str">
            <v>-</v>
          </cell>
          <cell r="F708" t="str">
            <v>MSP</v>
          </cell>
          <cell r="H708" t="str">
            <v>Pass Through/MSP</v>
          </cell>
          <cell r="J708" t="str">
            <v>ACH</v>
          </cell>
          <cell r="L708" t="str">
            <v>New</v>
          </cell>
          <cell r="M708">
            <v>46134</v>
          </cell>
          <cell r="N708">
            <v>68</v>
          </cell>
          <cell r="P708">
            <v>46499</v>
          </cell>
          <cell r="Q708" t="str">
            <v>PLC-Passthrough</v>
          </cell>
          <cell r="R708" t="str">
            <v>Sudhakar Mamiduri Kummari</v>
          </cell>
          <cell r="S708" t="str">
            <v>Individual</v>
          </cell>
          <cell r="T708" t="str">
            <v>C2C Canada</v>
          </cell>
          <cell r="U708" t="str">
            <v>Cigniti</v>
          </cell>
          <cell r="V708">
            <v>67</v>
          </cell>
          <cell r="W708">
            <v>0</v>
          </cell>
          <cell r="X708" t="str">
            <v>USD</v>
          </cell>
          <cell r="Y708">
            <v>68</v>
          </cell>
          <cell r="Z708">
            <v>0</v>
          </cell>
          <cell r="AA708">
            <v>0</v>
          </cell>
          <cell r="AB708">
            <v>0</v>
          </cell>
          <cell r="AC708">
            <v>46157</v>
          </cell>
          <cell r="AD708">
            <v>7</v>
          </cell>
          <cell r="AE708">
            <v>46387</v>
          </cell>
          <cell r="AF708">
            <v>67</v>
          </cell>
          <cell r="AG708">
            <v>0</v>
          </cell>
          <cell r="AH708">
            <v>67</v>
          </cell>
          <cell r="AI708">
            <v>68</v>
          </cell>
          <cell r="AJ708">
            <v>0</v>
          </cell>
          <cell r="AK708">
            <v>0</v>
          </cell>
          <cell r="AL708">
            <v>1</v>
          </cell>
          <cell r="AM708">
            <v>0</v>
          </cell>
          <cell r="AN708">
            <v>1</v>
          </cell>
          <cell r="AO708">
            <v>0</v>
          </cell>
          <cell r="AP708">
            <v>1</v>
          </cell>
          <cell r="AQ708" t="str">
            <v>CAD_2176</v>
          </cell>
          <cell r="AR708">
            <v>0</v>
          </cell>
          <cell r="AS708">
            <v>160</v>
          </cell>
          <cell r="AU708">
            <v>160</v>
          </cell>
          <cell r="AV708">
            <v>0</v>
          </cell>
          <cell r="AW708">
            <v>160</v>
          </cell>
          <cell r="AX708">
            <v>158.4</v>
          </cell>
          <cell r="AY708">
            <v>0</v>
          </cell>
          <cell r="AZ708">
            <v>160</v>
          </cell>
          <cell r="BA708">
            <v>158.4</v>
          </cell>
          <cell r="BB708">
            <v>160</v>
          </cell>
          <cell r="BC708">
            <v>0</v>
          </cell>
          <cell r="BD708">
            <v>0</v>
          </cell>
          <cell r="BE708">
            <v>0</v>
          </cell>
          <cell r="BG708">
            <v>158.4</v>
          </cell>
          <cell r="BI708">
            <v>0</v>
          </cell>
          <cell r="BJ708">
            <v>10880</v>
          </cell>
          <cell r="BK708">
            <v>10880</v>
          </cell>
          <cell r="BL708">
            <v>10720</v>
          </cell>
          <cell r="BM708">
            <v>0</v>
          </cell>
          <cell r="BN708">
            <v>0</v>
          </cell>
          <cell r="BO708">
            <v>0</v>
          </cell>
          <cell r="BP708">
            <v>10720</v>
          </cell>
          <cell r="BQ708">
            <v>0</v>
          </cell>
          <cell r="BR708">
            <v>160</v>
          </cell>
          <cell r="BT708">
            <v>2</v>
          </cell>
          <cell r="BU708">
            <v>2</v>
          </cell>
          <cell r="BV708" t="str">
            <v>N</v>
          </cell>
          <cell r="BW708">
            <v>0</v>
          </cell>
          <cell r="BX708">
            <v>0</v>
          </cell>
          <cell r="BY708">
            <v>2026</v>
          </cell>
          <cell r="BZ708" t="str">
            <v>-</v>
          </cell>
          <cell r="CA708" t="str">
            <v>-</v>
          </cell>
        </row>
        <row r="709">
          <cell r="A709" t="str">
            <v>Lucknow</v>
          </cell>
          <cell r="B709" t="str">
            <v>Mavericks</v>
          </cell>
          <cell r="C709" t="str">
            <v>Mid Level</v>
          </cell>
          <cell r="D709" t="str">
            <v>Rohit Gupta</v>
          </cell>
          <cell r="E709" t="str">
            <v>Vivek Yadav</v>
          </cell>
          <cell r="F709" t="str">
            <v>MSP</v>
          </cell>
          <cell r="H709" t="str">
            <v>Pass Through</v>
          </cell>
          <cell r="J709" t="str">
            <v>ACH</v>
          </cell>
          <cell r="L709" t="str">
            <v>New</v>
          </cell>
          <cell r="M709">
            <v>46036</v>
          </cell>
          <cell r="N709">
            <v>166</v>
          </cell>
          <cell r="O709">
            <v>46189</v>
          </cell>
          <cell r="P709">
            <v>46401</v>
          </cell>
          <cell r="Q709" t="str">
            <v>PLC-Passthrough</v>
          </cell>
          <cell r="R709" t="str">
            <v>Sudhakar Sakamuri</v>
          </cell>
          <cell r="S709" t="str">
            <v>Individual</v>
          </cell>
          <cell r="T709" t="str">
            <v>C2C</v>
          </cell>
          <cell r="U709" t="str">
            <v>CoForge</v>
          </cell>
          <cell r="V709">
            <v>83</v>
          </cell>
          <cell r="W709">
            <v>0</v>
          </cell>
          <cell r="X709" t="str">
            <v>USD</v>
          </cell>
          <cell r="Y709">
            <v>84</v>
          </cell>
          <cell r="Z709">
            <v>0</v>
          </cell>
          <cell r="AA709">
            <v>0</v>
          </cell>
          <cell r="AB709">
            <v>0</v>
          </cell>
          <cell r="AC709">
            <v>46037</v>
          </cell>
          <cell r="AD709">
            <v>13</v>
          </cell>
          <cell r="AE709">
            <v>46387</v>
          </cell>
          <cell r="AF709">
            <v>83</v>
          </cell>
          <cell r="AG709">
            <v>0</v>
          </cell>
          <cell r="AH709">
            <v>83</v>
          </cell>
          <cell r="AI709">
            <v>84</v>
          </cell>
          <cell r="AJ709">
            <v>0</v>
          </cell>
          <cell r="AK709">
            <v>0</v>
          </cell>
          <cell r="AL709">
            <v>1</v>
          </cell>
          <cell r="AM709">
            <v>0</v>
          </cell>
          <cell r="AN709">
            <v>1</v>
          </cell>
          <cell r="AO709">
            <v>0</v>
          </cell>
          <cell r="AP709">
            <v>1</v>
          </cell>
          <cell r="AQ709" t="str">
            <v>US_CMSP_00313</v>
          </cell>
          <cell r="AR709">
            <v>0</v>
          </cell>
          <cell r="AS709">
            <v>88</v>
          </cell>
          <cell r="AU709">
            <v>88</v>
          </cell>
          <cell r="AV709">
            <v>0</v>
          </cell>
          <cell r="AW709">
            <v>88</v>
          </cell>
          <cell r="AX709">
            <v>87.12</v>
          </cell>
          <cell r="AY709">
            <v>0</v>
          </cell>
          <cell r="AZ709">
            <v>88</v>
          </cell>
          <cell r="BA709">
            <v>87.12</v>
          </cell>
          <cell r="BB709">
            <v>88</v>
          </cell>
          <cell r="BC709">
            <v>0</v>
          </cell>
          <cell r="BD709">
            <v>0</v>
          </cell>
          <cell r="BE709">
            <v>0</v>
          </cell>
          <cell r="BG709">
            <v>87.12</v>
          </cell>
          <cell r="BI709">
            <v>87.12</v>
          </cell>
          <cell r="BJ709">
            <v>7392</v>
          </cell>
          <cell r="BK709">
            <v>7392</v>
          </cell>
          <cell r="BL709">
            <v>7304</v>
          </cell>
          <cell r="BM709">
            <v>0</v>
          </cell>
          <cell r="BN709">
            <v>0</v>
          </cell>
          <cell r="BO709">
            <v>0</v>
          </cell>
          <cell r="BP709">
            <v>7304</v>
          </cell>
          <cell r="BQ709">
            <v>0</v>
          </cell>
          <cell r="BR709">
            <v>88</v>
          </cell>
          <cell r="BS709" t="str">
            <v>Y</v>
          </cell>
          <cell r="BT709">
            <v>1</v>
          </cell>
          <cell r="BU709">
            <v>1</v>
          </cell>
          <cell r="BV709" t="str">
            <v>Y</v>
          </cell>
          <cell r="BW709">
            <v>0</v>
          </cell>
          <cell r="BX709">
            <v>0</v>
          </cell>
          <cell r="BY709">
            <v>2026</v>
          </cell>
          <cell r="BZ709" t="str">
            <v>-</v>
          </cell>
          <cell r="CA709" t="str">
            <v>-</v>
          </cell>
        </row>
        <row r="710">
          <cell r="A710" t="str">
            <v>Lucknow</v>
          </cell>
          <cell r="B710" t="str">
            <v>Mavericks</v>
          </cell>
          <cell r="C710" t="str">
            <v>Mid Level</v>
          </cell>
          <cell r="D710" t="str">
            <v>Rohit Gupta</v>
          </cell>
          <cell r="E710" t="str">
            <v>Vivek Yadav</v>
          </cell>
          <cell r="F710" t="str">
            <v>MSP</v>
          </cell>
          <cell r="H710" t="str">
            <v>Pass Through</v>
          </cell>
          <cell r="J710" t="str">
            <v>ACH</v>
          </cell>
          <cell r="L710" t="str">
            <v>New</v>
          </cell>
          <cell r="M710">
            <v>46036</v>
          </cell>
          <cell r="N710">
            <v>166</v>
          </cell>
          <cell r="O710">
            <v>46189</v>
          </cell>
          <cell r="P710">
            <v>46401</v>
          </cell>
          <cell r="Q710" t="str">
            <v>PLC-Passthrough</v>
          </cell>
          <cell r="R710" t="str">
            <v>Sudhakar Sakamuri</v>
          </cell>
          <cell r="S710" t="str">
            <v>Individual</v>
          </cell>
          <cell r="T710" t="str">
            <v>C2C</v>
          </cell>
          <cell r="U710" t="str">
            <v>CoForge</v>
          </cell>
          <cell r="V710">
            <v>83</v>
          </cell>
          <cell r="W710">
            <v>0</v>
          </cell>
          <cell r="X710" t="str">
            <v>USD</v>
          </cell>
          <cell r="Y710">
            <v>84</v>
          </cell>
          <cell r="Z710">
            <v>0</v>
          </cell>
          <cell r="AA710">
            <v>0</v>
          </cell>
          <cell r="AB710">
            <v>0</v>
          </cell>
          <cell r="AC710">
            <v>46068</v>
          </cell>
          <cell r="AD710">
            <v>20</v>
          </cell>
          <cell r="AE710">
            <v>46387</v>
          </cell>
          <cell r="AF710">
            <v>83</v>
          </cell>
          <cell r="AG710">
            <v>0</v>
          </cell>
          <cell r="AH710">
            <v>83</v>
          </cell>
          <cell r="AI710">
            <v>84</v>
          </cell>
          <cell r="AJ710">
            <v>0</v>
          </cell>
          <cell r="AK710">
            <v>0</v>
          </cell>
          <cell r="AL710">
            <v>1</v>
          </cell>
          <cell r="AM710">
            <v>0</v>
          </cell>
          <cell r="AN710">
            <v>1</v>
          </cell>
          <cell r="AO710">
            <v>0</v>
          </cell>
          <cell r="AP710">
            <v>1</v>
          </cell>
          <cell r="AQ710" t="str">
            <v>US_CMSP_00426</v>
          </cell>
          <cell r="AR710">
            <v>0</v>
          </cell>
          <cell r="AS710">
            <v>152</v>
          </cell>
          <cell r="AU710">
            <v>152</v>
          </cell>
          <cell r="AV710">
            <v>0</v>
          </cell>
          <cell r="AW710">
            <v>152</v>
          </cell>
          <cell r="AX710">
            <v>150.47999999999999</v>
          </cell>
          <cell r="AY710">
            <v>0</v>
          </cell>
          <cell r="AZ710">
            <v>152</v>
          </cell>
          <cell r="BA710">
            <v>150.47999999999999</v>
          </cell>
          <cell r="BB710">
            <v>152</v>
          </cell>
          <cell r="BC710">
            <v>0</v>
          </cell>
          <cell r="BD710">
            <v>0</v>
          </cell>
          <cell r="BE710">
            <v>0</v>
          </cell>
          <cell r="BG710">
            <v>150.47999999999999</v>
          </cell>
          <cell r="BI710">
            <v>150.47999999999999</v>
          </cell>
          <cell r="BJ710">
            <v>12768</v>
          </cell>
          <cell r="BK710">
            <v>12768</v>
          </cell>
          <cell r="BL710">
            <v>12616</v>
          </cell>
          <cell r="BM710">
            <v>0</v>
          </cell>
          <cell r="BN710">
            <v>0</v>
          </cell>
          <cell r="BO710">
            <v>0</v>
          </cell>
          <cell r="BP710">
            <v>12616</v>
          </cell>
          <cell r="BQ710">
            <v>0</v>
          </cell>
          <cell r="BR710">
            <v>152</v>
          </cell>
          <cell r="BS710" t="str">
            <v>Y</v>
          </cell>
          <cell r="BT710">
            <v>1</v>
          </cell>
          <cell r="BU710">
            <v>1</v>
          </cell>
          <cell r="BV710" t="str">
            <v>Y</v>
          </cell>
          <cell r="BW710">
            <v>0</v>
          </cell>
          <cell r="BX710">
            <v>0</v>
          </cell>
          <cell r="BY710">
            <v>2026</v>
          </cell>
          <cell r="BZ710" t="str">
            <v>-</v>
          </cell>
          <cell r="CA710" t="str">
            <v>-</v>
          </cell>
        </row>
        <row r="711">
          <cell r="A711" t="str">
            <v>Lucknow</v>
          </cell>
          <cell r="B711" t="str">
            <v>Mavericks</v>
          </cell>
          <cell r="C711" t="str">
            <v>Mid Level</v>
          </cell>
          <cell r="D711" t="str">
            <v>Rohit Gupta</v>
          </cell>
          <cell r="E711" t="str">
            <v>Vivek Yadav</v>
          </cell>
          <cell r="F711" t="str">
            <v>MSP</v>
          </cell>
          <cell r="H711" t="str">
            <v>Pass Through</v>
          </cell>
          <cell r="J711" t="str">
            <v>ACH</v>
          </cell>
          <cell r="L711" t="str">
            <v>New</v>
          </cell>
          <cell r="M711">
            <v>46036</v>
          </cell>
          <cell r="N711">
            <v>166</v>
          </cell>
          <cell r="O711">
            <v>46189</v>
          </cell>
          <cell r="P711">
            <v>46401</v>
          </cell>
          <cell r="Q711" t="str">
            <v>PLC-Passthrough</v>
          </cell>
          <cell r="R711" t="str">
            <v>Sudhakar Sakamuri</v>
          </cell>
          <cell r="S711" t="str">
            <v>Individual</v>
          </cell>
          <cell r="T711" t="str">
            <v>C2C</v>
          </cell>
          <cell r="U711" t="str">
            <v>CoForge</v>
          </cell>
          <cell r="V711">
            <v>83</v>
          </cell>
          <cell r="W711">
            <v>0</v>
          </cell>
          <cell r="X711" t="str">
            <v>USD</v>
          </cell>
          <cell r="Y711">
            <v>84</v>
          </cell>
          <cell r="Z711">
            <v>0</v>
          </cell>
          <cell r="AA711">
            <v>0</v>
          </cell>
          <cell r="AB711">
            <v>0</v>
          </cell>
          <cell r="AC711">
            <v>46096</v>
          </cell>
          <cell r="AD711">
            <v>22</v>
          </cell>
          <cell r="AE711">
            <v>46387</v>
          </cell>
          <cell r="AF711">
            <v>83</v>
          </cell>
          <cell r="AG711">
            <v>0</v>
          </cell>
          <cell r="AH711">
            <v>83</v>
          </cell>
          <cell r="AI711">
            <v>84</v>
          </cell>
          <cell r="AJ711">
            <v>0</v>
          </cell>
          <cell r="AK711">
            <v>0</v>
          </cell>
          <cell r="AL711">
            <v>1</v>
          </cell>
          <cell r="AM711">
            <v>0</v>
          </cell>
          <cell r="AN711">
            <v>1</v>
          </cell>
          <cell r="AO711">
            <v>0</v>
          </cell>
          <cell r="AP711">
            <v>1</v>
          </cell>
          <cell r="AQ711" t="str">
            <v>US_CMSP_00534</v>
          </cell>
          <cell r="AR711">
            <v>0</v>
          </cell>
          <cell r="AS711">
            <v>168</v>
          </cell>
          <cell r="AU711">
            <v>168</v>
          </cell>
          <cell r="AV711">
            <v>0</v>
          </cell>
          <cell r="AW711">
            <v>168</v>
          </cell>
          <cell r="AX711">
            <v>166.32</v>
          </cell>
          <cell r="AY711">
            <v>0</v>
          </cell>
          <cell r="AZ711">
            <v>168</v>
          </cell>
          <cell r="BA711">
            <v>166.32</v>
          </cell>
          <cell r="BB711">
            <v>168</v>
          </cell>
          <cell r="BC711">
            <v>0</v>
          </cell>
          <cell r="BD711">
            <v>0</v>
          </cell>
          <cell r="BE711">
            <v>0</v>
          </cell>
          <cell r="BG711">
            <v>166.32</v>
          </cell>
          <cell r="BI711">
            <v>166.32</v>
          </cell>
          <cell r="BJ711">
            <v>14112</v>
          </cell>
          <cell r="BK711">
            <v>14112</v>
          </cell>
          <cell r="BL711">
            <v>13944</v>
          </cell>
          <cell r="BM711">
            <v>0</v>
          </cell>
          <cell r="BN711">
            <v>0</v>
          </cell>
          <cell r="BO711">
            <v>0</v>
          </cell>
          <cell r="BP711">
            <v>13944</v>
          </cell>
          <cell r="BQ711">
            <v>0</v>
          </cell>
          <cell r="BR711">
            <v>168</v>
          </cell>
          <cell r="BS711" t="str">
            <v>Y</v>
          </cell>
          <cell r="BT711">
            <v>1</v>
          </cell>
          <cell r="BU711">
            <v>1</v>
          </cell>
          <cell r="BV711" t="str">
            <v>Y</v>
          </cell>
          <cell r="BW711">
            <v>0</v>
          </cell>
          <cell r="BX711">
            <v>0</v>
          </cell>
          <cell r="BY711">
            <v>2026</v>
          </cell>
          <cell r="BZ711" t="str">
            <v>-</v>
          </cell>
          <cell r="CA711" t="str">
            <v>-</v>
          </cell>
        </row>
        <row r="712">
          <cell r="A712" t="str">
            <v>Lucknow</v>
          </cell>
          <cell r="B712" t="str">
            <v>Mavericks</v>
          </cell>
          <cell r="C712" t="str">
            <v>Mid Level</v>
          </cell>
          <cell r="D712" t="str">
            <v>Rohit Gupta</v>
          </cell>
          <cell r="E712" t="str">
            <v>Vivek Yadav</v>
          </cell>
          <cell r="F712" t="str">
            <v>MSP</v>
          </cell>
          <cell r="H712" t="str">
            <v>Pass Through</v>
          </cell>
          <cell r="J712" t="str">
            <v>ACH</v>
          </cell>
          <cell r="L712" t="str">
            <v>New</v>
          </cell>
          <cell r="M712">
            <v>46036</v>
          </cell>
          <cell r="N712">
            <v>166</v>
          </cell>
          <cell r="O712">
            <v>46189</v>
          </cell>
          <cell r="P712">
            <v>46401</v>
          </cell>
          <cell r="Q712" t="str">
            <v>PLC-Passthrough</v>
          </cell>
          <cell r="R712" t="str">
            <v>Sudhakar Sakamuri</v>
          </cell>
          <cell r="S712" t="str">
            <v>Individual</v>
          </cell>
          <cell r="T712" t="str">
            <v>C2C</v>
          </cell>
          <cell r="U712" t="str">
            <v>CoForge</v>
          </cell>
          <cell r="V712">
            <v>83</v>
          </cell>
          <cell r="W712">
            <v>0</v>
          </cell>
          <cell r="X712" t="str">
            <v>USD</v>
          </cell>
          <cell r="Y712">
            <v>84</v>
          </cell>
          <cell r="Z712">
            <v>0</v>
          </cell>
          <cell r="AA712">
            <v>0</v>
          </cell>
          <cell r="AB712">
            <v>0</v>
          </cell>
          <cell r="AC712">
            <v>46127</v>
          </cell>
          <cell r="AD712">
            <v>22</v>
          </cell>
          <cell r="AE712">
            <v>46387</v>
          </cell>
          <cell r="AF712">
            <v>83</v>
          </cell>
          <cell r="AG712">
            <v>0</v>
          </cell>
          <cell r="AH712">
            <v>83</v>
          </cell>
          <cell r="AI712">
            <v>84</v>
          </cell>
          <cell r="AJ712">
            <v>0</v>
          </cell>
          <cell r="AK712">
            <v>0</v>
          </cell>
          <cell r="AL712">
            <v>1</v>
          </cell>
          <cell r="AM712">
            <v>0</v>
          </cell>
          <cell r="AN712">
            <v>1</v>
          </cell>
          <cell r="AO712">
            <v>0</v>
          </cell>
          <cell r="AP712">
            <v>1</v>
          </cell>
          <cell r="AQ712" t="str">
            <v>US_CMSP_00681</v>
          </cell>
          <cell r="AR712">
            <v>0</v>
          </cell>
          <cell r="AS712">
            <v>176</v>
          </cell>
          <cell r="AU712">
            <v>176</v>
          </cell>
          <cell r="AV712">
            <v>0</v>
          </cell>
          <cell r="AW712">
            <v>176</v>
          </cell>
          <cell r="AX712">
            <v>174.24</v>
          </cell>
          <cell r="AY712">
            <v>0</v>
          </cell>
          <cell r="AZ712">
            <v>176</v>
          </cell>
          <cell r="BA712">
            <v>174.24</v>
          </cell>
          <cell r="BB712">
            <v>176</v>
          </cell>
          <cell r="BC712">
            <v>0</v>
          </cell>
          <cell r="BD712">
            <v>0</v>
          </cell>
          <cell r="BE712">
            <v>0</v>
          </cell>
          <cell r="BG712">
            <v>174.24</v>
          </cell>
          <cell r="BI712">
            <v>174.24</v>
          </cell>
          <cell r="BJ712">
            <v>14784</v>
          </cell>
          <cell r="BK712">
            <v>14784</v>
          </cell>
          <cell r="BL712">
            <v>14608</v>
          </cell>
          <cell r="BM712">
            <v>0</v>
          </cell>
          <cell r="BN712">
            <v>0</v>
          </cell>
          <cell r="BO712">
            <v>0</v>
          </cell>
          <cell r="BP712">
            <v>14608</v>
          </cell>
          <cell r="BQ712">
            <v>0</v>
          </cell>
          <cell r="BR712">
            <v>176</v>
          </cell>
          <cell r="BT712">
            <v>2</v>
          </cell>
          <cell r="BU712">
            <v>1</v>
          </cell>
          <cell r="BV712" t="str">
            <v>Y</v>
          </cell>
          <cell r="BW712">
            <v>0</v>
          </cell>
          <cell r="BX712">
            <v>0</v>
          </cell>
          <cell r="BY712">
            <v>2026</v>
          </cell>
          <cell r="BZ712" t="str">
            <v>-</v>
          </cell>
          <cell r="CA712" t="str">
            <v>-</v>
          </cell>
        </row>
        <row r="713">
          <cell r="A713" t="str">
            <v>Lucknow</v>
          </cell>
          <cell r="B713" t="str">
            <v>Mavericks</v>
          </cell>
          <cell r="C713" t="str">
            <v>Mid Level</v>
          </cell>
          <cell r="D713" t="str">
            <v>Rohit Gupta</v>
          </cell>
          <cell r="E713" t="str">
            <v>Vivek Yadav</v>
          </cell>
          <cell r="F713" t="str">
            <v>MSP</v>
          </cell>
          <cell r="H713" t="str">
            <v>Pass Through</v>
          </cell>
          <cell r="J713" t="str">
            <v>ACH</v>
          </cell>
          <cell r="L713" t="str">
            <v>New</v>
          </cell>
          <cell r="M713">
            <v>46036</v>
          </cell>
          <cell r="N713">
            <v>166</v>
          </cell>
          <cell r="O713">
            <v>46189</v>
          </cell>
          <cell r="P713">
            <v>46401</v>
          </cell>
          <cell r="Q713" t="str">
            <v>PLC-Passthrough</v>
          </cell>
          <cell r="R713" t="str">
            <v>Sudhakar Sakamuri</v>
          </cell>
          <cell r="S713" t="str">
            <v>Individual</v>
          </cell>
          <cell r="T713" t="str">
            <v>C2C</v>
          </cell>
          <cell r="U713" t="str">
            <v>CoForge</v>
          </cell>
          <cell r="V713">
            <v>83</v>
          </cell>
          <cell r="W713">
            <v>0</v>
          </cell>
          <cell r="X713" t="str">
            <v>USD</v>
          </cell>
          <cell r="Y713">
            <v>84</v>
          </cell>
          <cell r="Z713">
            <v>0</v>
          </cell>
          <cell r="AA713">
            <v>0</v>
          </cell>
          <cell r="AB713">
            <v>0</v>
          </cell>
          <cell r="AC713">
            <v>46157</v>
          </cell>
          <cell r="AD713">
            <v>22</v>
          </cell>
          <cell r="AE713">
            <v>46387</v>
          </cell>
          <cell r="AF713">
            <v>83</v>
          </cell>
          <cell r="AG713">
            <v>0</v>
          </cell>
          <cell r="AH713">
            <v>83</v>
          </cell>
          <cell r="AI713">
            <v>84</v>
          </cell>
          <cell r="AJ713">
            <v>0</v>
          </cell>
          <cell r="AK713">
            <v>0</v>
          </cell>
          <cell r="AL713">
            <v>1</v>
          </cell>
          <cell r="AM713">
            <v>0</v>
          </cell>
          <cell r="AN713">
            <v>1</v>
          </cell>
          <cell r="AO713">
            <v>0</v>
          </cell>
          <cell r="AP713">
            <v>1</v>
          </cell>
          <cell r="AQ713" t="str">
            <v>US_CMSP_00776</v>
          </cell>
          <cell r="AR713">
            <v>0</v>
          </cell>
          <cell r="AS713">
            <v>160</v>
          </cell>
          <cell r="AU713">
            <v>160</v>
          </cell>
          <cell r="AV713">
            <v>0</v>
          </cell>
          <cell r="AW713">
            <v>160</v>
          </cell>
          <cell r="AX713">
            <v>158.4</v>
          </cell>
          <cell r="AY713">
            <v>0</v>
          </cell>
          <cell r="AZ713">
            <v>160</v>
          </cell>
          <cell r="BA713">
            <v>158.4</v>
          </cell>
          <cell r="BB713">
            <v>160</v>
          </cell>
          <cell r="BC713">
            <v>0</v>
          </cell>
          <cell r="BD713">
            <v>0</v>
          </cell>
          <cell r="BE713">
            <v>0</v>
          </cell>
          <cell r="BG713">
            <v>158.4</v>
          </cell>
          <cell r="BI713">
            <v>158.4</v>
          </cell>
          <cell r="BJ713">
            <v>13440</v>
          </cell>
          <cell r="BK713">
            <v>13440</v>
          </cell>
          <cell r="BL713">
            <v>13280</v>
          </cell>
          <cell r="BM713">
            <v>0</v>
          </cell>
          <cell r="BN713">
            <v>0</v>
          </cell>
          <cell r="BO713">
            <v>0</v>
          </cell>
          <cell r="BP713">
            <v>13280</v>
          </cell>
          <cell r="BQ713">
            <v>0</v>
          </cell>
          <cell r="BR713">
            <v>160</v>
          </cell>
          <cell r="BT713">
            <v>2</v>
          </cell>
          <cell r="BU713">
            <v>1</v>
          </cell>
          <cell r="BV713" t="str">
            <v>Y</v>
          </cell>
          <cell r="BW713">
            <v>0</v>
          </cell>
          <cell r="BX713">
            <v>0</v>
          </cell>
          <cell r="BY713">
            <v>2026</v>
          </cell>
          <cell r="BZ713" t="str">
            <v>-</v>
          </cell>
          <cell r="CA713" t="str">
            <v>-</v>
          </cell>
        </row>
        <row r="714">
          <cell r="A714" t="str">
            <v>Lucknow</v>
          </cell>
          <cell r="B714" t="str">
            <v>Mavericks</v>
          </cell>
          <cell r="C714" t="str">
            <v>Mid Level</v>
          </cell>
          <cell r="D714" t="str">
            <v>Mohammad Fakhrul</v>
          </cell>
          <cell r="E714" t="str">
            <v>-</v>
          </cell>
          <cell r="F714" t="str">
            <v>MSP</v>
          </cell>
          <cell r="H714" t="str">
            <v>Pass Through/MSP</v>
          </cell>
          <cell r="L714" t="str">
            <v>New</v>
          </cell>
          <cell r="M714">
            <v>46101</v>
          </cell>
          <cell r="N714">
            <v>101</v>
          </cell>
          <cell r="P714">
            <v>46466</v>
          </cell>
          <cell r="Q714" t="str">
            <v>PLC-Passthrough</v>
          </cell>
          <cell r="R714" t="str">
            <v>Sudharshan Chandrashekar</v>
          </cell>
          <cell r="S714" t="str">
            <v>Individual</v>
          </cell>
          <cell r="T714" t="str">
            <v>C2C</v>
          </cell>
          <cell r="U714" t="str">
            <v>Cigniti</v>
          </cell>
          <cell r="V714">
            <v>93</v>
          </cell>
          <cell r="W714">
            <v>0</v>
          </cell>
          <cell r="X714" t="str">
            <v>USD</v>
          </cell>
          <cell r="Y714">
            <v>95</v>
          </cell>
          <cell r="Z714">
            <v>0</v>
          </cell>
          <cell r="AA714">
            <v>0</v>
          </cell>
          <cell r="AB714">
            <v>0</v>
          </cell>
          <cell r="AC714">
            <v>46096</v>
          </cell>
          <cell r="AD714">
            <v>8</v>
          </cell>
          <cell r="AE714">
            <v>46387</v>
          </cell>
          <cell r="AF714">
            <v>93</v>
          </cell>
          <cell r="AG714">
            <v>0</v>
          </cell>
          <cell r="AH714">
            <v>93</v>
          </cell>
          <cell r="AI714">
            <v>95</v>
          </cell>
          <cell r="AJ714">
            <v>0</v>
          </cell>
          <cell r="AK714">
            <v>0</v>
          </cell>
          <cell r="AL714">
            <v>2</v>
          </cell>
          <cell r="AM714">
            <v>0</v>
          </cell>
          <cell r="AN714">
            <v>2</v>
          </cell>
          <cell r="AO714">
            <v>0</v>
          </cell>
          <cell r="AP714">
            <v>2</v>
          </cell>
          <cell r="AQ714" t="str">
            <v>US_CMSP_00583</v>
          </cell>
          <cell r="AR714">
            <v>0</v>
          </cell>
          <cell r="AS714">
            <v>64</v>
          </cell>
          <cell r="AU714">
            <v>64</v>
          </cell>
          <cell r="AV714">
            <v>0</v>
          </cell>
          <cell r="AW714">
            <v>128</v>
          </cell>
          <cell r="AX714">
            <v>128</v>
          </cell>
          <cell r="AY714">
            <v>0</v>
          </cell>
          <cell r="AZ714">
            <v>128</v>
          </cell>
          <cell r="BA714">
            <v>128</v>
          </cell>
          <cell r="BB714">
            <v>128</v>
          </cell>
          <cell r="BC714">
            <v>0</v>
          </cell>
          <cell r="BD714">
            <v>0</v>
          </cell>
          <cell r="BE714">
            <v>0</v>
          </cell>
          <cell r="BG714">
            <v>128</v>
          </cell>
          <cell r="BI714">
            <v>128</v>
          </cell>
          <cell r="BJ714">
            <v>6080</v>
          </cell>
          <cell r="BK714">
            <v>6080</v>
          </cell>
          <cell r="BL714">
            <v>5952</v>
          </cell>
          <cell r="BM714">
            <v>0</v>
          </cell>
          <cell r="BN714">
            <v>0</v>
          </cell>
          <cell r="BO714">
            <v>0</v>
          </cell>
          <cell r="BP714">
            <v>5952</v>
          </cell>
          <cell r="BQ714">
            <v>0</v>
          </cell>
          <cell r="BR714">
            <v>128</v>
          </cell>
          <cell r="BT714">
            <v>1</v>
          </cell>
          <cell r="BU714">
            <v>1</v>
          </cell>
          <cell r="BV714" t="str">
            <v>N</v>
          </cell>
          <cell r="BW714">
            <v>0</v>
          </cell>
          <cell r="BX714">
            <v>0</v>
          </cell>
          <cell r="BY714">
            <v>2026</v>
          </cell>
          <cell r="BZ714" t="str">
            <v>-</v>
          </cell>
          <cell r="CA714" t="str">
            <v>-</v>
          </cell>
        </row>
        <row r="715">
          <cell r="A715" t="str">
            <v>Lucknow</v>
          </cell>
          <cell r="B715" t="str">
            <v>Mavericks</v>
          </cell>
          <cell r="C715" t="str">
            <v>Mid Level</v>
          </cell>
          <cell r="D715" t="str">
            <v>Mohammad Fakhrul</v>
          </cell>
          <cell r="E715" t="str">
            <v>-</v>
          </cell>
          <cell r="F715" t="str">
            <v>MSP</v>
          </cell>
          <cell r="H715" t="str">
            <v>Pass Through/MSP</v>
          </cell>
          <cell r="J715" t="str">
            <v>ACH</v>
          </cell>
          <cell r="L715" t="str">
            <v>New</v>
          </cell>
          <cell r="M715">
            <v>46101</v>
          </cell>
          <cell r="N715">
            <v>101</v>
          </cell>
          <cell r="P715">
            <v>46466</v>
          </cell>
          <cell r="Q715" t="str">
            <v>PLC-Passthrough</v>
          </cell>
          <cell r="R715" t="str">
            <v>Sudharshan Chandrashekar</v>
          </cell>
          <cell r="S715" t="str">
            <v>Individual</v>
          </cell>
          <cell r="T715" t="str">
            <v>C2C</v>
          </cell>
          <cell r="U715" t="str">
            <v>Cigniti</v>
          </cell>
          <cell r="V715">
            <v>93</v>
          </cell>
          <cell r="W715">
            <v>0</v>
          </cell>
          <cell r="X715" t="str">
            <v>USD</v>
          </cell>
          <cell r="Y715">
            <v>95</v>
          </cell>
          <cell r="Z715">
            <v>0</v>
          </cell>
          <cell r="AA715">
            <v>0</v>
          </cell>
          <cell r="AB715">
            <v>0</v>
          </cell>
          <cell r="AC715">
            <v>46127</v>
          </cell>
          <cell r="AD715">
            <v>22</v>
          </cell>
          <cell r="AE715">
            <v>46387</v>
          </cell>
          <cell r="AF715">
            <v>93</v>
          </cell>
          <cell r="AG715">
            <v>0</v>
          </cell>
          <cell r="AH715">
            <v>93</v>
          </cell>
          <cell r="AI715">
            <v>95</v>
          </cell>
          <cell r="AJ715">
            <v>0</v>
          </cell>
          <cell r="AK715">
            <v>0</v>
          </cell>
          <cell r="AL715">
            <v>2</v>
          </cell>
          <cell r="AM715">
            <v>0</v>
          </cell>
          <cell r="AN715">
            <v>2</v>
          </cell>
          <cell r="AO715">
            <v>0</v>
          </cell>
          <cell r="AP715">
            <v>2</v>
          </cell>
          <cell r="AQ715" t="str">
            <v>US_CMSP_00724</v>
          </cell>
          <cell r="AR715">
            <v>0</v>
          </cell>
          <cell r="AS715">
            <v>168</v>
          </cell>
          <cell r="AU715">
            <v>168</v>
          </cell>
          <cell r="AV715">
            <v>0</v>
          </cell>
          <cell r="AW715">
            <v>336</v>
          </cell>
          <cell r="AX715">
            <v>332.64</v>
          </cell>
          <cell r="AY715">
            <v>0</v>
          </cell>
          <cell r="AZ715">
            <v>336</v>
          </cell>
          <cell r="BA715">
            <v>332.64</v>
          </cell>
          <cell r="BB715">
            <v>336</v>
          </cell>
          <cell r="BC715">
            <v>0</v>
          </cell>
          <cell r="BD715">
            <v>0</v>
          </cell>
          <cell r="BE715">
            <v>0</v>
          </cell>
          <cell r="BG715">
            <v>332.64</v>
          </cell>
          <cell r="BI715">
            <v>332.64</v>
          </cell>
          <cell r="BJ715">
            <v>15960</v>
          </cell>
          <cell r="BK715">
            <v>15960</v>
          </cell>
          <cell r="BL715">
            <v>15624</v>
          </cell>
          <cell r="BM715">
            <v>0</v>
          </cell>
          <cell r="BN715">
            <v>0</v>
          </cell>
          <cell r="BO715">
            <v>0</v>
          </cell>
          <cell r="BP715">
            <v>15624</v>
          </cell>
          <cell r="BQ715">
            <v>0</v>
          </cell>
          <cell r="BR715">
            <v>336</v>
          </cell>
          <cell r="BT715">
            <v>2</v>
          </cell>
          <cell r="BU715">
            <v>1</v>
          </cell>
          <cell r="BV715" t="str">
            <v>N</v>
          </cell>
          <cell r="BW715">
            <v>0</v>
          </cell>
          <cell r="BX715">
            <v>0</v>
          </cell>
          <cell r="BY715">
            <v>2026</v>
          </cell>
          <cell r="BZ715" t="str">
            <v>-</v>
          </cell>
          <cell r="CA715" t="str">
            <v>-</v>
          </cell>
        </row>
        <row r="716">
          <cell r="A716" t="str">
            <v>Lucknow</v>
          </cell>
          <cell r="B716" t="str">
            <v>Mavericks</v>
          </cell>
          <cell r="C716" t="str">
            <v>Mid Level</v>
          </cell>
          <cell r="D716" t="str">
            <v>Mohammad Fakhrul</v>
          </cell>
          <cell r="E716" t="str">
            <v>-</v>
          </cell>
          <cell r="F716" t="str">
            <v>MSP</v>
          </cell>
          <cell r="H716" t="str">
            <v>Pass Through/MSP</v>
          </cell>
          <cell r="J716" t="str">
            <v>ACH</v>
          </cell>
          <cell r="L716" t="str">
            <v>New</v>
          </cell>
          <cell r="M716">
            <v>46101</v>
          </cell>
          <cell r="N716">
            <v>101</v>
          </cell>
          <cell r="P716">
            <v>46466</v>
          </cell>
          <cell r="Q716" t="str">
            <v>PLC-Passthrough</v>
          </cell>
          <cell r="R716" t="str">
            <v>Sudharshan Chandrashekar</v>
          </cell>
          <cell r="S716" t="str">
            <v>Individual</v>
          </cell>
          <cell r="T716" t="str">
            <v>C2C</v>
          </cell>
          <cell r="U716" t="str">
            <v>Cigniti</v>
          </cell>
          <cell r="V716">
            <v>93</v>
          </cell>
          <cell r="W716">
            <v>0</v>
          </cell>
          <cell r="X716" t="str">
            <v>USD</v>
          </cell>
          <cell r="Y716">
            <v>95</v>
          </cell>
          <cell r="Z716">
            <v>0</v>
          </cell>
          <cell r="AA716">
            <v>0</v>
          </cell>
          <cell r="AB716">
            <v>0</v>
          </cell>
          <cell r="AC716">
            <v>46157</v>
          </cell>
          <cell r="AD716">
            <v>22</v>
          </cell>
          <cell r="AE716">
            <v>46387</v>
          </cell>
          <cell r="AF716">
            <v>93</v>
          </cell>
          <cell r="AG716">
            <v>0</v>
          </cell>
          <cell r="AH716">
            <v>93</v>
          </cell>
          <cell r="AI716">
            <v>95</v>
          </cell>
          <cell r="AJ716">
            <v>0</v>
          </cell>
          <cell r="AK716">
            <v>0</v>
          </cell>
          <cell r="AL716">
            <v>2</v>
          </cell>
          <cell r="AM716">
            <v>0</v>
          </cell>
          <cell r="AN716">
            <v>2</v>
          </cell>
          <cell r="AO716">
            <v>0</v>
          </cell>
          <cell r="AP716">
            <v>2</v>
          </cell>
          <cell r="AU716">
            <v>176</v>
          </cell>
          <cell r="BB716">
            <v>352</v>
          </cell>
          <cell r="BC716">
            <v>0</v>
          </cell>
          <cell r="BD716">
            <v>0</v>
          </cell>
          <cell r="BE716">
            <v>0</v>
          </cell>
          <cell r="BK716">
            <v>16720</v>
          </cell>
          <cell r="BL716">
            <v>16368</v>
          </cell>
          <cell r="BM716">
            <v>0</v>
          </cell>
          <cell r="BN716">
            <v>0</v>
          </cell>
          <cell r="BO716">
            <v>0</v>
          </cell>
          <cell r="BP716">
            <v>16368</v>
          </cell>
          <cell r="BQ716">
            <v>0</v>
          </cell>
          <cell r="BR716">
            <v>352</v>
          </cell>
          <cell r="BT716">
            <v>2</v>
          </cell>
          <cell r="BU716">
            <v>1</v>
          </cell>
          <cell r="BV716" t="str">
            <v>N</v>
          </cell>
          <cell r="BW716">
            <v>0</v>
          </cell>
          <cell r="BX716">
            <v>0</v>
          </cell>
          <cell r="BY716">
            <v>2026</v>
          </cell>
          <cell r="BZ716" t="str">
            <v>-</v>
          </cell>
          <cell r="CA716" t="str">
            <v>-</v>
          </cell>
        </row>
        <row r="717">
          <cell r="A717" t="str">
            <v>Lucknow</v>
          </cell>
          <cell r="B717" t="str">
            <v>Mavericks</v>
          </cell>
          <cell r="C717" t="str">
            <v>Mid Level</v>
          </cell>
          <cell r="D717" t="str">
            <v>Akash Saxena</v>
          </cell>
          <cell r="F717" t="str">
            <v>Non-MSP</v>
          </cell>
          <cell r="H717" t="str">
            <v>Hemant Kumar</v>
          </cell>
          <cell r="J717" t="str">
            <v>ACH</v>
          </cell>
          <cell r="L717" t="str">
            <v>New</v>
          </cell>
          <cell r="M717">
            <v>46142</v>
          </cell>
          <cell r="N717">
            <v>60</v>
          </cell>
          <cell r="P717">
            <v>46507</v>
          </cell>
          <cell r="Q717" t="str">
            <v>PLC-4861</v>
          </cell>
          <cell r="R717" t="str">
            <v>Sudheer Kumar Pallavaram</v>
          </cell>
          <cell r="S717" t="str">
            <v>Individual</v>
          </cell>
          <cell r="T717" t="str">
            <v>C2C</v>
          </cell>
          <cell r="U717" t="str">
            <v>Hexaware</v>
          </cell>
          <cell r="V717">
            <v>60</v>
          </cell>
          <cell r="W717">
            <v>0</v>
          </cell>
          <cell r="X717" t="str">
            <v>USD</v>
          </cell>
          <cell r="Y717">
            <v>75</v>
          </cell>
          <cell r="Z717">
            <v>0</v>
          </cell>
          <cell r="AA717">
            <v>0</v>
          </cell>
          <cell r="AB717">
            <v>0</v>
          </cell>
          <cell r="AC717">
            <v>46127</v>
          </cell>
          <cell r="AD717">
            <v>1</v>
          </cell>
          <cell r="AE717">
            <v>46387</v>
          </cell>
          <cell r="AF717">
            <v>60</v>
          </cell>
          <cell r="AG717">
            <v>0</v>
          </cell>
          <cell r="AH717">
            <v>60</v>
          </cell>
          <cell r="AI717">
            <v>75</v>
          </cell>
          <cell r="AJ717">
            <v>0</v>
          </cell>
          <cell r="AK717">
            <v>0</v>
          </cell>
          <cell r="AL717">
            <v>15</v>
          </cell>
          <cell r="AM717">
            <v>0</v>
          </cell>
          <cell r="AN717">
            <v>15</v>
          </cell>
          <cell r="AO717">
            <v>0</v>
          </cell>
          <cell r="AP717">
            <v>15</v>
          </cell>
          <cell r="AU717">
            <v>8</v>
          </cell>
          <cell r="BB717">
            <v>120</v>
          </cell>
          <cell r="BC717">
            <v>80</v>
          </cell>
          <cell r="BI717">
            <v>0</v>
          </cell>
          <cell r="BK717">
            <v>600</v>
          </cell>
          <cell r="BL717">
            <v>480</v>
          </cell>
          <cell r="BM717">
            <v>0</v>
          </cell>
          <cell r="BN717">
            <v>0</v>
          </cell>
          <cell r="BO717">
            <v>0</v>
          </cell>
          <cell r="BP717">
            <v>480</v>
          </cell>
          <cell r="BQ717">
            <v>0</v>
          </cell>
          <cell r="BR717">
            <v>120</v>
          </cell>
          <cell r="BT717">
            <v>2</v>
          </cell>
          <cell r="BU717">
            <v>2</v>
          </cell>
          <cell r="BV717" t="str">
            <v>Y</v>
          </cell>
          <cell r="BY717">
            <v>2026</v>
          </cell>
          <cell r="BZ717" t="str">
            <v>-</v>
          </cell>
          <cell r="CA717" t="str">
            <v>-</v>
          </cell>
        </row>
        <row r="718">
          <cell r="A718" t="str">
            <v>Lucknow</v>
          </cell>
          <cell r="B718" t="str">
            <v>Mavericks</v>
          </cell>
          <cell r="C718" t="str">
            <v>Mid Level</v>
          </cell>
          <cell r="D718" t="str">
            <v>Akash Saxena</v>
          </cell>
          <cell r="F718" t="str">
            <v>Non-MSP</v>
          </cell>
          <cell r="H718" t="str">
            <v>Hemant Kumar</v>
          </cell>
          <cell r="J718" t="str">
            <v>ACH</v>
          </cell>
          <cell r="L718" t="str">
            <v>New</v>
          </cell>
          <cell r="M718">
            <v>46142</v>
          </cell>
          <cell r="N718">
            <v>60</v>
          </cell>
          <cell r="P718">
            <v>46507</v>
          </cell>
          <cell r="Q718" t="str">
            <v>PLC-4861</v>
          </cell>
          <cell r="R718" t="str">
            <v>Sudheer Kumar Pallavaram</v>
          </cell>
          <cell r="S718" t="str">
            <v>Individual</v>
          </cell>
          <cell r="T718" t="str">
            <v>C2C</v>
          </cell>
          <cell r="U718" t="str">
            <v>Hexaware</v>
          </cell>
          <cell r="V718">
            <v>60</v>
          </cell>
          <cell r="W718">
            <v>0</v>
          </cell>
          <cell r="X718" t="str">
            <v>USD</v>
          </cell>
          <cell r="Y718">
            <v>75</v>
          </cell>
          <cell r="Z718">
            <v>0</v>
          </cell>
          <cell r="AA718">
            <v>0</v>
          </cell>
          <cell r="AB718">
            <v>0</v>
          </cell>
          <cell r="AC718">
            <v>46157</v>
          </cell>
          <cell r="AD718">
            <v>1</v>
          </cell>
          <cell r="AE718">
            <v>46387</v>
          </cell>
          <cell r="AF718">
            <v>60</v>
          </cell>
          <cell r="AG718">
            <v>0</v>
          </cell>
          <cell r="AH718">
            <v>60</v>
          </cell>
          <cell r="AI718">
            <v>75</v>
          </cell>
          <cell r="AJ718">
            <v>0</v>
          </cell>
          <cell r="AK718">
            <v>0</v>
          </cell>
          <cell r="AL718">
            <v>15</v>
          </cell>
          <cell r="AM718">
            <v>0</v>
          </cell>
          <cell r="AN718">
            <v>15</v>
          </cell>
          <cell r="AO718">
            <v>0</v>
          </cell>
          <cell r="AP718">
            <v>15</v>
          </cell>
          <cell r="AU718">
            <v>8</v>
          </cell>
          <cell r="BB718">
            <v>120</v>
          </cell>
          <cell r="BC718">
            <v>80</v>
          </cell>
          <cell r="BI718">
            <v>0</v>
          </cell>
          <cell r="BK718">
            <v>600</v>
          </cell>
          <cell r="BL718">
            <v>480</v>
          </cell>
          <cell r="BM718">
            <v>0</v>
          </cell>
          <cell r="BN718">
            <v>0</v>
          </cell>
          <cell r="BO718">
            <v>0</v>
          </cell>
          <cell r="BP718">
            <v>480</v>
          </cell>
          <cell r="BQ718">
            <v>0</v>
          </cell>
          <cell r="BR718">
            <v>120</v>
          </cell>
          <cell r="BT718">
            <v>2</v>
          </cell>
          <cell r="BU718">
            <v>2</v>
          </cell>
          <cell r="BV718" t="str">
            <v>Y</v>
          </cell>
          <cell r="BY718">
            <v>2026</v>
          </cell>
          <cell r="BZ718" t="str">
            <v>-</v>
          </cell>
          <cell r="CA718" t="str">
            <v>-</v>
          </cell>
        </row>
        <row r="719">
          <cell r="A719" t="str">
            <v>Lucknow</v>
          </cell>
          <cell r="B719" t="str">
            <v>Trust</v>
          </cell>
          <cell r="C719" t="str">
            <v>Mid Level</v>
          </cell>
          <cell r="D719" t="str">
            <v>Harsh Agarwal</v>
          </cell>
          <cell r="E719" t="str">
            <v>-</v>
          </cell>
          <cell r="F719" t="str">
            <v>Non-MSP</v>
          </cell>
          <cell r="H719" t="str">
            <v>Sudhir Kumar</v>
          </cell>
          <cell r="L719" t="str">
            <v>New</v>
          </cell>
          <cell r="M719">
            <v>46038</v>
          </cell>
          <cell r="N719">
            <v>164</v>
          </cell>
          <cell r="P719">
            <v>46403</v>
          </cell>
          <cell r="Q719" t="str">
            <v>PLC-4659</v>
          </cell>
          <cell r="R719" t="str">
            <v>Sudheer Reddy Bandaru</v>
          </cell>
          <cell r="S719" t="str">
            <v>Individual</v>
          </cell>
          <cell r="T719" t="str">
            <v>W2</v>
          </cell>
          <cell r="U719" t="str">
            <v>Birlasoft</v>
          </cell>
          <cell r="V719">
            <v>75</v>
          </cell>
          <cell r="W719">
            <v>0</v>
          </cell>
          <cell r="X719" t="str">
            <v>USD</v>
          </cell>
          <cell r="Y719">
            <v>108</v>
          </cell>
          <cell r="Z719">
            <v>0</v>
          </cell>
          <cell r="AA719">
            <v>0</v>
          </cell>
          <cell r="AB719">
            <v>4</v>
          </cell>
          <cell r="AC719">
            <v>46037</v>
          </cell>
          <cell r="AD719">
            <v>11</v>
          </cell>
          <cell r="AE719">
            <v>46387</v>
          </cell>
          <cell r="AF719">
            <v>86.25</v>
          </cell>
          <cell r="AG719">
            <v>0</v>
          </cell>
          <cell r="AH719">
            <v>90.25</v>
          </cell>
          <cell r="AI719">
            <v>108</v>
          </cell>
          <cell r="AJ719">
            <v>0</v>
          </cell>
          <cell r="AK719">
            <v>0</v>
          </cell>
          <cell r="AL719">
            <v>17.75</v>
          </cell>
          <cell r="AM719">
            <v>0</v>
          </cell>
          <cell r="AN719">
            <v>17.75</v>
          </cell>
          <cell r="AO719">
            <v>0</v>
          </cell>
          <cell r="AP719">
            <v>17.75</v>
          </cell>
          <cell r="AQ719" t="str">
            <v>US_26963</v>
          </cell>
          <cell r="AR719">
            <v>0</v>
          </cell>
          <cell r="AS719">
            <v>88</v>
          </cell>
          <cell r="AU719">
            <v>88</v>
          </cell>
          <cell r="AV719">
            <v>0</v>
          </cell>
          <cell r="AW719">
            <v>1562</v>
          </cell>
          <cell r="AX719">
            <v>1562</v>
          </cell>
          <cell r="AY719">
            <v>0</v>
          </cell>
          <cell r="AZ719">
            <v>1562</v>
          </cell>
          <cell r="BA719">
            <v>1562</v>
          </cell>
          <cell r="BB719">
            <v>1562</v>
          </cell>
          <cell r="BC719">
            <v>0</v>
          </cell>
          <cell r="BD719">
            <v>0</v>
          </cell>
          <cell r="BE719">
            <v>0</v>
          </cell>
          <cell r="BF719">
            <v>39</v>
          </cell>
          <cell r="BG719">
            <v>1562</v>
          </cell>
          <cell r="BH719">
            <v>859.1</v>
          </cell>
          <cell r="BI719">
            <v>1562</v>
          </cell>
          <cell r="BJ719">
            <v>9504</v>
          </cell>
          <cell r="BK719">
            <v>9504</v>
          </cell>
          <cell r="BL719">
            <v>6600</v>
          </cell>
          <cell r="BM719">
            <v>11.25</v>
          </cell>
          <cell r="BN719">
            <v>352</v>
          </cell>
          <cell r="BO719">
            <v>990</v>
          </cell>
          <cell r="BP719">
            <v>7942</v>
          </cell>
          <cell r="BQ719">
            <v>15.25</v>
          </cell>
          <cell r="BR719">
            <v>1562</v>
          </cell>
          <cell r="BT719">
            <v>1</v>
          </cell>
          <cell r="BU719">
            <v>1</v>
          </cell>
          <cell r="BV719" t="str">
            <v>N</v>
          </cell>
          <cell r="BW719">
            <v>0</v>
          </cell>
          <cell r="BX719">
            <v>0</v>
          </cell>
          <cell r="BY719">
            <v>2026</v>
          </cell>
          <cell r="BZ719" t="str">
            <v>-</v>
          </cell>
          <cell r="CA719" t="str">
            <v>-</v>
          </cell>
        </row>
        <row r="720">
          <cell r="A720" t="str">
            <v>Lucknow</v>
          </cell>
          <cell r="B720" t="str">
            <v>Trust</v>
          </cell>
          <cell r="C720" t="str">
            <v>Mid Level</v>
          </cell>
          <cell r="D720" t="str">
            <v>Harsh Agarwal</v>
          </cell>
          <cell r="E720" t="str">
            <v>-</v>
          </cell>
          <cell r="F720" t="str">
            <v>Non-MSP</v>
          </cell>
          <cell r="H720" t="str">
            <v>Sudhir Kumar</v>
          </cell>
          <cell r="L720" t="str">
            <v>New</v>
          </cell>
          <cell r="M720">
            <v>46038</v>
          </cell>
          <cell r="N720">
            <v>164</v>
          </cell>
          <cell r="P720">
            <v>46403</v>
          </cell>
          <cell r="Q720" t="str">
            <v>PLC-4659</v>
          </cell>
          <cell r="R720" t="str">
            <v>Sudheer Reddy Bandaru</v>
          </cell>
          <cell r="S720" t="str">
            <v>Individual</v>
          </cell>
          <cell r="T720" t="str">
            <v>W2</v>
          </cell>
          <cell r="U720" t="str">
            <v>Birlasoft</v>
          </cell>
          <cell r="V720">
            <v>75</v>
          </cell>
          <cell r="W720">
            <v>0</v>
          </cell>
          <cell r="X720" t="str">
            <v>USD</v>
          </cell>
          <cell r="Y720">
            <v>108</v>
          </cell>
          <cell r="Z720">
            <v>0</v>
          </cell>
          <cell r="AA720">
            <v>0</v>
          </cell>
          <cell r="AB720">
            <v>4</v>
          </cell>
          <cell r="AC720">
            <v>46068</v>
          </cell>
          <cell r="AD720">
            <v>20</v>
          </cell>
          <cell r="AE720">
            <v>46387</v>
          </cell>
          <cell r="AF720">
            <v>86.25</v>
          </cell>
          <cell r="AG720">
            <v>0</v>
          </cell>
          <cell r="AH720">
            <v>90.25</v>
          </cell>
          <cell r="AI720">
            <v>108</v>
          </cell>
          <cell r="AJ720">
            <v>0</v>
          </cell>
          <cell r="AK720">
            <v>0</v>
          </cell>
          <cell r="AL720">
            <v>17.75</v>
          </cell>
          <cell r="AM720">
            <v>0</v>
          </cell>
          <cell r="AN720">
            <v>17.75</v>
          </cell>
          <cell r="AO720">
            <v>0</v>
          </cell>
          <cell r="AP720">
            <v>17.75</v>
          </cell>
          <cell r="AQ720" t="str">
            <v>US_27157</v>
          </cell>
          <cell r="AR720">
            <v>0</v>
          </cell>
          <cell r="AS720">
            <v>160</v>
          </cell>
          <cell r="AU720">
            <v>160</v>
          </cell>
          <cell r="AV720">
            <v>0</v>
          </cell>
          <cell r="AW720">
            <v>2840</v>
          </cell>
          <cell r="AX720">
            <v>2840</v>
          </cell>
          <cell r="AY720">
            <v>0</v>
          </cell>
          <cell r="AZ720">
            <v>2840</v>
          </cell>
          <cell r="BA720">
            <v>2840</v>
          </cell>
          <cell r="BB720">
            <v>2840</v>
          </cell>
          <cell r="BC720">
            <v>0</v>
          </cell>
          <cell r="BD720">
            <v>0</v>
          </cell>
          <cell r="BE720">
            <v>0</v>
          </cell>
          <cell r="BF720">
            <v>39</v>
          </cell>
          <cell r="BG720">
            <v>2840</v>
          </cell>
          <cell r="BH720">
            <v>1562</v>
          </cell>
          <cell r="BI720">
            <v>2840</v>
          </cell>
          <cell r="BJ720">
            <v>17280</v>
          </cell>
          <cell r="BK720">
            <v>17280</v>
          </cell>
          <cell r="BL720">
            <v>12000</v>
          </cell>
          <cell r="BM720">
            <v>11.25</v>
          </cell>
          <cell r="BN720">
            <v>640</v>
          </cell>
          <cell r="BO720">
            <v>1800</v>
          </cell>
          <cell r="BP720">
            <v>14440</v>
          </cell>
          <cell r="BQ720">
            <v>15.25</v>
          </cell>
          <cell r="BR720">
            <v>2840</v>
          </cell>
          <cell r="BS720" t="str">
            <v>Y</v>
          </cell>
          <cell r="BT720">
            <v>1</v>
          </cell>
          <cell r="BU720">
            <v>1</v>
          </cell>
          <cell r="BV720" t="str">
            <v>N</v>
          </cell>
          <cell r="BW720">
            <v>0</v>
          </cell>
          <cell r="BX720">
            <v>0</v>
          </cell>
          <cell r="BY720">
            <v>2026</v>
          </cell>
          <cell r="BZ720" t="str">
            <v>-</v>
          </cell>
          <cell r="CA720" t="str">
            <v>-</v>
          </cell>
        </row>
        <row r="721">
          <cell r="A721" t="str">
            <v>Lucknow</v>
          </cell>
          <cell r="B721" t="str">
            <v>Trust</v>
          </cell>
          <cell r="C721" t="str">
            <v>Mid Level</v>
          </cell>
          <cell r="D721" t="str">
            <v>Harsh Agarwal</v>
          </cell>
          <cell r="E721" t="str">
            <v>-</v>
          </cell>
          <cell r="F721" t="str">
            <v>Non-MSP</v>
          </cell>
          <cell r="H721" t="str">
            <v>Sudhir Kumar</v>
          </cell>
          <cell r="L721" t="str">
            <v>New</v>
          </cell>
          <cell r="M721">
            <v>46038</v>
          </cell>
          <cell r="N721">
            <v>164</v>
          </cell>
          <cell r="P721">
            <v>46403</v>
          </cell>
          <cell r="Q721" t="str">
            <v>PLC-4659</v>
          </cell>
          <cell r="R721" t="str">
            <v>Sudheer Reddy Bandaru</v>
          </cell>
          <cell r="S721" t="str">
            <v>Individual</v>
          </cell>
          <cell r="T721" t="str">
            <v>W2</v>
          </cell>
          <cell r="U721" t="str">
            <v>Birlasoft</v>
          </cell>
          <cell r="V721">
            <v>75</v>
          </cell>
          <cell r="W721">
            <v>0</v>
          </cell>
          <cell r="X721" t="str">
            <v>USD</v>
          </cell>
          <cell r="Y721">
            <v>108</v>
          </cell>
          <cell r="Z721">
            <v>0</v>
          </cell>
          <cell r="AA721">
            <v>0</v>
          </cell>
          <cell r="AB721">
            <v>4</v>
          </cell>
          <cell r="AC721">
            <v>46096</v>
          </cell>
          <cell r="AD721">
            <v>22</v>
          </cell>
          <cell r="AE721">
            <v>46387</v>
          </cell>
          <cell r="AF721">
            <v>86.25</v>
          </cell>
          <cell r="AG721">
            <v>0</v>
          </cell>
          <cell r="AH721">
            <v>90.25</v>
          </cell>
          <cell r="AI721">
            <v>108</v>
          </cell>
          <cell r="AJ721">
            <v>0</v>
          </cell>
          <cell r="AK721">
            <v>0</v>
          </cell>
          <cell r="AL721">
            <v>17.75</v>
          </cell>
          <cell r="AM721">
            <v>0</v>
          </cell>
          <cell r="AN721">
            <v>17.75</v>
          </cell>
          <cell r="AO721">
            <v>0</v>
          </cell>
          <cell r="AP721">
            <v>17.75</v>
          </cell>
          <cell r="AQ721" t="str">
            <v>US_27372</v>
          </cell>
          <cell r="AR721">
            <v>0</v>
          </cell>
          <cell r="AS721">
            <v>176</v>
          </cell>
          <cell r="AU721">
            <v>176</v>
          </cell>
          <cell r="AV721">
            <v>0</v>
          </cell>
          <cell r="AW721">
            <v>3124</v>
          </cell>
          <cell r="AX721">
            <v>3124</v>
          </cell>
          <cell r="AY721">
            <v>0</v>
          </cell>
          <cell r="AZ721">
            <v>3124</v>
          </cell>
          <cell r="BA721">
            <v>3124</v>
          </cell>
          <cell r="BB721">
            <v>3124</v>
          </cell>
          <cell r="BC721">
            <v>0</v>
          </cell>
          <cell r="BD721">
            <v>0</v>
          </cell>
          <cell r="BE721">
            <v>0</v>
          </cell>
          <cell r="BF721">
            <v>39</v>
          </cell>
          <cell r="BG721">
            <v>3124</v>
          </cell>
          <cell r="BH721">
            <v>1718.2</v>
          </cell>
          <cell r="BI721">
            <v>3124</v>
          </cell>
          <cell r="BJ721">
            <v>19008</v>
          </cell>
          <cell r="BK721">
            <v>19008</v>
          </cell>
          <cell r="BL721">
            <v>13200</v>
          </cell>
          <cell r="BM721">
            <v>11.25</v>
          </cell>
          <cell r="BN721">
            <v>704</v>
          </cell>
          <cell r="BO721">
            <v>1980</v>
          </cell>
          <cell r="BP721">
            <v>15884</v>
          </cell>
          <cell r="BQ721">
            <v>15.25</v>
          </cell>
          <cell r="BR721">
            <v>3124</v>
          </cell>
          <cell r="BS721" t="str">
            <v>Y</v>
          </cell>
          <cell r="BT721">
            <v>1</v>
          </cell>
          <cell r="BU721">
            <v>1</v>
          </cell>
          <cell r="BV721" t="str">
            <v>N</v>
          </cell>
          <cell r="BW721">
            <v>0</v>
          </cell>
          <cell r="BX721">
            <v>0</v>
          </cell>
          <cell r="BY721">
            <v>2026</v>
          </cell>
          <cell r="BZ721" t="str">
            <v>-</v>
          </cell>
          <cell r="CA721" t="str">
            <v>-</v>
          </cell>
        </row>
        <row r="722">
          <cell r="A722" t="str">
            <v>Lucknow</v>
          </cell>
          <cell r="B722" t="str">
            <v>Trust</v>
          </cell>
          <cell r="C722" t="str">
            <v>Mid Level</v>
          </cell>
          <cell r="D722" t="str">
            <v>Harsh Agarwal</v>
          </cell>
          <cell r="E722" t="str">
            <v>-</v>
          </cell>
          <cell r="F722" t="str">
            <v>Non-MSP</v>
          </cell>
          <cell r="H722" t="str">
            <v>Sudhir Kumar</v>
          </cell>
          <cell r="J722" t="str">
            <v>ACH</v>
          </cell>
          <cell r="L722" t="str">
            <v>New</v>
          </cell>
          <cell r="M722">
            <v>46038</v>
          </cell>
          <cell r="N722">
            <v>164</v>
          </cell>
          <cell r="P722">
            <v>46403</v>
          </cell>
          <cell r="Q722" t="str">
            <v>PLC-4659</v>
          </cell>
          <cell r="R722" t="str">
            <v>Sudheer Reddy Bandaru</v>
          </cell>
          <cell r="S722" t="str">
            <v>Individual</v>
          </cell>
          <cell r="T722" t="str">
            <v>W2</v>
          </cell>
          <cell r="U722" t="str">
            <v>Birlasoft</v>
          </cell>
          <cell r="V722">
            <v>75</v>
          </cell>
          <cell r="W722">
            <v>0</v>
          </cell>
          <cell r="X722" t="str">
            <v>USD</v>
          </cell>
          <cell r="Y722">
            <v>108</v>
          </cell>
          <cell r="Z722">
            <v>0</v>
          </cell>
          <cell r="AA722">
            <v>0</v>
          </cell>
          <cell r="AB722">
            <v>4</v>
          </cell>
          <cell r="AC722">
            <v>46127</v>
          </cell>
          <cell r="AD722">
            <v>22</v>
          </cell>
          <cell r="AE722">
            <v>46387</v>
          </cell>
          <cell r="AF722">
            <v>86.25</v>
          </cell>
          <cell r="AG722">
            <v>0</v>
          </cell>
          <cell r="AH722">
            <v>90.25</v>
          </cell>
          <cell r="AI722">
            <v>108</v>
          </cell>
          <cell r="AJ722">
            <v>0</v>
          </cell>
          <cell r="AK722">
            <v>0</v>
          </cell>
          <cell r="AL722">
            <v>17.75</v>
          </cell>
          <cell r="AM722">
            <v>0</v>
          </cell>
          <cell r="AN722">
            <v>17.75</v>
          </cell>
          <cell r="AO722">
            <v>0</v>
          </cell>
          <cell r="AP722">
            <v>17.75</v>
          </cell>
          <cell r="AQ722" t="str">
            <v>US_27609</v>
          </cell>
          <cell r="AR722">
            <v>0</v>
          </cell>
          <cell r="AS722">
            <v>176</v>
          </cell>
          <cell r="AU722">
            <v>176</v>
          </cell>
          <cell r="AV722">
            <v>0</v>
          </cell>
          <cell r="AW722">
            <v>3124</v>
          </cell>
          <cell r="AX722">
            <v>3092.7599999999998</v>
          </cell>
          <cell r="AY722">
            <v>0</v>
          </cell>
          <cell r="AZ722">
            <v>3124</v>
          </cell>
          <cell r="BA722">
            <v>3092.7599999999998</v>
          </cell>
          <cell r="BB722">
            <v>3124</v>
          </cell>
          <cell r="BC722">
            <v>0</v>
          </cell>
          <cell r="BD722">
            <v>0</v>
          </cell>
          <cell r="BE722">
            <v>0</v>
          </cell>
          <cell r="BF722">
            <v>39</v>
          </cell>
          <cell r="BG722">
            <v>3092.7599999999998</v>
          </cell>
          <cell r="BH722">
            <v>1701.0179999999998</v>
          </cell>
          <cell r="BI722">
            <v>3092.7599999999998</v>
          </cell>
          <cell r="BJ722">
            <v>19008</v>
          </cell>
          <cell r="BK722">
            <v>19008</v>
          </cell>
          <cell r="BL722">
            <v>13200</v>
          </cell>
          <cell r="BM722">
            <v>11.25</v>
          </cell>
          <cell r="BN722">
            <v>704</v>
          </cell>
          <cell r="BO722">
            <v>1980</v>
          </cell>
          <cell r="BP722">
            <v>15884</v>
          </cell>
          <cell r="BQ722">
            <v>15.25</v>
          </cell>
          <cell r="BR722">
            <v>3124</v>
          </cell>
          <cell r="BS722" t="str">
            <v>Y</v>
          </cell>
          <cell r="BT722">
            <v>2</v>
          </cell>
          <cell r="BU722">
            <v>1</v>
          </cell>
          <cell r="BV722" t="str">
            <v>N</v>
          </cell>
          <cell r="BW722">
            <v>0</v>
          </cell>
          <cell r="BX722">
            <v>0</v>
          </cell>
          <cell r="BY722">
            <v>2026</v>
          </cell>
          <cell r="BZ722" t="str">
            <v>-</v>
          </cell>
          <cell r="CA722" t="str">
            <v>-</v>
          </cell>
        </row>
        <row r="723">
          <cell r="A723" t="str">
            <v>Lucknow</v>
          </cell>
          <cell r="B723" t="str">
            <v>Trust</v>
          </cell>
          <cell r="C723" t="str">
            <v>Mid Level</v>
          </cell>
          <cell r="D723" t="str">
            <v>Harsh Agarwal</v>
          </cell>
          <cell r="E723" t="str">
            <v>-</v>
          </cell>
          <cell r="F723" t="str">
            <v>Non-MSP</v>
          </cell>
          <cell r="H723" t="str">
            <v>Sudhir Kumar</v>
          </cell>
          <cell r="J723" t="str">
            <v>ACH</v>
          </cell>
          <cell r="L723" t="str">
            <v>New</v>
          </cell>
          <cell r="M723">
            <v>46038</v>
          </cell>
          <cell r="N723">
            <v>164</v>
          </cell>
          <cell r="P723">
            <v>46403</v>
          </cell>
          <cell r="Q723" t="str">
            <v>PLC-4659</v>
          </cell>
          <cell r="R723" t="str">
            <v>Sudheer Reddy Bandaru</v>
          </cell>
          <cell r="S723" t="str">
            <v>Individual</v>
          </cell>
          <cell r="T723" t="str">
            <v>W2</v>
          </cell>
          <cell r="U723" t="str">
            <v>Birlasoft</v>
          </cell>
          <cell r="V723">
            <v>75</v>
          </cell>
          <cell r="W723">
            <v>0</v>
          </cell>
          <cell r="X723" t="str">
            <v>USD</v>
          </cell>
          <cell r="Y723">
            <v>108</v>
          </cell>
          <cell r="Z723">
            <v>0</v>
          </cell>
          <cell r="AA723">
            <v>0</v>
          </cell>
          <cell r="AB723">
            <v>4</v>
          </cell>
          <cell r="AC723">
            <v>46157</v>
          </cell>
          <cell r="AD723">
            <v>22</v>
          </cell>
          <cell r="AE723">
            <v>46387</v>
          </cell>
          <cell r="AF723">
            <v>86.25</v>
          </cell>
          <cell r="AG723">
            <v>0</v>
          </cell>
          <cell r="AH723">
            <v>90.25</v>
          </cell>
          <cell r="AI723">
            <v>108</v>
          </cell>
          <cell r="AJ723">
            <v>0</v>
          </cell>
          <cell r="AK723">
            <v>0</v>
          </cell>
          <cell r="AL723">
            <v>17.75</v>
          </cell>
          <cell r="AM723">
            <v>0</v>
          </cell>
          <cell r="AN723">
            <v>17.75</v>
          </cell>
          <cell r="AO723">
            <v>0</v>
          </cell>
          <cell r="AP723">
            <v>17.75</v>
          </cell>
          <cell r="AQ723" t="str">
            <v>US_27902</v>
          </cell>
          <cell r="AR723">
            <v>0</v>
          </cell>
          <cell r="AS723">
            <v>160</v>
          </cell>
          <cell r="AU723">
            <v>160</v>
          </cell>
          <cell r="AV723">
            <v>0</v>
          </cell>
          <cell r="AW723">
            <v>2840</v>
          </cell>
          <cell r="AX723">
            <v>2811.6</v>
          </cell>
          <cell r="AY723">
            <v>0</v>
          </cell>
          <cell r="AZ723">
            <v>2840</v>
          </cell>
          <cell r="BA723">
            <v>2811.6</v>
          </cell>
          <cell r="BB723">
            <v>2840</v>
          </cell>
          <cell r="BC723">
            <v>0</v>
          </cell>
          <cell r="BD723">
            <v>0</v>
          </cell>
          <cell r="BE723">
            <v>0</v>
          </cell>
          <cell r="BF723">
            <v>39</v>
          </cell>
          <cell r="BG723">
            <v>2811.6</v>
          </cell>
          <cell r="BH723">
            <v>1546.38</v>
          </cell>
          <cell r="BI723">
            <v>2811.6</v>
          </cell>
          <cell r="BJ723">
            <v>17280</v>
          </cell>
          <cell r="BK723">
            <v>17280</v>
          </cell>
          <cell r="BL723">
            <v>12000</v>
          </cell>
          <cell r="BM723">
            <v>11.25</v>
          </cell>
          <cell r="BN723">
            <v>640</v>
          </cell>
          <cell r="BO723">
            <v>1800</v>
          </cell>
          <cell r="BP723">
            <v>14440</v>
          </cell>
          <cell r="BQ723">
            <v>15.25</v>
          </cell>
          <cell r="BR723">
            <v>2840</v>
          </cell>
          <cell r="BT723">
            <v>2</v>
          </cell>
          <cell r="BU723">
            <v>1</v>
          </cell>
          <cell r="BV723" t="str">
            <v>N</v>
          </cell>
          <cell r="BW723">
            <v>0</v>
          </cell>
          <cell r="BX723">
            <v>0</v>
          </cell>
          <cell r="BY723">
            <v>2026</v>
          </cell>
          <cell r="BZ723" t="str">
            <v>-</v>
          </cell>
          <cell r="CA723" t="str">
            <v>-</v>
          </cell>
        </row>
        <row r="724">
          <cell r="A724" t="str">
            <v>Lucknow</v>
          </cell>
          <cell r="B724" t="str">
            <v>Mavericks</v>
          </cell>
          <cell r="C724" t="str">
            <v>Mid Level</v>
          </cell>
          <cell r="D724" t="str">
            <v>Mohammad Fakhrul</v>
          </cell>
          <cell r="E724" t="str">
            <v>-</v>
          </cell>
          <cell r="F724" t="str">
            <v>MSP</v>
          </cell>
          <cell r="H724" t="str">
            <v>Pass Through/MSP</v>
          </cell>
          <cell r="J724" t="str">
            <v>ACH</v>
          </cell>
          <cell r="L724" t="str">
            <v>New</v>
          </cell>
          <cell r="M724">
            <v>46118</v>
          </cell>
          <cell r="N724">
            <v>84</v>
          </cell>
          <cell r="P724">
            <v>46483</v>
          </cell>
          <cell r="Q724" t="str">
            <v>PLC-Passthrough</v>
          </cell>
          <cell r="R724" t="str">
            <v>Sulochanaa Vanilavarasu</v>
          </cell>
          <cell r="S724" t="str">
            <v>Individual</v>
          </cell>
          <cell r="T724" t="str">
            <v>C2C</v>
          </cell>
          <cell r="U724" t="str">
            <v>Cigniti</v>
          </cell>
          <cell r="V724">
            <v>100</v>
          </cell>
          <cell r="W724">
            <v>0</v>
          </cell>
          <cell r="X724" t="str">
            <v>USD</v>
          </cell>
          <cell r="Y724">
            <v>102</v>
          </cell>
          <cell r="Z724">
            <v>0</v>
          </cell>
          <cell r="AA724">
            <v>0</v>
          </cell>
          <cell r="AB724">
            <v>0</v>
          </cell>
          <cell r="AC724">
            <v>46127</v>
          </cell>
          <cell r="AD724">
            <v>19</v>
          </cell>
          <cell r="AE724">
            <v>46387</v>
          </cell>
          <cell r="AF724">
            <v>100</v>
          </cell>
          <cell r="AG724">
            <v>0</v>
          </cell>
          <cell r="AH724">
            <v>100</v>
          </cell>
          <cell r="AI724">
            <v>102</v>
          </cell>
          <cell r="AJ724">
            <v>0</v>
          </cell>
          <cell r="AK724">
            <v>0</v>
          </cell>
          <cell r="AL724">
            <v>2</v>
          </cell>
          <cell r="AM724">
            <v>0</v>
          </cell>
          <cell r="AN724">
            <v>2</v>
          </cell>
          <cell r="AO724">
            <v>0</v>
          </cell>
          <cell r="AP724">
            <v>2</v>
          </cell>
          <cell r="AQ724" t="str">
            <v>US_CMSP_00739_Rev</v>
          </cell>
          <cell r="AR724">
            <v>0</v>
          </cell>
          <cell r="AS724">
            <v>168</v>
          </cell>
          <cell r="AU724">
            <v>168</v>
          </cell>
          <cell r="AV724">
            <v>0</v>
          </cell>
          <cell r="AW724">
            <v>336</v>
          </cell>
          <cell r="AX724">
            <v>332.64</v>
          </cell>
          <cell r="AY724">
            <v>0</v>
          </cell>
          <cell r="AZ724">
            <v>336</v>
          </cell>
          <cell r="BA724">
            <v>332.64</v>
          </cell>
          <cell r="BB724">
            <v>336</v>
          </cell>
          <cell r="BC724">
            <v>0</v>
          </cell>
          <cell r="BD724">
            <v>0</v>
          </cell>
          <cell r="BE724">
            <v>0</v>
          </cell>
          <cell r="BG724">
            <v>332.64</v>
          </cell>
          <cell r="BI724">
            <v>0</v>
          </cell>
          <cell r="BJ724">
            <v>17136</v>
          </cell>
          <cell r="BK724">
            <v>17136</v>
          </cell>
          <cell r="BL724">
            <v>16800</v>
          </cell>
          <cell r="BM724">
            <v>0</v>
          </cell>
          <cell r="BN724">
            <v>0</v>
          </cell>
          <cell r="BO724">
            <v>0</v>
          </cell>
          <cell r="BP724">
            <v>16800</v>
          </cell>
          <cell r="BQ724">
            <v>0</v>
          </cell>
          <cell r="BR724">
            <v>336</v>
          </cell>
          <cell r="BT724">
            <v>2</v>
          </cell>
          <cell r="BU724">
            <v>2</v>
          </cell>
          <cell r="BV724" t="str">
            <v>N</v>
          </cell>
          <cell r="BW724">
            <v>0</v>
          </cell>
          <cell r="BX724">
            <v>0</v>
          </cell>
          <cell r="BY724">
            <v>2026</v>
          </cell>
          <cell r="BZ724" t="str">
            <v>-</v>
          </cell>
          <cell r="CA724" t="str">
            <v>-</v>
          </cell>
        </row>
        <row r="725">
          <cell r="A725" t="str">
            <v>Lucknow</v>
          </cell>
          <cell r="B725" t="str">
            <v>Mavericks</v>
          </cell>
          <cell r="C725" t="str">
            <v>Mid Level</v>
          </cell>
          <cell r="D725" t="str">
            <v>Mohammad Fakhrul</v>
          </cell>
          <cell r="E725" t="str">
            <v>-</v>
          </cell>
          <cell r="F725" t="str">
            <v>MSP</v>
          </cell>
          <cell r="H725" t="str">
            <v>Pass Through/MSP</v>
          </cell>
          <cell r="J725" t="str">
            <v>ACH</v>
          </cell>
          <cell r="L725" t="str">
            <v>New</v>
          </cell>
          <cell r="M725">
            <v>46118</v>
          </cell>
          <cell r="N725">
            <v>84</v>
          </cell>
          <cell r="P725">
            <v>46483</v>
          </cell>
          <cell r="Q725" t="str">
            <v>PLC-Passthrough</v>
          </cell>
          <cell r="R725" t="str">
            <v>Sulochanaa Vanilavarasu</v>
          </cell>
          <cell r="S725" t="str">
            <v>Individual</v>
          </cell>
          <cell r="T725" t="str">
            <v>C2C</v>
          </cell>
          <cell r="U725" t="str">
            <v>Cigniti</v>
          </cell>
          <cell r="V725">
            <v>100</v>
          </cell>
          <cell r="W725">
            <v>0</v>
          </cell>
          <cell r="X725" t="str">
            <v>USD</v>
          </cell>
          <cell r="Y725">
            <v>102</v>
          </cell>
          <cell r="Z725">
            <v>0</v>
          </cell>
          <cell r="AA725">
            <v>0</v>
          </cell>
          <cell r="AB725">
            <v>0</v>
          </cell>
          <cell r="AC725">
            <v>46157</v>
          </cell>
          <cell r="AD725">
            <v>19</v>
          </cell>
          <cell r="AE725">
            <v>46387</v>
          </cell>
          <cell r="AF725">
            <v>100</v>
          </cell>
          <cell r="AG725">
            <v>0</v>
          </cell>
          <cell r="AH725">
            <v>100</v>
          </cell>
          <cell r="AI725">
            <v>102</v>
          </cell>
          <cell r="AJ725">
            <v>0</v>
          </cell>
          <cell r="AK725">
            <v>0</v>
          </cell>
          <cell r="AL725">
            <v>2</v>
          </cell>
          <cell r="AM725">
            <v>0</v>
          </cell>
          <cell r="AN725">
            <v>2</v>
          </cell>
          <cell r="AO725">
            <v>0</v>
          </cell>
          <cell r="AP725">
            <v>2</v>
          </cell>
          <cell r="AQ725" t="str">
            <v>US_CMSP_00880</v>
          </cell>
          <cell r="AR725">
            <v>0</v>
          </cell>
          <cell r="AS725">
            <v>144</v>
          </cell>
          <cell r="AU725">
            <v>144</v>
          </cell>
          <cell r="AV725">
            <v>0</v>
          </cell>
          <cell r="AW725">
            <v>288</v>
          </cell>
          <cell r="AX725">
            <v>285.12</v>
          </cell>
          <cell r="AY725">
            <v>0</v>
          </cell>
          <cell r="AZ725">
            <v>288</v>
          </cell>
          <cell r="BA725">
            <v>285.12</v>
          </cell>
          <cell r="BB725">
            <v>288</v>
          </cell>
          <cell r="BC725">
            <v>0</v>
          </cell>
          <cell r="BD725">
            <v>0</v>
          </cell>
          <cell r="BE725">
            <v>0</v>
          </cell>
          <cell r="BG725">
            <v>285.12</v>
          </cell>
          <cell r="BI725">
            <v>0</v>
          </cell>
          <cell r="BJ725">
            <v>14688</v>
          </cell>
          <cell r="BK725">
            <v>14688</v>
          </cell>
          <cell r="BL725">
            <v>14400</v>
          </cell>
          <cell r="BM725">
            <v>0</v>
          </cell>
          <cell r="BN725">
            <v>0</v>
          </cell>
          <cell r="BO725">
            <v>0</v>
          </cell>
          <cell r="BP725">
            <v>14400</v>
          </cell>
          <cell r="BQ725">
            <v>0</v>
          </cell>
          <cell r="BR725">
            <v>288</v>
          </cell>
          <cell r="BT725">
            <v>2</v>
          </cell>
          <cell r="BU725">
            <v>2</v>
          </cell>
          <cell r="BV725" t="str">
            <v>N</v>
          </cell>
          <cell r="BW725">
            <v>0</v>
          </cell>
          <cell r="BX725">
            <v>0</v>
          </cell>
          <cell r="BY725">
            <v>2026</v>
          </cell>
          <cell r="BZ725" t="str">
            <v>-</v>
          </cell>
          <cell r="CA725" t="str">
            <v>-</v>
          </cell>
        </row>
        <row r="726">
          <cell r="A726" t="str">
            <v>Lucknow</v>
          </cell>
          <cell r="B726" t="str">
            <v>Mavericks</v>
          </cell>
          <cell r="C726" t="str">
            <v>Mid Level</v>
          </cell>
          <cell r="D726" t="str">
            <v>Kashif Nabi</v>
          </cell>
          <cell r="E726" t="str">
            <v>-</v>
          </cell>
          <cell r="F726" t="str">
            <v>Non-MSP</v>
          </cell>
          <cell r="H726" t="str">
            <v>Kashif Nabi</v>
          </cell>
          <cell r="J726" t="str">
            <v>ACH</v>
          </cell>
          <cell r="L726" t="str">
            <v>New</v>
          </cell>
          <cell r="M726">
            <v>46034</v>
          </cell>
          <cell r="N726">
            <v>168</v>
          </cell>
          <cell r="O726">
            <v>46090</v>
          </cell>
          <cell r="P726">
            <v>46399</v>
          </cell>
          <cell r="R726" t="str">
            <v>Suman Kumar Jha</v>
          </cell>
          <cell r="S726" t="str">
            <v>Individual</v>
          </cell>
          <cell r="T726" t="str">
            <v>C2C</v>
          </cell>
          <cell r="U726" t="str">
            <v>Genpact</v>
          </cell>
          <cell r="V726">
            <v>876</v>
          </cell>
          <cell r="W726">
            <v>0</v>
          </cell>
          <cell r="X726" t="str">
            <v>USD</v>
          </cell>
          <cell r="Y726">
            <v>900</v>
          </cell>
          <cell r="Z726">
            <v>0</v>
          </cell>
          <cell r="AA726">
            <v>0</v>
          </cell>
          <cell r="AB726">
            <v>0</v>
          </cell>
          <cell r="AC726">
            <v>46037</v>
          </cell>
          <cell r="AD726">
            <v>15</v>
          </cell>
          <cell r="AE726">
            <v>46387</v>
          </cell>
          <cell r="AF726">
            <v>876</v>
          </cell>
          <cell r="AG726">
            <v>0</v>
          </cell>
          <cell r="AH726">
            <v>876</v>
          </cell>
          <cell r="AI726">
            <v>900</v>
          </cell>
          <cell r="AJ726">
            <v>0</v>
          </cell>
          <cell r="AK726">
            <v>0</v>
          </cell>
          <cell r="AL726">
            <v>24</v>
          </cell>
          <cell r="AM726">
            <v>0</v>
          </cell>
          <cell r="AN726">
            <v>24</v>
          </cell>
          <cell r="AO726">
            <v>0</v>
          </cell>
          <cell r="AP726">
            <v>20</v>
          </cell>
          <cell r="AQ726" t="str">
            <v>US_26959</v>
          </cell>
          <cell r="AR726">
            <v>0</v>
          </cell>
          <cell r="AS726">
            <v>15</v>
          </cell>
          <cell r="AU726">
            <v>15</v>
          </cell>
          <cell r="AV726">
            <v>0</v>
          </cell>
          <cell r="AW726">
            <v>360</v>
          </cell>
          <cell r="AX726">
            <v>356.4</v>
          </cell>
          <cell r="AY726">
            <v>0</v>
          </cell>
          <cell r="AZ726">
            <v>300</v>
          </cell>
          <cell r="BA726">
            <v>297</v>
          </cell>
          <cell r="BB726">
            <v>360</v>
          </cell>
          <cell r="BC726">
            <v>0</v>
          </cell>
          <cell r="BD726">
            <v>0</v>
          </cell>
          <cell r="BE726">
            <v>0</v>
          </cell>
          <cell r="BG726">
            <v>297</v>
          </cell>
          <cell r="BI726">
            <v>356.4</v>
          </cell>
          <cell r="BJ726">
            <v>13500</v>
          </cell>
          <cell r="BK726">
            <v>13500</v>
          </cell>
          <cell r="BL726">
            <v>13140</v>
          </cell>
          <cell r="BM726">
            <v>0</v>
          </cell>
          <cell r="BN726">
            <v>0</v>
          </cell>
          <cell r="BO726">
            <v>0</v>
          </cell>
          <cell r="BP726">
            <v>13140</v>
          </cell>
          <cell r="BQ726">
            <v>0</v>
          </cell>
          <cell r="BR726">
            <v>360</v>
          </cell>
          <cell r="BS726" t="str">
            <v>Y</v>
          </cell>
          <cell r="BT726">
            <v>1</v>
          </cell>
          <cell r="BU726">
            <v>1</v>
          </cell>
          <cell r="BV726" t="str">
            <v>N</v>
          </cell>
          <cell r="BW726">
            <v>0</v>
          </cell>
          <cell r="BX726">
            <v>0</v>
          </cell>
          <cell r="BY726">
            <v>2026</v>
          </cell>
          <cell r="BZ726" t="str">
            <v>-</v>
          </cell>
          <cell r="CA726" t="str">
            <v>-</v>
          </cell>
        </row>
        <row r="727">
          <cell r="A727" t="str">
            <v>Lucknow</v>
          </cell>
          <cell r="B727" t="str">
            <v>Mavericks</v>
          </cell>
          <cell r="C727" t="str">
            <v>Mid Level</v>
          </cell>
          <cell r="D727" t="str">
            <v>Kashif Nabi</v>
          </cell>
          <cell r="E727" t="str">
            <v>-</v>
          </cell>
          <cell r="F727" t="str">
            <v>Non-MSP</v>
          </cell>
          <cell r="H727" t="str">
            <v>Kashif Nabi</v>
          </cell>
          <cell r="J727" t="str">
            <v>ACH</v>
          </cell>
          <cell r="L727" t="str">
            <v>New</v>
          </cell>
          <cell r="M727">
            <v>46034</v>
          </cell>
          <cell r="N727">
            <v>168</v>
          </cell>
          <cell r="O727">
            <v>46090</v>
          </cell>
          <cell r="P727">
            <v>46399</v>
          </cell>
          <cell r="R727" t="str">
            <v>Suman Kumar Jha</v>
          </cell>
          <cell r="S727" t="str">
            <v>Individual</v>
          </cell>
          <cell r="T727" t="str">
            <v>C2C</v>
          </cell>
          <cell r="U727" t="str">
            <v>Genpact</v>
          </cell>
          <cell r="V727">
            <v>876</v>
          </cell>
          <cell r="W727">
            <v>0</v>
          </cell>
          <cell r="X727" t="str">
            <v>USD</v>
          </cell>
          <cell r="Y727">
            <v>900</v>
          </cell>
          <cell r="Z727">
            <v>0</v>
          </cell>
          <cell r="AA727">
            <v>0</v>
          </cell>
          <cell r="AB727">
            <v>0</v>
          </cell>
          <cell r="AC727">
            <v>46068</v>
          </cell>
          <cell r="AD727">
            <v>20</v>
          </cell>
          <cell r="AE727">
            <v>46387</v>
          </cell>
          <cell r="AF727">
            <v>876</v>
          </cell>
          <cell r="AG727">
            <v>0</v>
          </cell>
          <cell r="AH727">
            <v>876</v>
          </cell>
          <cell r="AI727">
            <v>900</v>
          </cell>
          <cell r="AJ727">
            <v>0</v>
          </cell>
          <cell r="AK727">
            <v>0</v>
          </cell>
          <cell r="AL727">
            <v>24</v>
          </cell>
          <cell r="AM727">
            <v>0</v>
          </cell>
          <cell r="AN727">
            <v>24</v>
          </cell>
          <cell r="AO727">
            <v>0</v>
          </cell>
          <cell r="AP727">
            <v>20</v>
          </cell>
          <cell r="AQ727" t="str">
            <v>US_27155</v>
          </cell>
          <cell r="AR727">
            <v>0</v>
          </cell>
          <cell r="AS727">
            <v>20</v>
          </cell>
          <cell r="AU727">
            <v>20</v>
          </cell>
          <cell r="AV727">
            <v>0</v>
          </cell>
          <cell r="AW727">
            <v>480</v>
          </cell>
          <cell r="AX727">
            <v>475.2</v>
          </cell>
          <cell r="AY727">
            <v>0</v>
          </cell>
          <cell r="AZ727">
            <v>400</v>
          </cell>
          <cell r="BA727">
            <v>396</v>
          </cell>
          <cell r="BB727">
            <v>480</v>
          </cell>
          <cell r="BC727">
            <v>0</v>
          </cell>
          <cell r="BD727">
            <v>0</v>
          </cell>
          <cell r="BE727">
            <v>0</v>
          </cell>
          <cell r="BG727">
            <v>396</v>
          </cell>
          <cell r="BI727">
            <v>475.2</v>
          </cell>
          <cell r="BJ727">
            <v>18000</v>
          </cell>
          <cell r="BK727">
            <v>18000</v>
          </cell>
          <cell r="BL727">
            <v>17520</v>
          </cell>
          <cell r="BM727">
            <v>0</v>
          </cell>
          <cell r="BN727">
            <v>0</v>
          </cell>
          <cell r="BO727">
            <v>0</v>
          </cell>
          <cell r="BP727">
            <v>17520</v>
          </cell>
          <cell r="BQ727">
            <v>0</v>
          </cell>
          <cell r="BR727">
            <v>480</v>
          </cell>
          <cell r="BS727" t="str">
            <v>Y</v>
          </cell>
          <cell r="BT727">
            <v>1</v>
          </cell>
          <cell r="BU727">
            <v>1</v>
          </cell>
          <cell r="BV727" t="str">
            <v>N</v>
          </cell>
          <cell r="BW727">
            <v>0</v>
          </cell>
          <cell r="BX727">
            <v>0</v>
          </cell>
          <cell r="BY727">
            <v>2026</v>
          </cell>
          <cell r="BZ727" t="str">
            <v>-</v>
          </cell>
          <cell r="CA727" t="str">
            <v>-</v>
          </cell>
        </row>
        <row r="728">
          <cell r="A728" t="str">
            <v>Lucknow</v>
          </cell>
          <cell r="B728" t="str">
            <v>Mavericks</v>
          </cell>
          <cell r="C728" t="str">
            <v>Mid Level</v>
          </cell>
          <cell r="D728" t="str">
            <v>Kashif Nabi</v>
          </cell>
          <cell r="E728" t="str">
            <v>-</v>
          </cell>
          <cell r="F728" t="str">
            <v>Non-MSP</v>
          </cell>
          <cell r="H728" t="str">
            <v>Kashif Nabi</v>
          </cell>
          <cell r="J728" t="str">
            <v>ACH</v>
          </cell>
          <cell r="L728" t="str">
            <v>New</v>
          </cell>
          <cell r="M728">
            <v>46034</v>
          </cell>
          <cell r="N728">
            <v>168</v>
          </cell>
          <cell r="O728">
            <v>46090</v>
          </cell>
          <cell r="P728">
            <v>46399</v>
          </cell>
          <cell r="R728" t="str">
            <v>Suman Kumar Jha</v>
          </cell>
          <cell r="S728" t="str">
            <v>Individual</v>
          </cell>
          <cell r="T728" t="str">
            <v>C2C</v>
          </cell>
          <cell r="U728" t="str">
            <v>Genpact</v>
          </cell>
          <cell r="V728">
            <v>876</v>
          </cell>
          <cell r="W728">
            <v>0</v>
          </cell>
          <cell r="X728" t="str">
            <v>USD</v>
          </cell>
          <cell r="Y728">
            <v>900</v>
          </cell>
          <cell r="Z728">
            <v>0</v>
          </cell>
          <cell r="AA728">
            <v>0</v>
          </cell>
          <cell r="AB728">
            <v>0</v>
          </cell>
          <cell r="AC728">
            <v>46096</v>
          </cell>
          <cell r="AD728">
            <v>22</v>
          </cell>
          <cell r="AE728">
            <v>46387</v>
          </cell>
          <cell r="AF728">
            <v>876</v>
          </cell>
          <cell r="AG728">
            <v>0</v>
          </cell>
          <cell r="AH728">
            <v>876</v>
          </cell>
          <cell r="AI728">
            <v>900</v>
          </cell>
          <cell r="AJ728">
            <v>0</v>
          </cell>
          <cell r="AK728">
            <v>0</v>
          </cell>
          <cell r="AL728">
            <v>24</v>
          </cell>
          <cell r="AM728">
            <v>0</v>
          </cell>
          <cell r="AN728">
            <v>24</v>
          </cell>
          <cell r="AO728">
            <v>0</v>
          </cell>
          <cell r="AP728">
            <v>20</v>
          </cell>
          <cell r="AQ728" t="str">
            <v>US_27210</v>
          </cell>
          <cell r="AR728">
            <v>0</v>
          </cell>
          <cell r="AS728">
            <v>5</v>
          </cell>
          <cell r="AU728">
            <v>5</v>
          </cell>
          <cell r="AV728">
            <v>0</v>
          </cell>
          <cell r="AW728">
            <v>120</v>
          </cell>
          <cell r="AX728">
            <v>118.8</v>
          </cell>
          <cell r="AY728">
            <v>0</v>
          </cell>
          <cell r="AZ728">
            <v>100</v>
          </cell>
          <cell r="BA728">
            <v>99</v>
          </cell>
          <cell r="BB728">
            <v>120</v>
          </cell>
          <cell r="BC728">
            <v>0</v>
          </cell>
          <cell r="BD728">
            <v>0</v>
          </cell>
          <cell r="BE728">
            <v>0</v>
          </cell>
          <cell r="BG728">
            <v>99</v>
          </cell>
          <cell r="BI728">
            <v>118.8</v>
          </cell>
          <cell r="BJ728">
            <v>4500</v>
          </cell>
          <cell r="BK728">
            <v>4500</v>
          </cell>
          <cell r="BL728">
            <v>4380</v>
          </cell>
          <cell r="BM728">
            <v>0</v>
          </cell>
          <cell r="BN728">
            <v>0</v>
          </cell>
          <cell r="BO728">
            <v>0</v>
          </cell>
          <cell r="BP728">
            <v>4380</v>
          </cell>
          <cell r="BQ728">
            <v>0</v>
          </cell>
          <cell r="BR728">
            <v>120</v>
          </cell>
          <cell r="BS728" t="str">
            <v>Y</v>
          </cell>
          <cell r="BT728">
            <v>1</v>
          </cell>
          <cell r="BU728">
            <v>1</v>
          </cell>
          <cell r="BV728" t="str">
            <v>N</v>
          </cell>
          <cell r="BW728">
            <v>0</v>
          </cell>
          <cell r="BX728">
            <v>0</v>
          </cell>
          <cell r="BY728">
            <v>2026</v>
          </cell>
          <cell r="BZ728" t="str">
            <v>-</v>
          </cell>
          <cell r="CA728" t="str">
            <v>-</v>
          </cell>
        </row>
        <row r="729">
          <cell r="A729" t="str">
            <v>Lucknow</v>
          </cell>
          <cell r="B729" t="str">
            <v>Chennai</v>
          </cell>
          <cell r="C729" t="str">
            <v>Mid Level</v>
          </cell>
          <cell r="D729" t="str">
            <v>Vinoth L</v>
          </cell>
          <cell r="F729" t="str">
            <v>Non-MSP</v>
          </cell>
          <cell r="H729" t="str">
            <v>Rubini Mohan</v>
          </cell>
          <cell r="J729" t="str">
            <v>ACH</v>
          </cell>
          <cell r="L729" t="str">
            <v>New</v>
          </cell>
          <cell r="M729">
            <v>46142</v>
          </cell>
          <cell r="N729">
            <v>60</v>
          </cell>
          <cell r="P729">
            <v>46507</v>
          </cell>
          <cell r="Q729" t="str">
            <v>PLC-4865</v>
          </cell>
          <cell r="R729" t="str">
            <v>Sumanth Reddy Devi Reddy</v>
          </cell>
          <cell r="S729" t="str">
            <v>Individual</v>
          </cell>
          <cell r="T729" t="str">
            <v>C2C</v>
          </cell>
          <cell r="U729" t="str">
            <v>LTM</v>
          </cell>
          <cell r="V729">
            <v>64</v>
          </cell>
          <cell r="W729">
            <v>0</v>
          </cell>
          <cell r="X729" t="str">
            <v>USD</v>
          </cell>
          <cell r="Y729">
            <v>70</v>
          </cell>
          <cell r="Z729">
            <v>0</v>
          </cell>
          <cell r="AA729">
            <v>0</v>
          </cell>
          <cell r="AB729">
            <v>0</v>
          </cell>
          <cell r="AC729">
            <v>46127</v>
          </cell>
          <cell r="AD729">
            <v>1</v>
          </cell>
          <cell r="AE729">
            <v>46387</v>
          </cell>
          <cell r="AF729">
            <v>64</v>
          </cell>
          <cell r="AG729">
            <v>0</v>
          </cell>
          <cell r="AH729">
            <v>64</v>
          </cell>
          <cell r="AI729">
            <v>70</v>
          </cell>
          <cell r="AJ729">
            <v>0</v>
          </cell>
          <cell r="AK729">
            <v>0</v>
          </cell>
          <cell r="AL729">
            <v>6</v>
          </cell>
          <cell r="AM729">
            <v>0</v>
          </cell>
          <cell r="AN729">
            <v>6</v>
          </cell>
          <cell r="AO729">
            <v>0</v>
          </cell>
          <cell r="AP729">
            <v>6</v>
          </cell>
          <cell r="AQ729" t="str">
            <v>US_27718</v>
          </cell>
          <cell r="AR729">
            <v>0</v>
          </cell>
          <cell r="AS729">
            <v>4</v>
          </cell>
          <cell r="AU729">
            <v>4</v>
          </cell>
          <cell r="AV729">
            <v>0</v>
          </cell>
          <cell r="AW729">
            <v>24</v>
          </cell>
          <cell r="AX729">
            <v>23.759999999999998</v>
          </cell>
          <cell r="AY729">
            <v>0</v>
          </cell>
          <cell r="AZ729">
            <v>24</v>
          </cell>
          <cell r="BA729">
            <v>23.759999999999998</v>
          </cell>
          <cell r="BB729">
            <v>24</v>
          </cell>
          <cell r="BC729">
            <v>0</v>
          </cell>
          <cell r="BD729">
            <v>0</v>
          </cell>
          <cell r="BE729">
            <v>0</v>
          </cell>
          <cell r="BG729">
            <v>23.759999999999998</v>
          </cell>
          <cell r="BI729">
            <v>0</v>
          </cell>
          <cell r="BJ729">
            <v>280</v>
          </cell>
          <cell r="BK729">
            <v>280</v>
          </cell>
          <cell r="BL729">
            <v>256</v>
          </cell>
          <cell r="BM729">
            <v>0</v>
          </cell>
          <cell r="BN729">
            <v>0</v>
          </cell>
          <cell r="BO729">
            <v>0</v>
          </cell>
          <cell r="BP729">
            <v>256</v>
          </cell>
          <cell r="BQ729">
            <v>0</v>
          </cell>
          <cell r="BR729">
            <v>24</v>
          </cell>
          <cell r="BT729">
            <v>2</v>
          </cell>
          <cell r="BU729">
            <v>2</v>
          </cell>
          <cell r="BV729" t="str">
            <v>Y</v>
          </cell>
          <cell r="BW729">
            <v>0</v>
          </cell>
          <cell r="BX729">
            <v>0</v>
          </cell>
          <cell r="BY729">
            <v>2026</v>
          </cell>
          <cell r="BZ729" t="str">
            <v>-</v>
          </cell>
          <cell r="CA729" t="str">
            <v>-</v>
          </cell>
        </row>
        <row r="730">
          <cell r="A730" t="str">
            <v>Lucknow</v>
          </cell>
          <cell r="B730" t="str">
            <v>Chennai</v>
          </cell>
          <cell r="C730" t="str">
            <v>Mid Level</v>
          </cell>
          <cell r="D730" t="str">
            <v>Vinoth L</v>
          </cell>
          <cell r="F730" t="str">
            <v>Non-MSP</v>
          </cell>
          <cell r="H730" t="str">
            <v>Rubini Mohan</v>
          </cell>
          <cell r="J730" t="str">
            <v>ACH</v>
          </cell>
          <cell r="L730" t="str">
            <v>New</v>
          </cell>
          <cell r="M730">
            <v>46142</v>
          </cell>
          <cell r="N730">
            <v>60</v>
          </cell>
          <cell r="P730">
            <v>46507</v>
          </cell>
          <cell r="Q730" t="str">
            <v>PLC-4865</v>
          </cell>
          <cell r="R730" t="str">
            <v>Sumanth Reddy Devi Reddy</v>
          </cell>
          <cell r="S730" t="str">
            <v>Individual</v>
          </cell>
          <cell r="T730" t="str">
            <v>C2C</v>
          </cell>
          <cell r="U730" t="str">
            <v>LTM</v>
          </cell>
          <cell r="V730">
            <v>64</v>
          </cell>
          <cell r="W730">
            <v>0</v>
          </cell>
          <cell r="X730" t="str">
            <v>USD</v>
          </cell>
          <cell r="Y730">
            <v>70</v>
          </cell>
          <cell r="Z730">
            <v>0</v>
          </cell>
          <cell r="AA730">
            <v>0</v>
          </cell>
          <cell r="AB730">
            <v>0</v>
          </cell>
          <cell r="AC730">
            <v>46157</v>
          </cell>
          <cell r="AD730">
            <v>1</v>
          </cell>
          <cell r="AE730">
            <v>46387</v>
          </cell>
          <cell r="AF730">
            <v>64</v>
          </cell>
          <cell r="AG730">
            <v>0</v>
          </cell>
          <cell r="AH730">
            <v>64</v>
          </cell>
          <cell r="AI730">
            <v>70</v>
          </cell>
          <cell r="AJ730">
            <v>0</v>
          </cell>
          <cell r="AK730">
            <v>0</v>
          </cell>
          <cell r="AL730">
            <v>6</v>
          </cell>
          <cell r="AM730">
            <v>0</v>
          </cell>
          <cell r="AN730">
            <v>6</v>
          </cell>
          <cell r="AO730">
            <v>0</v>
          </cell>
          <cell r="AP730">
            <v>6</v>
          </cell>
          <cell r="AU730">
            <v>8</v>
          </cell>
          <cell r="BB730">
            <v>48</v>
          </cell>
          <cell r="BC730">
            <v>0</v>
          </cell>
          <cell r="BD730">
            <v>0</v>
          </cell>
          <cell r="BE730">
            <v>0</v>
          </cell>
          <cell r="BI730">
            <v>0</v>
          </cell>
          <cell r="BK730">
            <v>560</v>
          </cell>
          <cell r="BL730">
            <v>512</v>
          </cell>
          <cell r="BM730">
            <v>0</v>
          </cell>
          <cell r="BN730">
            <v>0</v>
          </cell>
          <cell r="BO730">
            <v>0</v>
          </cell>
          <cell r="BP730">
            <v>512</v>
          </cell>
          <cell r="BQ730">
            <v>0</v>
          </cell>
          <cell r="BR730">
            <v>48</v>
          </cell>
          <cell r="BT730">
            <v>2</v>
          </cell>
          <cell r="BU730">
            <v>2</v>
          </cell>
          <cell r="BV730" t="str">
            <v>Y</v>
          </cell>
          <cell r="BW730">
            <v>0</v>
          </cell>
          <cell r="BX730">
            <v>0</v>
          </cell>
          <cell r="BY730">
            <v>2026</v>
          </cell>
          <cell r="BZ730" t="str">
            <v>-</v>
          </cell>
          <cell r="CA730" t="str">
            <v>-</v>
          </cell>
        </row>
        <row r="731">
          <cell r="A731" t="str">
            <v>Lucknow</v>
          </cell>
          <cell r="B731" t="str">
            <v>Pioneer</v>
          </cell>
          <cell r="C731" t="str">
            <v>Mid Level</v>
          </cell>
          <cell r="D731" t="str">
            <v>Lucky Jain</v>
          </cell>
          <cell r="F731" t="str">
            <v>Non-MSP</v>
          </cell>
          <cell r="H731" t="str">
            <v>Prachi Verma</v>
          </cell>
          <cell r="J731" t="str">
            <v>ACH</v>
          </cell>
          <cell r="L731" t="str">
            <v>New</v>
          </cell>
          <cell r="M731">
            <v>46133</v>
          </cell>
          <cell r="N731">
            <v>69</v>
          </cell>
          <cell r="P731">
            <v>46498</v>
          </cell>
          <cell r="Q731" t="str">
            <v>PLC-4839</v>
          </cell>
          <cell r="R731" t="str">
            <v>Suresh Babu Narra</v>
          </cell>
          <cell r="S731" t="str">
            <v>Individual</v>
          </cell>
          <cell r="T731" t="str">
            <v>C2C</v>
          </cell>
          <cell r="U731" t="str">
            <v>Visionet Systems</v>
          </cell>
          <cell r="V731">
            <v>70</v>
          </cell>
          <cell r="W731">
            <v>0</v>
          </cell>
          <cell r="X731" t="str">
            <v>USD</v>
          </cell>
          <cell r="Y731">
            <v>85</v>
          </cell>
          <cell r="Z731">
            <v>0</v>
          </cell>
          <cell r="AA731">
            <v>0</v>
          </cell>
          <cell r="AB731">
            <v>0</v>
          </cell>
          <cell r="AC731">
            <v>46127</v>
          </cell>
          <cell r="AD731">
            <v>8</v>
          </cell>
          <cell r="AE731">
            <v>46387</v>
          </cell>
          <cell r="AF731">
            <v>70</v>
          </cell>
          <cell r="AG731">
            <v>0</v>
          </cell>
          <cell r="AH731">
            <v>70</v>
          </cell>
          <cell r="AI731">
            <v>85</v>
          </cell>
          <cell r="AJ731">
            <v>0</v>
          </cell>
          <cell r="AK731">
            <v>0</v>
          </cell>
          <cell r="AL731">
            <v>15</v>
          </cell>
          <cell r="AM731">
            <v>0</v>
          </cell>
          <cell r="AN731">
            <v>15</v>
          </cell>
          <cell r="AO731">
            <v>0</v>
          </cell>
          <cell r="AP731">
            <v>15</v>
          </cell>
          <cell r="AQ731" t="str">
            <v>US_27708</v>
          </cell>
          <cell r="AR731">
            <v>0</v>
          </cell>
          <cell r="AS731">
            <v>72</v>
          </cell>
          <cell r="AU731">
            <v>72</v>
          </cell>
          <cell r="AV731">
            <v>0</v>
          </cell>
          <cell r="AW731">
            <v>1080</v>
          </cell>
          <cell r="AX731">
            <v>1069.2</v>
          </cell>
          <cell r="AY731">
            <v>0</v>
          </cell>
          <cell r="AZ731">
            <v>1080</v>
          </cell>
          <cell r="BA731">
            <v>1069.2</v>
          </cell>
          <cell r="BB731">
            <v>1080</v>
          </cell>
          <cell r="BC731">
            <v>0</v>
          </cell>
          <cell r="BD731">
            <v>0</v>
          </cell>
          <cell r="BE731">
            <v>0</v>
          </cell>
          <cell r="BG731">
            <v>1069.2</v>
          </cell>
          <cell r="BI731">
            <v>0</v>
          </cell>
          <cell r="BJ731">
            <v>6120</v>
          </cell>
          <cell r="BK731">
            <v>6120</v>
          </cell>
          <cell r="BL731">
            <v>5040</v>
          </cell>
          <cell r="BM731">
            <v>0</v>
          </cell>
          <cell r="BN731">
            <v>0</v>
          </cell>
          <cell r="BO731">
            <v>0</v>
          </cell>
          <cell r="BP731">
            <v>5040</v>
          </cell>
          <cell r="BQ731">
            <v>0</v>
          </cell>
          <cell r="BR731">
            <v>1080</v>
          </cell>
          <cell r="BT731">
            <v>2</v>
          </cell>
          <cell r="BU731">
            <v>2</v>
          </cell>
          <cell r="BV731" t="str">
            <v>N</v>
          </cell>
          <cell r="BW731">
            <v>0</v>
          </cell>
          <cell r="BX731">
            <v>0</v>
          </cell>
          <cell r="BY731">
            <v>2026</v>
          </cell>
          <cell r="BZ731" t="str">
            <v>-</v>
          </cell>
          <cell r="CA731" t="str">
            <v>-</v>
          </cell>
        </row>
        <row r="732">
          <cell r="A732" t="str">
            <v>Lucknow</v>
          </cell>
          <cell r="B732" t="str">
            <v>Pioneer</v>
          </cell>
          <cell r="C732" t="str">
            <v>Mid Level</v>
          </cell>
          <cell r="D732" t="str">
            <v>Lucky Jain</v>
          </cell>
          <cell r="F732" t="str">
            <v>Non-MSP</v>
          </cell>
          <cell r="H732" t="str">
            <v>Prachi Verma</v>
          </cell>
          <cell r="J732" t="str">
            <v>ACH</v>
          </cell>
          <cell r="L732" t="str">
            <v>New</v>
          </cell>
          <cell r="M732">
            <v>46133</v>
          </cell>
          <cell r="N732">
            <v>69</v>
          </cell>
          <cell r="P732">
            <v>46498</v>
          </cell>
          <cell r="Q732" t="str">
            <v>PLC-4839</v>
          </cell>
          <cell r="R732" t="str">
            <v>Suresh Babu Narra</v>
          </cell>
          <cell r="S732" t="str">
            <v>Individual</v>
          </cell>
          <cell r="T732" t="str">
            <v>C2C</v>
          </cell>
          <cell r="U732" t="str">
            <v>Visionet Systems</v>
          </cell>
          <cell r="V732">
            <v>70</v>
          </cell>
          <cell r="W732">
            <v>0</v>
          </cell>
          <cell r="X732" t="str">
            <v>USD</v>
          </cell>
          <cell r="Y732">
            <v>85</v>
          </cell>
          <cell r="Z732">
            <v>0</v>
          </cell>
          <cell r="AA732">
            <v>0</v>
          </cell>
          <cell r="AB732">
            <v>0</v>
          </cell>
          <cell r="AC732">
            <v>46157</v>
          </cell>
          <cell r="AD732">
            <v>8</v>
          </cell>
          <cell r="AE732">
            <v>46387</v>
          </cell>
          <cell r="AF732">
            <v>70</v>
          </cell>
          <cell r="AG732">
            <v>0</v>
          </cell>
          <cell r="AH732">
            <v>70</v>
          </cell>
          <cell r="AI732">
            <v>85</v>
          </cell>
          <cell r="AJ732">
            <v>0</v>
          </cell>
          <cell r="AK732">
            <v>0</v>
          </cell>
          <cell r="AL732">
            <v>15</v>
          </cell>
          <cell r="AM732">
            <v>0</v>
          </cell>
          <cell r="AN732">
            <v>15</v>
          </cell>
          <cell r="AO732">
            <v>0</v>
          </cell>
          <cell r="AP732">
            <v>15</v>
          </cell>
          <cell r="AQ732" t="str">
            <v>US_27949</v>
          </cell>
          <cell r="AR732">
            <v>0</v>
          </cell>
          <cell r="AS732">
            <v>160</v>
          </cell>
          <cell r="AU732">
            <v>160</v>
          </cell>
          <cell r="AV732">
            <v>0</v>
          </cell>
          <cell r="AW732">
            <v>2400</v>
          </cell>
          <cell r="AX732">
            <v>2376</v>
          </cell>
          <cell r="AY732">
            <v>0</v>
          </cell>
          <cell r="AZ732">
            <v>2400</v>
          </cell>
          <cell r="BA732">
            <v>2376</v>
          </cell>
          <cell r="BB732">
            <v>2400</v>
          </cell>
          <cell r="BC732">
            <v>0</v>
          </cell>
          <cell r="BD732">
            <v>0</v>
          </cell>
          <cell r="BE732">
            <v>0</v>
          </cell>
          <cell r="BG732">
            <v>2376</v>
          </cell>
          <cell r="BI732">
            <v>0</v>
          </cell>
          <cell r="BJ732">
            <v>13600</v>
          </cell>
          <cell r="BK732">
            <v>13600</v>
          </cell>
          <cell r="BL732">
            <v>11200</v>
          </cell>
          <cell r="BM732">
            <v>0</v>
          </cell>
          <cell r="BN732">
            <v>0</v>
          </cell>
          <cell r="BO732">
            <v>0</v>
          </cell>
          <cell r="BP732">
            <v>11200</v>
          </cell>
          <cell r="BQ732">
            <v>0</v>
          </cell>
          <cell r="BR732">
            <v>2400</v>
          </cell>
          <cell r="BT732">
            <v>2</v>
          </cell>
          <cell r="BU732">
            <v>2</v>
          </cell>
          <cell r="BV732" t="str">
            <v>N</v>
          </cell>
          <cell r="BW732">
            <v>0</v>
          </cell>
          <cell r="BX732">
            <v>0</v>
          </cell>
          <cell r="BY732">
            <v>2026</v>
          </cell>
          <cell r="BZ732" t="str">
            <v>-</v>
          </cell>
          <cell r="CA732" t="str">
            <v>-</v>
          </cell>
        </row>
        <row r="733">
          <cell r="A733" t="str">
            <v>Lucknow</v>
          </cell>
          <cell r="B733" t="str">
            <v>Vantedge</v>
          </cell>
          <cell r="C733" t="str">
            <v>Senior</v>
          </cell>
          <cell r="D733" t="str">
            <v>Umar Mujahid Husain</v>
          </cell>
          <cell r="E733" t="str">
            <v>-</v>
          </cell>
          <cell r="F733" t="str">
            <v>Non-MSP</v>
          </cell>
          <cell r="H733" t="str">
            <v>Syed Ahrar Abbas Zaidi</v>
          </cell>
          <cell r="K733" t="str">
            <v>Devashish Sinha</v>
          </cell>
          <cell r="L733" t="str">
            <v>New</v>
          </cell>
          <cell r="M733">
            <v>46118</v>
          </cell>
          <cell r="N733">
            <v>84</v>
          </cell>
          <cell r="P733">
            <v>46483</v>
          </cell>
          <cell r="Q733" t="str">
            <v>PLC-4818</v>
          </cell>
          <cell r="R733" t="str">
            <v>Suresh Babu Peeta</v>
          </cell>
          <cell r="S733" t="str">
            <v>Individual</v>
          </cell>
          <cell r="T733" t="str">
            <v>FTE</v>
          </cell>
          <cell r="U733" t="str">
            <v>GAF</v>
          </cell>
          <cell r="V733">
            <v>0</v>
          </cell>
          <cell r="W733">
            <v>0</v>
          </cell>
          <cell r="X733" t="str">
            <v>USD</v>
          </cell>
          <cell r="Y733">
            <v>33000</v>
          </cell>
          <cell r="Z733">
            <v>0</v>
          </cell>
          <cell r="AA733">
            <v>0</v>
          </cell>
          <cell r="AB733">
            <v>0</v>
          </cell>
          <cell r="AC733">
            <v>46127</v>
          </cell>
          <cell r="AD733">
            <v>1</v>
          </cell>
          <cell r="AE733">
            <v>46387</v>
          </cell>
          <cell r="AF733">
            <v>0</v>
          </cell>
          <cell r="AG733">
            <v>0</v>
          </cell>
          <cell r="AH733">
            <v>0</v>
          </cell>
          <cell r="AI733">
            <v>32010</v>
          </cell>
          <cell r="AJ733">
            <v>0</v>
          </cell>
          <cell r="AK733">
            <v>0</v>
          </cell>
          <cell r="AL733">
            <v>32010</v>
          </cell>
          <cell r="AM733">
            <v>0</v>
          </cell>
          <cell r="AN733">
            <v>32010</v>
          </cell>
          <cell r="AO733">
            <v>0</v>
          </cell>
          <cell r="AP733">
            <v>32010</v>
          </cell>
          <cell r="AQ733" t="str">
            <v>US_27686</v>
          </cell>
          <cell r="AR733">
            <v>0</v>
          </cell>
          <cell r="AS733">
            <v>1</v>
          </cell>
          <cell r="AU733">
            <v>1</v>
          </cell>
          <cell r="AV733">
            <v>0</v>
          </cell>
          <cell r="AW733">
            <v>32010</v>
          </cell>
          <cell r="AX733">
            <v>32010</v>
          </cell>
          <cell r="AY733">
            <v>0</v>
          </cell>
          <cell r="AZ733">
            <v>32010</v>
          </cell>
          <cell r="BA733">
            <v>32010</v>
          </cell>
          <cell r="BB733">
            <v>32010</v>
          </cell>
          <cell r="BC733">
            <v>116.25000000000001</v>
          </cell>
          <cell r="BD733">
            <v>52816.5</v>
          </cell>
          <cell r="BE733">
            <v>52816.5</v>
          </cell>
          <cell r="BF733">
            <v>43</v>
          </cell>
          <cell r="BG733">
            <v>32010</v>
          </cell>
          <cell r="BH733">
            <v>17605.5</v>
          </cell>
          <cell r="BI733">
            <v>0</v>
          </cell>
          <cell r="BJ733">
            <v>33000</v>
          </cell>
          <cell r="BK733">
            <v>32010</v>
          </cell>
          <cell r="BL733">
            <v>0</v>
          </cell>
          <cell r="BM733">
            <v>0</v>
          </cell>
          <cell r="BN733">
            <v>0</v>
          </cell>
          <cell r="BO733">
            <v>0</v>
          </cell>
          <cell r="BP733">
            <v>0</v>
          </cell>
          <cell r="BQ733">
            <v>0</v>
          </cell>
          <cell r="BR733">
            <v>32010</v>
          </cell>
          <cell r="BT733">
            <v>2</v>
          </cell>
          <cell r="BU733">
            <v>2</v>
          </cell>
          <cell r="BV733" t="str">
            <v>N</v>
          </cell>
          <cell r="BW733">
            <v>105633</v>
          </cell>
          <cell r="BX733">
            <v>105633</v>
          </cell>
          <cell r="BY733">
            <v>2026</v>
          </cell>
          <cell r="BZ733" t="str">
            <v>-</v>
          </cell>
          <cell r="CA733" t="str">
            <v>-</v>
          </cell>
        </row>
        <row r="734">
          <cell r="A734" t="str">
            <v>Lucknow</v>
          </cell>
          <cell r="B734" t="str">
            <v>Mavericks</v>
          </cell>
          <cell r="C734" t="str">
            <v>Mid Level</v>
          </cell>
          <cell r="D734" t="str">
            <v>Mohammad Fakhrul</v>
          </cell>
          <cell r="E734" t="str">
            <v>-</v>
          </cell>
          <cell r="F734" t="str">
            <v>MSP</v>
          </cell>
          <cell r="H734" t="str">
            <v>Pass Through/MSP</v>
          </cell>
          <cell r="L734" t="str">
            <v>New</v>
          </cell>
          <cell r="M734">
            <v>46029</v>
          </cell>
          <cell r="N734">
            <v>173</v>
          </cell>
          <cell r="P734">
            <v>46394</v>
          </cell>
          <cell r="Q734" t="str">
            <v>PLC-Passthrough</v>
          </cell>
          <cell r="R734" t="str">
            <v>Swetha Aluru</v>
          </cell>
          <cell r="S734" t="str">
            <v>Individual</v>
          </cell>
          <cell r="T734" t="str">
            <v>C2C Canada</v>
          </cell>
          <cell r="U734" t="str">
            <v>Cigniti</v>
          </cell>
          <cell r="V734">
            <v>76</v>
          </cell>
          <cell r="W734">
            <v>0</v>
          </cell>
          <cell r="X734" t="str">
            <v>CAD</v>
          </cell>
          <cell r="Y734">
            <v>77</v>
          </cell>
          <cell r="Z734">
            <v>0</v>
          </cell>
          <cell r="AA734">
            <v>0</v>
          </cell>
          <cell r="AB734">
            <v>0</v>
          </cell>
          <cell r="AC734">
            <v>46037</v>
          </cell>
          <cell r="AD734">
            <v>17</v>
          </cell>
          <cell r="AE734">
            <v>46387</v>
          </cell>
          <cell r="AF734">
            <v>53.959999999999994</v>
          </cell>
          <cell r="AG734">
            <v>0</v>
          </cell>
          <cell r="AH734">
            <v>53.959999999999994</v>
          </cell>
          <cell r="AI734">
            <v>54.669999999999995</v>
          </cell>
          <cell r="AJ734">
            <v>0</v>
          </cell>
          <cell r="AK734">
            <v>0</v>
          </cell>
          <cell r="AL734">
            <v>0.71000000000000085</v>
          </cell>
          <cell r="AM734">
            <v>0</v>
          </cell>
          <cell r="AN734">
            <v>0.71000000000000085</v>
          </cell>
          <cell r="AO734">
            <v>0</v>
          </cell>
          <cell r="AP734">
            <v>0.71000000000000085</v>
          </cell>
          <cell r="AQ734" t="str">
            <v>CAD_2081</v>
          </cell>
          <cell r="AR734">
            <v>0</v>
          </cell>
          <cell r="AS734">
            <v>144</v>
          </cell>
          <cell r="AU734">
            <v>144</v>
          </cell>
          <cell r="AV734">
            <v>0</v>
          </cell>
          <cell r="AW734">
            <v>102.24000000000012</v>
          </cell>
          <cell r="AX734">
            <v>102.24000000000012</v>
          </cell>
          <cell r="AY734">
            <v>0</v>
          </cell>
          <cell r="AZ734">
            <v>102.24000000000012</v>
          </cell>
          <cell r="BA734">
            <v>102.24000000000012</v>
          </cell>
          <cell r="BB734">
            <v>102.24000000000012</v>
          </cell>
          <cell r="BC734">
            <v>0</v>
          </cell>
          <cell r="BD734">
            <v>0</v>
          </cell>
          <cell r="BE734">
            <v>0</v>
          </cell>
          <cell r="BG734">
            <v>102.24000000000012</v>
          </cell>
          <cell r="BI734">
            <v>102.24000000000012</v>
          </cell>
          <cell r="BJ734">
            <v>11088</v>
          </cell>
          <cell r="BK734">
            <v>7872.48</v>
          </cell>
          <cell r="BL734">
            <v>8108.4096</v>
          </cell>
          <cell r="BM734">
            <v>0</v>
          </cell>
          <cell r="BN734">
            <v>0</v>
          </cell>
          <cell r="BO734">
            <v>0</v>
          </cell>
          <cell r="BP734">
            <v>8108.4096</v>
          </cell>
          <cell r="BQ734">
            <v>0</v>
          </cell>
          <cell r="BR734">
            <v>-235.92960000000039</v>
          </cell>
          <cell r="BS734" t="str">
            <v>Y</v>
          </cell>
          <cell r="BT734">
            <v>1</v>
          </cell>
          <cell r="BU734">
            <v>1</v>
          </cell>
          <cell r="BV734" t="str">
            <v>N</v>
          </cell>
          <cell r="BW734">
            <v>0</v>
          </cell>
          <cell r="BX734">
            <v>0</v>
          </cell>
          <cell r="BY734">
            <v>2026</v>
          </cell>
          <cell r="BZ734" t="str">
            <v>-</v>
          </cell>
          <cell r="CA734" t="str">
            <v>-</v>
          </cell>
        </row>
        <row r="735">
          <cell r="A735" t="str">
            <v>Lucknow</v>
          </cell>
          <cell r="B735" t="str">
            <v>Mavericks</v>
          </cell>
          <cell r="C735" t="str">
            <v>Mid Level</v>
          </cell>
          <cell r="D735" t="str">
            <v>Mohammad Fakhrul</v>
          </cell>
          <cell r="E735" t="str">
            <v>-</v>
          </cell>
          <cell r="F735" t="str">
            <v>MSP</v>
          </cell>
          <cell r="H735" t="str">
            <v>Pass Through/MSP</v>
          </cell>
          <cell r="L735" t="str">
            <v>New</v>
          </cell>
          <cell r="M735">
            <v>46029</v>
          </cell>
          <cell r="N735">
            <v>173</v>
          </cell>
          <cell r="P735">
            <v>46394</v>
          </cell>
          <cell r="Q735" t="str">
            <v>PLC-Passthrough</v>
          </cell>
          <cell r="R735" t="str">
            <v>Swetha Aluru</v>
          </cell>
          <cell r="S735" t="str">
            <v>Individual</v>
          </cell>
          <cell r="T735" t="str">
            <v>C2C Canada</v>
          </cell>
          <cell r="U735" t="str">
            <v>Cigniti</v>
          </cell>
          <cell r="V735">
            <v>76</v>
          </cell>
          <cell r="W735">
            <v>0</v>
          </cell>
          <cell r="X735" t="str">
            <v>CAD</v>
          </cell>
          <cell r="Y735">
            <v>77</v>
          </cell>
          <cell r="Z735">
            <v>0</v>
          </cell>
          <cell r="AA735">
            <v>0</v>
          </cell>
          <cell r="AB735">
            <v>0</v>
          </cell>
          <cell r="AC735">
            <v>46068</v>
          </cell>
          <cell r="AD735">
            <v>19</v>
          </cell>
          <cell r="AE735">
            <v>46387</v>
          </cell>
          <cell r="AF735">
            <v>53.959999999999994</v>
          </cell>
          <cell r="AG735">
            <v>0</v>
          </cell>
          <cell r="AH735">
            <v>53.959999999999994</v>
          </cell>
          <cell r="AI735">
            <v>54.669999999999995</v>
          </cell>
          <cell r="AJ735">
            <v>0</v>
          </cell>
          <cell r="AK735">
            <v>0</v>
          </cell>
          <cell r="AL735">
            <v>0.71000000000000085</v>
          </cell>
          <cell r="AM735">
            <v>0</v>
          </cell>
          <cell r="AN735">
            <v>0.71000000000000085</v>
          </cell>
          <cell r="AO735">
            <v>0</v>
          </cell>
          <cell r="AP735">
            <v>0.71000000000000085</v>
          </cell>
          <cell r="AQ735" t="str">
            <v>CAD_2082</v>
          </cell>
          <cell r="AR735">
            <v>0</v>
          </cell>
          <cell r="AS735">
            <v>144</v>
          </cell>
          <cell r="AU735">
            <v>144</v>
          </cell>
          <cell r="AV735">
            <v>0</v>
          </cell>
          <cell r="AW735">
            <v>102.24000000000012</v>
          </cell>
          <cell r="AX735">
            <v>102.24000000000012</v>
          </cell>
          <cell r="AY735">
            <v>0</v>
          </cell>
          <cell r="AZ735">
            <v>102.24000000000012</v>
          </cell>
          <cell r="BA735">
            <v>102.24000000000012</v>
          </cell>
          <cell r="BB735">
            <v>102.24000000000012</v>
          </cell>
          <cell r="BC735">
            <v>0</v>
          </cell>
          <cell r="BD735">
            <v>0</v>
          </cell>
          <cell r="BE735">
            <v>0</v>
          </cell>
          <cell r="BG735">
            <v>102.24000000000012</v>
          </cell>
          <cell r="BI735">
            <v>102.24000000000012</v>
          </cell>
          <cell r="BJ735">
            <v>11088</v>
          </cell>
          <cell r="BK735">
            <v>7872.48</v>
          </cell>
          <cell r="BL735">
            <v>8108.4096</v>
          </cell>
          <cell r="BM735">
            <v>0</v>
          </cell>
          <cell r="BN735">
            <v>0</v>
          </cell>
          <cell r="BO735">
            <v>0</v>
          </cell>
          <cell r="BP735">
            <v>8108.4096</v>
          </cell>
          <cell r="BQ735">
            <v>0</v>
          </cell>
          <cell r="BR735">
            <v>-235.92960000000039</v>
          </cell>
          <cell r="BS735" t="str">
            <v>Y</v>
          </cell>
          <cell r="BT735">
            <v>1</v>
          </cell>
          <cell r="BU735">
            <v>1</v>
          </cell>
          <cell r="BV735" t="str">
            <v>N</v>
          </cell>
          <cell r="BW735">
            <v>0</v>
          </cell>
          <cell r="BX735">
            <v>0</v>
          </cell>
          <cell r="BY735">
            <v>2026</v>
          </cell>
          <cell r="BZ735" t="str">
            <v>-</v>
          </cell>
          <cell r="CA735" t="str">
            <v>-</v>
          </cell>
        </row>
        <row r="736">
          <cell r="A736" t="str">
            <v>Lucknow</v>
          </cell>
          <cell r="B736" t="str">
            <v>Mavericks</v>
          </cell>
          <cell r="C736" t="str">
            <v>Mid Level</v>
          </cell>
          <cell r="D736" t="str">
            <v>Mohammad Fakhrul</v>
          </cell>
          <cell r="E736" t="str">
            <v>-</v>
          </cell>
          <cell r="F736" t="str">
            <v>MSP</v>
          </cell>
          <cell r="H736" t="str">
            <v>Pass Through/MSP</v>
          </cell>
          <cell r="L736" t="str">
            <v>New</v>
          </cell>
          <cell r="M736">
            <v>46029</v>
          </cell>
          <cell r="N736">
            <v>173</v>
          </cell>
          <cell r="P736">
            <v>46394</v>
          </cell>
          <cell r="Q736" t="str">
            <v>PLC-Passthrough</v>
          </cell>
          <cell r="R736" t="str">
            <v>Swetha Aluru</v>
          </cell>
          <cell r="S736" t="str">
            <v>Individual</v>
          </cell>
          <cell r="T736" t="str">
            <v>C2C Canada</v>
          </cell>
          <cell r="U736" t="str">
            <v>Cigniti</v>
          </cell>
          <cell r="V736">
            <v>76</v>
          </cell>
          <cell r="W736">
            <v>0</v>
          </cell>
          <cell r="X736" t="str">
            <v>CAD</v>
          </cell>
          <cell r="Y736">
            <v>77</v>
          </cell>
          <cell r="Z736">
            <v>0</v>
          </cell>
          <cell r="AA736">
            <v>0</v>
          </cell>
          <cell r="AB736">
            <v>0</v>
          </cell>
          <cell r="AC736">
            <v>46096</v>
          </cell>
          <cell r="AD736">
            <v>22</v>
          </cell>
          <cell r="AE736">
            <v>46387</v>
          </cell>
          <cell r="AF736">
            <v>53.959999999999994</v>
          </cell>
          <cell r="AG736">
            <v>0</v>
          </cell>
          <cell r="AH736">
            <v>53.959999999999994</v>
          </cell>
          <cell r="AI736">
            <v>54.669999999999995</v>
          </cell>
          <cell r="AJ736">
            <v>0</v>
          </cell>
          <cell r="AK736">
            <v>0</v>
          </cell>
          <cell r="AL736">
            <v>0.71000000000000085</v>
          </cell>
          <cell r="AM736">
            <v>0</v>
          </cell>
          <cell r="AN736">
            <v>0.71000000000000085</v>
          </cell>
          <cell r="AO736">
            <v>0</v>
          </cell>
          <cell r="AP736">
            <v>0.71000000000000085</v>
          </cell>
          <cell r="AQ736" t="str">
            <v>CAD_2083</v>
          </cell>
          <cell r="AR736">
            <v>0</v>
          </cell>
          <cell r="AS736">
            <v>160</v>
          </cell>
          <cell r="AU736">
            <v>160</v>
          </cell>
          <cell r="AV736">
            <v>0</v>
          </cell>
          <cell r="AW736">
            <v>113.60000000000014</v>
          </cell>
          <cell r="AX736">
            <v>113.60000000000014</v>
          </cell>
          <cell r="AY736">
            <v>0</v>
          </cell>
          <cell r="AZ736">
            <v>113.60000000000014</v>
          </cell>
          <cell r="BA736">
            <v>113.60000000000014</v>
          </cell>
          <cell r="BB736">
            <v>113.60000000000014</v>
          </cell>
          <cell r="BC736">
            <v>0</v>
          </cell>
          <cell r="BD736">
            <v>0</v>
          </cell>
          <cell r="BE736">
            <v>0</v>
          </cell>
          <cell r="BG736">
            <v>113.60000000000014</v>
          </cell>
          <cell r="BI736">
            <v>113.60000000000014</v>
          </cell>
          <cell r="BJ736">
            <v>12320</v>
          </cell>
          <cell r="BK736">
            <v>8747.1999999999989</v>
          </cell>
          <cell r="BL736">
            <v>9009.3439999999991</v>
          </cell>
          <cell r="BM736">
            <v>0</v>
          </cell>
          <cell r="BN736">
            <v>0</v>
          </cell>
          <cell r="BO736">
            <v>0</v>
          </cell>
          <cell r="BP736">
            <v>9009.3439999999991</v>
          </cell>
          <cell r="BQ736">
            <v>0</v>
          </cell>
          <cell r="BR736">
            <v>-262.14400000000023</v>
          </cell>
          <cell r="BS736" t="str">
            <v>Y</v>
          </cell>
          <cell r="BT736">
            <v>1</v>
          </cell>
          <cell r="BU736">
            <v>1</v>
          </cell>
          <cell r="BV736" t="str">
            <v>N</v>
          </cell>
          <cell r="BW736">
            <v>0</v>
          </cell>
          <cell r="BX736">
            <v>0</v>
          </cell>
          <cell r="BY736">
            <v>2026</v>
          </cell>
          <cell r="BZ736" t="str">
            <v>-</v>
          </cell>
          <cell r="CA736" t="str">
            <v>-</v>
          </cell>
        </row>
        <row r="737">
          <cell r="A737" t="str">
            <v>Lucknow</v>
          </cell>
          <cell r="B737" t="str">
            <v>Mavericks</v>
          </cell>
          <cell r="C737" t="str">
            <v>Mid Level</v>
          </cell>
          <cell r="D737" t="str">
            <v>Mohammad Fakhrul</v>
          </cell>
          <cell r="E737" t="str">
            <v>-</v>
          </cell>
          <cell r="F737" t="str">
            <v>MSP</v>
          </cell>
          <cell r="H737" t="str">
            <v>Pass Through/MSP</v>
          </cell>
          <cell r="J737" t="str">
            <v>ACH</v>
          </cell>
          <cell r="L737" t="str">
            <v>New</v>
          </cell>
          <cell r="M737">
            <v>46029</v>
          </cell>
          <cell r="N737">
            <v>173</v>
          </cell>
          <cell r="P737">
            <v>46394</v>
          </cell>
          <cell r="Q737" t="str">
            <v>PLC-Passthrough</v>
          </cell>
          <cell r="R737" t="str">
            <v>Swetha Aluru</v>
          </cell>
          <cell r="S737" t="str">
            <v>Individual</v>
          </cell>
          <cell r="T737" t="str">
            <v>C2C Canada</v>
          </cell>
          <cell r="U737" t="str">
            <v>Cigniti</v>
          </cell>
          <cell r="V737">
            <v>76</v>
          </cell>
          <cell r="W737">
            <v>0</v>
          </cell>
          <cell r="X737" t="str">
            <v>CAD</v>
          </cell>
          <cell r="Y737">
            <v>77</v>
          </cell>
          <cell r="Z737">
            <v>0</v>
          </cell>
          <cell r="AA737">
            <v>0</v>
          </cell>
          <cell r="AB737">
            <v>0</v>
          </cell>
          <cell r="AC737">
            <v>46127</v>
          </cell>
          <cell r="AD737">
            <v>22</v>
          </cell>
          <cell r="AE737">
            <v>46387</v>
          </cell>
          <cell r="AF737">
            <v>53.959999999999994</v>
          </cell>
          <cell r="AG737">
            <v>0</v>
          </cell>
          <cell r="AH737">
            <v>53.959999999999994</v>
          </cell>
          <cell r="AI737">
            <v>54.669999999999995</v>
          </cell>
          <cell r="AJ737">
            <v>0</v>
          </cell>
          <cell r="AK737">
            <v>0</v>
          </cell>
          <cell r="AL737">
            <v>0.71000000000000085</v>
          </cell>
          <cell r="AM737">
            <v>0</v>
          </cell>
          <cell r="AN737">
            <v>0.71000000000000085</v>
          </cell>
          <cell r="AO737">
            <v>0</v>
          </cell>
          <cell r="AP737">
            <v>0.71000000000000085</v>
          </cell>
          <cell r="AQ737" t="str">
            <v>CAD_2101</v>
          </cell>
          <cell r="AR737">
            <v>0</v>
          </cell>
          <cell r="AS737">
            <v>168</v>
          </cell>
          <cell r="AU737">
            <v>168</v>
          </cell>
          <cell r="AV737">
            <v>0</v>
          </cell>
          <cell r="AW737">
            <v>119.28000000000014</v>
          </cell>
          <cell r="AX737">
            <v>118.08720000000014</v>
          </cell>
          <cell r="AY737">
            <v>0</v>
          </cell>
          <cell r="AZ737">
            <v>119.28000000000014</v>
          </cell>
          <cell r="BA737">
            <v>118.08720000000014</v>
          </cell>
          <cell r="BB737">
            <v>119.28000000000014</v>
          </cell>
          <cell r="BC737">
            <v>0</v>
          </cell>
          <cell r="BD737">
            <v>0</v>
          </cell>
          <cell r="BE737">
            <v>0</v>
          </cell>
          <cell r="BG737">
            <v>118.08720000000014</v>
          </cell>
          <cell r="BI737">
            <v>118.08720000000014</v>
          </cell>
          <cell r="BJ737">
            <v>12936</v>
          </cell>
          <cell r="BK737">
            <v>9184.56</v>
          </cell>
          <cell r="BL737">
            <v>9459.8112000000001</v>
          </cell>
          <cell r="BM737">
            <v>0</v>
          </cell>
          <cell r="BN737">
            <v>0</v>
          </cell>
          <cell r="BO737">
            <v>0</v>
          </cell>
          <cell r="BP737">
            <v>9459.8112000000001</v>
          </cell>
          <cell r="BQ737">
            <v>0</v>
          </cell>
          <cell r="BR737">
            <v>-275.25120000000061</v>
          </cell>
          <cell r="BS737" t="str">
            <v>Y</v>
          </cell>
          <cell r="BT737">
            <v>2</v>
          </cell>
          <cell r="BU737">
            <v>1</v>
          </cell>
          <cell r="BV737" t="str">
            <v>N</v>
          </cell>
          <cell r="BW737">
            <v>0</v>
          </cell>
          <cell r="BX737">
            <v>0</v>
          </cell>
          <cell r="BY737">
            <v>2026</v>
          </cell>
          <cell r="BZ737" t="str">
            <v>-</v>
          </cell>
          <cell r="CA737" t="str">
            <v>-</v>
          </cell>
        </row>
        <row r="738">
          <cell r="A738" t="str">
            <v>Lucknow</v>
          </cell>
          <cell r="B738" t="str">
            <v>Mavericks</v>
          </cell>
          <cell r="C738" t="str">
            <v>Mid Level</v>
          </cell>
          <cell r="D738" t="str">
            <v>Mohammad Fakhrul</v>
          </cell>
          <cell r="E738" t="str">
            <v>-</v>
          </cell>
          <cell r="F738" t="str">
            <v>MSP</v>
          </cell>
          <cell r="H738" t="str">
            <v>Pass Through/MSP</v>
          </cell>
          <cell r="J738" t="str">
            <v>ACH</v>
          </cell>
          <cell r="L738" t="str">
            <v>New</v>
          </cell>
          <cell r="M738">
            <v>46029</v>
          </cell>
          <cell r="N738">
            <v>173</v>
          </cell>
          <cell r="P738">
            <v>46394</v>
          </cell>
          <cell r="Q738" t="str">
            <v>PLC-Passthrough</v>
          </cell>
          <cell r="R738" t="str">
            <v>Swetha Aluru</v>
          </cell>
          <cell r="S738" t="str">
            <v>Individual</v>
          </cell>
          <cell r="T738" t="str">
            <v>C2C Canada</v>
          </cell>
          <cell r="U738" t="str">
            <v>Cigniti</v>
          </cell>
          <cell r="V738">
            <v>76</v>
          </cell>
          <cell r="W738">
            <v>0</v>
          </cell>
          <cell r="X738" t="str">
            <v>CAD</v>
          </cell>
          <cell r="Y738">
            <v>77</v>
          </cell>
          <cell r="Z738">
            <v>0</v>
          </cell>
          <cell r="AA738">
            <v>0</v>
          </cell>
          <cell r="AB738">
            <v>0</v>
          </cell>
          <cell r="AC738">
            <v>46157</v>
          </cell>
          <cell r="AD738">
            <v>22</v>
          </cell>
          <cell r="AE738">
            <v>46387</v>
          </cell>
          <cell r="AF738">
            <v>53.959999999999994</v>
          </cell>
          <cell r="AG738">
            <v>0</v>
          </cell>
          <cell r="AH738">
            <v>53.959999999999994</v>
          </cell>
          <cell r="AI738">
            <v>54.669999999999995</v>
          </cell>
          <cell r="AJ738">
            <v>0</v>
          </cell>
          <cell r="AK738">
            <v>0</v>
          </cell>
          <cell r="AL738">
            <v>0.71000000000000085</v>
          </cell>
          <cell r="AM738">
            <v>0</v>
          </cell>
          <cell r="AN738">
            <v>0.71000000000000085</v>
          </cell>
          <cell r="AO738">
            <v>0</v>
          </cell>
          <cell r="AP738">
            <v>0.71000000000000085</v>
          </cell>
          <cell r="AQ738" t="str">
            <v>CAD_2215</v>
          </cell>
          <cell r="AR738">
            <v>0</v>
          </cell>
          <cell r="AS738">
            <v>152</v>
          </cell>
          <cell r="AU738">
            <v>152</v>
          </cell>
          <cell r="AV738">
            <v>0</v>
          </cell>
          <cell r="AW738">
            <v>107.92000000000013</v>
          </cell>
          <cell r="AX738">
            <v>106.84080000000013</v>
          </cell>
          <cell r="AY738">
            <v>0</v>
          </cell>
          <cell r="AZ738">
            <v>107.92000000000013</v>
          </cell>
          <cell r="BA738">
            <v>106.84080000000013</v>
          </cell>
          <cell r="BB738">
            <v>107.92000000000013</v>
          </cell>
          <cell r="BC738">
            <v>0</v>
          </cell>
          <cell r="BD738">
            <v>0</v>
          </cell>
          <cell r="BE738">
            <v>0</v>
          </cell>
          <cell r="BG738">
            <v>106.84080000000013</v>
          </cell>
          <cell r="BI738">
            <v>106.84080000000013</v>
          </cell>
          <cell r="BJ738">
            <v>11704</v>
          </cell>
          <cell r="BK738">
            <v>8309.8399999999983</v>
          </cell>
          <cell r="BL738">
            <v>8558.8768</v>
          </cell>
          <cell r="BM738">
            <v>0</v>
          </cell>
          <cell r="BN738">
            <v>0</v>
          </cell>
          <cell r="BO738">
            <v>0</v>
          </cell>
          <cell r="BP738">
            <v>8558.8768</v>
          </cell>
          <cell r="BQ738">
            <v>0</v>
          </cell>
          <cell r="BR738">
            <v>-249.03680000000168</v>
          </cell>
          <cell r="BT738">
            <v>2</v>
          </cell>
          <cell r="BU738">
            <v>1</v>
          </cell>
          <cell r="BV738" t="str">
            <v>N</v>
          </cell>
          <cell r="BW738">
            <v>0</v>
          </cell>
          <cell r="BX738">
            <v>0</v>
          </cell>
          <cell r="BY738">
            <v>2026</v>
          </cell>
          <cell r="BZ738" t="str">
            <v>-</v>
          </cell>
          <cell r="CA738" t="str">
            <v>-</v>
          </cell>
        </row>
        <row r="739">
          <cell r="A739" t="str">
            <v>Chennai</v>
          </cell>
          <cell r="B739" t="str">
            <v>Chennai</v>
          </cell>
          <cell r="C739" t="str">
            <v>Mid Level</v>
          </cell>
          <cell r="D739" t="str">
            <v>Vinoth L</v>
          </cell>
          <cell r="E739" t="str">
            <v>-</v>
          </cell>
          <cell r="F739" t="str">
            <v>Non-MSP</v>
          </cell>
          <cell r="H739" t="str">
            <v>Vishnukanth R</v>
          </cell>
          <cell r="L739" t="str">
            <v>New</v>
          </cell>
          <cell r="M739">
            <v>46083</v>
          </cell>
          <cell r="N739">
            <v>119</v>
          </cell>
          <cell r="P739">
            <v>46448</v>
          </cell>
          <cell r="Q739" t="str">
            <v>PLC-4785</v>
          </cell>
          <cell r="R739" t="str">
            <v>Tamie Burton</v>
          </cell>
          <cell r="S739" t="str">
            <v>Individual</v>
          </cell>
          <cell r="T739" t="str">
            <v>FTE</v>
          </cell>
          <cell r="U739" t="str">
            <v>Relevante</v>
          </cell>
          <cell r="V739">
            <v>0</v>
          </cell>
          <cell r="W739">
            <v>0</v>
          </cell>
          <cell r="X739" t="str">
            <v>USD</v>
          </cell>
          <cell r="Y739">
            <v>2639</v>
          </cell>
          <cell r="Z739">
            <v>0</v>
          </cell>
          <cell r="AA739">
            <v>0</v>
          </cell>
          <cell r="AB739">
            <v>0</v>
          </cell>
          <cell r="AC739">
            <v>46096</v>
          </cell>
          <cell r="AD739">
            <v>1</v>
          </cell>
          <cell r="AE739">
            <v>46387</v>
          </cell>
          <cell r="AF739">
            <v>0</v>
          </cell>
          <cell r="AG739">
            <v>0</v>
          </cell>
          <cell r="AH739">
            <v>0</v>
          </cell>
          <cell r="AI739">
            <v>2639</v>
          </cell>
          <cell r="AJ739">
            <v>0</v>
          </cell>
          <cell r="AK739">
            <v>0</v>
          </cell>
          <cell r="AL739">
            <v>2639</v>
          </cell>
          <cell r="AM739">
            <v>0</v>
          </cell>
          <cell r="AN739">
            <v>2639</v>
          </cell>
          <cell r="AO739">
            <v>0</v>
          </cell>
          <cell r="AP739">
            <v>2639</v>
          </cell>
          <cell r="AQ739" t="str">
            <v>US_27207</v>
          </cell>
          <cell r="AR739">
            <v>0</v>
          </cell>
          <cell r="AS739">
            <v>1</v>
          </cell>
          <cell r="AU739">
            <v>1</v>
          </cell>
          <cell r="AV739">
            <v>0</v>
          </cell>
          <cell r="AW739">
            <v>2639</v>
          </cell>
          <cell r="AX739">
            <v>2639</v>
          </cell>
          <cell r="AY739">
            <v>0</v>
          </cell>
          <cell r="AZ739">
            <v>2639</v>
          </cell>
          <cell r="BA739">
            <v>2639</v>
          </cell>
          <cell r="BB739">
            <v>2639</v>
          </cell>
          <cell r="BC739">
            <v>0</v>
          </cell>
          <cell r="BD739">
            <v>0</v>
          </cell>
          <cell r="BE739">
            <v>0</v>
          </cell>
          <cell r="BG739">
            <v>2639</v>
          </cell>
          <cell r="BI739">
            <v>2639</v>
          </cell>
          <cell r="BJ739">
            <v>2639</v>
          </cell>
          <cell r="BK739">
            <v>2639</v>
          </cell>
          <cell r="BL739">
            <v>0</v>
          </cell>
          <cell r="BM739">
            <v>0</v>
          </cell>
          <cell r="BN739">
            <v>0</v>
          </cell>
          <cell r="BO739">
            <v>0</v>
          </cell>
          <cell r="BP739">
            <v>0</v>
          </cell>
          <cell r="BQ739">
            <v>0</v>
          </cell>
          <cell r="BR739">
            <v>2639</v>
          </cell>
          <cell r="BS739" t="str">
            <v>Y</v>
          </cell>
          <cell r="BT739">
            <v>1</v>
          </cell>
          <cell r="BU739">
            <v>1</v>
          </cell>
          <cell r="BV739" t="str">
            <v>N</v>
          </cell>
          <cell r="BW739">
            <v>0</v>
          </cell>
          <cell r="BX739">
            <v>0</v>
          </cell>
          <cell r="BY739">
            <v>2026</v>
          </cell>
          <cell r="BZ739" t="str">
            <v>-</v>
          </cell>
          <cell r="CA739" t="str">
            <v>-</v>
          </cell>
        </row>
        <row r="740">
          <cell r="A740" t="str">
            <v>Lucknow</v>
          </cell>
          <cell r="B740" t="str">
            <v>Chennai</v>
          </cell>
          <cell r="C740" t="str">
            <v>Mid Level</v>
          </cell>
          <cell r="D740" t="str">
            <v>Vinoth L</v>
          </cell>
          <cell r="F740" t="str">
            <v>Non-MSP</v>
          </cell>
          <cell r="H740" t="str">
            <v>Sophia R</v>
          </cell>
          <cell r="J740" t="str">
            <v>ACH</v>
          </cell>
          <cell r="L740" t="str">
            <v>New</v>
          </cell>
          <cell r="M740">
            <v>46121</v>
          </cell>
          <cell r="N740">
            <v>81</v>
          </cell>
          <cell r="P740">
            <v>46486</v>
          </cell>
          <cell r="Q740" t="str">
            <v>PLC-4867</v>
          </cell>
          <cell r="R740" t="str">
            <v>Tanuja Reddy Boduggam</v>
          </cell>
          <cell r="S740" t="str">
            <v>Individual</v>
          </cell>
          <cell r="T740" t="str">
            <v>C2C</v>
          </cell>
          <cell r="U740" t="str">
            <v>Citius Tech</v>
          </cell>
          <cell r="V740">
            <v>58</v>
          </cell>
          <cell r="W740">
            <v>0</v>
          </cell>
          <cell r="X740" t="str">
            <v>USD</v>
          </cell>
          <cell r="Y740">
            <v>70</v>
          </cell>
          <cell r="Z740">
            <v>0</v>
          </cell>
          <cell r="AA740">
            <v>0</v>
          </cell>
          <cell r="AB740">
            <v>0</v>
          </cell>
          <cell r="AC740">
            <v>46127</v>
          </cell>
          <cell r="AD740">
            <v>16</v>
          </cell>
          <cell r="AE740">
            <v>46387</v>
          </cell>
          <cell r="AF740">
            <v>58</v>
          </cell>
          <cell r="AG740">
            <v>0</v>
          </cell>
          <cell r="AH740">
            <v>58</v>
          </cell>
          <cell r="AI740">
            <v>70</v>
          </cell>
          <cell r="AJ740">
            <v>0</v>
          </cell>
          <cell r="AK740">
            <v>0</v>
          </cell>
          <cell r="AL740">
            <v>12</v>
          </cell>
          <cell r="AM740">
            <v>0</v>
          </cell>
          <cell r="AN740">
            <v>12</v>
          </cell>
          <cell r="AO740">
            <v>0</v>
          </cell>
          <cell r="AP740">
            <v>12</v>
          </cell>
          <cell r="AQ740" t="str">
            <v>US_27711</v>
          </cell>
          <cell r="AR740">
            <v>0</v>
          </cell>
          <cell r="AS740">
            <v>128</v>
          </cell>
          <cell r="AU740">
            <v>128</v>
          </cell>
          <cell r="AV740">
            <v>0</v>
          </cell>
          <cell r="AW740">
            <v>1536</v>
          </cell>
          <cell r="AX740">
            <v>1520.6399999999999</v>
          </cell>
          <cell r="AY740">
            <v>0</v>
          </cell>
          <cell r="AZ740">
            <v>1536</v>
          </cell>
          <cell r="BA740">
            <v>1520.6399999999999</v>
          </cell>
          <cell r="BB740">
            <v>1536</v>
          </cell>
          <cell r="BC740">
            <v>66.666666666666657</v>
          </cell>
          <cell r="BD740">
            <v>2007.2447999999997</v>
          </cell>
          <cell r="BE740">
            <v>2007.2447999999997</v>
          </cell>
          <cell r="BG740">
            <v>1520.6399999999999</v>
          </cell>
          <cell r="BI740">
            <v>0</v>
          </cell>
          <cell r="BJ740">
            <v>8960</v>
          </cell>
          <cell r="BK740">
            <v>8960</v>
          </cell>
          <cell r="BL740">
            <v>7424</v>
          </cell>
          <cell r="BM740">
            <v>0</v>
          </cell>
          <cell r="BN740">
            <v>0</v>
          </cell>
          <cell r="BO740">
            <v>0</v>
          </cell>
          <cell r="BP740">
            <v>7424</v>
          </cell>
          <cell r="BQ740">
            <v>0</v>
          </cell>
          <cell r="BR740">
            <v>1536</v>
          </cell>
          <cell r="BT740">
            <v>2</v>
          </cell>
          <cell r="BU740">
            <v>2</v>
          </cell>
          <cell r="BV740" t="str">
            <v>N</v>
          </cell>
          <cell r="BW740">
            <v>4014.4895999999994</v>
          </cell>
          <cell r="BX740">
            <v>4014.4895999999994</v>
          </cell>
          <cell r="BY740">
            <v>2026</v>
          </cell>
          <cell r="BZ740" t="str">
            <v>-</v>
          </cell>
          <cell r="CA740" t="str">
            <v>-</v>
          </cell>
        </row>
        <row r="741">
          <cell r="A741" t="str">
            <v>Lucknow</v>
          </cell>
          <cell r="B741" t="str">
            <v>Chennai</v>
          </cell>
          <cell r="C741" t="str">
            <v>Mid Level</v>
          </cell>
          <cell r="D741" t="str">
            <v>Vinoth L</v>
          </cell>
          <cell r="F741" t="str">
            <v>Non-MSP</v>
          </cell>
          <cell r="H741" t="str">
            <v>Sophia R</v>
          </cell>
          <cell r="J741" t="str">
            <v>ACH</v>
          </cell>
          <cell r="L741" t="str">
            <v>New</v>
          </cell>
          <cell r="M741">
            <v>46121</v>
          </cell>
          <cell r="N741">
            <v>81</v>
          </cell>
          <cell r="P741">
            <v>46486</v>
          </cell>
          <cell r="Q741" t="str">
            <v>PLC-4867</v>
          </cell>
          <cell r="R741" t="str">
            <v>Tanuja Reddy Boduggam</v>
          </cell>
          <cell r="S741" t="str">
            <v>Individual</v>
          </cell>
          <cell r="T741" t="str">
            <v>C2C</v>
          </cell>
          <cell r="U741" t="str">
            <v>Citius Tech</v>
          </cell>
          <cell r="V741">
            <v>58</v>
          </cell>
          <cell r="W741">
            <v>0</v>
          </cell>
          <cell r="X741" t="str">
            <v>USD</v>
          </cell>
          <cell r="Y741">
            <v>70</v>
          </cell>
          <cell r="Z741">
            <v>0</v>
          </cell>
          <cell r="AA741">
            <v>0</v>
          </cell>
          <cell r="AB741">
            <v>0</v>
          </cell>
          <cell r="AC741">
            <v>46157</v>
          </cell>
          <cell r="AD741">
            <v>16</v>
          </cell>
          <cell r="AE741">
            <v>46387</v>
          </cell>
          <cell r="AF741">
            <v>58</v>
          </cell>
          <cell r="AG741">
            <v>0</v>
          </cell>
          <cell r="AH741">
            <v>58</v>
          </cell>
          <cell r="AI741">
            <v>70</v>
          </cell>
          <cell r="AJ741">
            <v>0</v>
          </cell>
          <cell r="AK741">
            <v>0</v>
          </cell>
          <cell r="AL741">
            <v>12</v>
          </cell>
          <cell r="AM741">
            <v>0</v>
          </cell>
          <cell r="AN741">
            <v>12</v>
          </cell>
          <cell r="AO741">
            <v>0</v>
          </cell>
          <cell r="AP741">
            <v>12</v>
          </cell>
          <cell r="AQ741" t="str">
            <v>US_27779</v>
          </cell>
          <cell r="AR741">
            <v>0</v>
          </cell>
          <cell r="AS741">
            <v>152</v>
          </cell>
          <cell r="AU741">
            <v>152</v>
          </cell>
          <cell r="AV741">
            <v>0</v>
          </cell>
          <cell r="AW741">
            <v>1824</v>
          </cell>
          <cell r="AX741">
            <v>1805.76</v>
          </cell>
          <cell r="AY741">
            <v>0</v>
          </cell>
          <cell r="AZ741">
            <v>1824</v>
          </cell>
          <cell r="BA741">
            <v>1805.76</v>
          </cell>
          <cell r="BB741">
            <v>1824</v>
          </cell>
          <cell r="BC741">
            <v>66.666666666666657</v>
          </cell>
          <cell r="BD741">
            <v>2383.6032</v>
          </cell>
          <cell r="BE741">
            <v>2383.6032</v>
          </cell>
          <cell r="BG741">
            <v>1805.76</v>
          </cell>
          <cell r="BI741">
            <v>0</v>
          </cell>
          <cell r="BJ741">
            <v>10640</v>
          </cell>
          <cell r="BK741">
            <v>10640</v>
          </cell>
          <cell r="BL741">
            <v>8816</v>
          </cell>
          <cell r="BM741">
            <v>0</v>
          </cell>
          <cell r="BN741">
            <v>0</v>
          </cell>
          <cell r="BO741">
            <v>0</v>
          </cell>
          <cell r="BP741">
            <v>8816</v>
          </cell>
          <cell r="BQ741">
            <v>0</v>
          </cell>
          <cell r="BR741">
            <v>1824</v>
          </cell>
          <cell r="BS741" t="str">
            <v>Y</v>
          </cell>
          <cell r="BT741">
            <v>2</v>
          </cell>
          <cell r="BU741">
            <v>2</v>
          </cell>
          <cell r="BV741" t="str">
            <v>N</v>
          </cell>
          <cell r="BW741">
            <v>4767.2064</v>
          </cell>
          <cell r="BX741">
            <v>4767.2064</v>
          </cell>
          <cell r="BY741">
            <v>2026</v>
          </cell>
          <cell r="BZ741" t="str">
            <v>-</v>
          </cell>
          <cell r="CA741" t="str">
            <v>-</v>
          </cell>
        </row>
        <row r="742">
          <cell r="A742" t="str">
            <v>Lucknow</v>
          </cell>
          <cell r="B742" t="str">
            <v>Trust</v>
          </cell>
          <cell r="C742" t="str">
            <v>Mid Level</v>
          </cell>
          <cell r="D742" t="str">
            <v>Shashank Yadav</v>
          </cell>
          <cell r="E742" t="str">
            <v>-</v>
          </cell>
          <cell r="F742" t="str">
            <v>Non-MSP</v>
          </cell>
          <cell r="H742" t="str">
            <v>Abhishek Verma</v>
          </cell>
          <cell r="L742" t="str">
            <v>New</v>
          </cell>
          <cell r="M742">
            <v>46091</v>
          </cell>
          <cell r="N742">
            <v>111</v>
          </cell>
          <cell r="P742">
            <v>46456</v>
          </cell>
          <cell r="Q742" t="str">
            <v>PLC-4759</v>
          </cell>
          <cell r="R742" t="str">
            <v>Theodore Riemer</v>
          </cell>
          <cell r="S742" t="str">
            <v>Individual</v>
          </cell>
          <cell r="T742" t="str">
            <v>FTE</v>
          </cell>
          <cell r="U742" t="str">
            <v>Reflik</v>
          </cell>
          <cell r="V742">
            <v>0</v>
          </cell>
          <cell r="W742">
            <v>0</v>
          </cell>
          <cell r="X742" t="str">
            <v>USD</v>
          </cell>
          <cell r="Y742">
            <v>3500</v>
          </cell>
          <cell r="Z742">
            <v>0</v>
          </cell>
          <cell r="AA742">
            <v>0</v>
          </cell>
          <cell r="AB742">
            <v>0</v>
          </cell>
          <cell r="AC742">
            <v>46096</v>
          </cell>
          <cell r="AD742">
            <v>1</v>
          </cell>
          <cell r="AE742">
            <v>46387</v>
          </cell>
          <cell r="AF742">
            <v>0</v>
          </cell>
          <cell r="AG742">
            <v>0</v>
          </cell>
          <cell r="AH742">
            <v>0</v>
          </cell>
          <cell r="AI742">
            <v>3500</v>
          </cell>
          <cell r="AJ742">
            <v>0</v>
          </cell>
          <cell r="AK742">
            <v>0</v>
          </cell>
          <cell r="AL742">
            <v>3500</v>
          </cell>
          <cell r="AM742">
            <v>0</v>
          </cell>
          <cell r="AN742">
            <v>3500</v>
          </cell>
          <cell r="AO742">
            <v>0</v>
          </cell>
          <cell r="AP742">
            <v>3500</v>
          </cell>
          <cell r="AQ742" t="str">
            <v>US_27450</v>
          </cell>
          <cell r="AR742">
            <v>0</v>
          </cell>
          <cell r="AS742">
            <v>1</v>
          </cell>
          <cell r="AU742">
            <v>1</v>
          </cell>
          <cell r="AV742">
            <v>0</v>
          </cell>
          <cell r="AW742">
            <v>3500</v>
          </cell>
          <cell r="AX742">
            <v>3500</v>
          </cell>
          <cell r="AY742">
            <v>0</v>
          </cell>
          <cell r="AZ742">
            <v>3500</v>
          </cell>
          <cell r="BA742">
            <v>3500</v>
          </cell>
          <cell r="BB742">
            <v>3500</v>
          </cell>
          <cell r="BC742">
            <v>0</v>
          </cell>
          <cell r="BD742">
            <v>0</v>
          </cell>
          <cell r="BE742">
            <v>0</v>
          </cell>
          <cell r="BG742">
            <v>3500</v>
          </cell>
          <cell r="BI742">
            <v>3500</v>
          </cell>
          <cell r="BJ742">
            <v>3500</v>
          </cell>
          <cell r="BK742">
            <v>3500</v>
          </cell>
          <cell r="BL742">
            <v>0</v>
          </cell>
          <cell r="BM742">
            <v>0</v>
          </cell>
          <cell r="BN742">
            <v>0</v>
          </cell>
          <cell r="BO742">
            <v>0</v>
          </cell>
          <cell r="BP742">
            <v>0</v>
          </cell>
          <cell r="BQ742">
            <v>0</v>
          </cell>
          <cell r="BR742">
            <v>3500</v>
          </cell>
          <cell r="BT742">
            <v>1</v>
          </cell>
          <cell r="BU742">
            <v>1</v>
          </cell>
          <cell r="BV742" t="str">
            <v>Y</v>
          </cell>
          <cell r="BW742">
            <v>0</v>
          </cell>
          <cell r="BX742">
            <v>0</v>
          </cell>
          <cell r="BY742">
            <v>2026</v>
          </cell>
          <cell r="BZ742" t="str">
            <v>-</v>
          </cell>
          <cell r="CA742" t="str">
            <v>-</v>
          </cell>
        </row>
        <row r="743">
          <cell r="A743" t="str">
            <v>Lucknow</v>
          </cell>
          <cell r="B743" t="str">
            <v>Titans</v>
          </cell>
          <cell r="C743" t="str">
            <v>Mid Level</v>
          </cell>
          <cell r="D743" t="str">
            <v>Aditya Yadav</v>
          </cell>
          <cell r="E743" t="str">
            <v>-</v>
          </cell>
          <cell r="F743" t="str">
            <v>Non-MSP</v>
          </cell>
          <cell r="H743" t="str">
            <v>Rishabh Singh</v>
          </cell>
          <cell r="L743" t="str">
            <v>New</v>
          </cell>
          <cell r="M743">
            <v>46094</v>
          </cell>
          <cell r="N743">
            <v>108</v>
          </cell>
          <cell r="O743">
            <v>46164</v>
          </cell>
          <cell r="P743">
            <v>46459</v>
          </cell>
          <cell r="Q743" t="str">
            <v>PLC-4782</v>
          </cell>
          <cell r="R743" t="str">
            <v>Tia Maisha Mabry Watkins</v>
          </cell>
          <cell r="S743" t="str">
            <v>Individual</v>
          </cell>
          <cell r="T743" t="str">
            <v>W2</v>
          </cell>
          <cell r="U743" t="str">
            <v>LTTS</v>
          </cell>
          <cell r="V743">
            <v>40</v>
          </cell>
          <cell r="W743">
            <v>0</v>
          </cell>
          <cell r="X743" t="str">
            <v>USD</v>
          </cell>
          <cell r="Y743">
            <v>56.5</v>
          </cell>
          <cell r="Z743">
            <v>0</v>
          </cell>
          <cell r="AA743">
            <v>0</v>
          </cell>
          <cell r="AB743">
            <v>0</v>
          </cell>
          <cell r="AC743">
            <v>46096</v>
          </cell>
          <cell r="AD743">
            <v>13</v>
          </cell>
          <cell r="AE743">
            <v>46387</v>
          </cell>
          <cell r="AF743">
            <v>46</v>
          </cell>
          <cell r="AG743">
            <v>0</v>
          </cell>
          <cell r="AH743">
            <v>46</v>
          </cell>
          <cell r="AI743">
            <v>56.5</v>
          </cell>
          <cell r="AJ743">
            <v>0</v>
          </cell>
          <cell r="AK743">
            <v>0</v>
          </cell>
          <cell r="AL743">
            <v>10.5</v>
          </cell>
          <cell r="AM743">
            <v>0</v>
          </cell>
          <cell r="AN743">
            <v>10.5</v>
          </cell>
          <cell r="AO743">
            <v>0</v>
          </cell>
          <cell r="AP743">
            <v>10.5</v>
          </cell>
          <cell r="AQ743" t="str">
            <v>US_27435</v>
          </cell>
          <cell r="AR743">
            <v>0</v>
          </cell>
          <cell r="AS743">
            <v>96</v>
          </cell>
          <cell r="AU743">
            <v>96</v>
          </cell>
          <cell r="AV743">
            <v>0</v>
          </cell>
          <cell r="AW743">
            <v>1008</v>
          </cell>
          <cell r="AX743">
            <v>1008</v>
          </cell>
          <cell r="AY743">
            <v>0</v>
          </cell>
          <cell r="AZ743">
            <v>1008</v>
          </cell>
          <cell r="BA743">
            <v>1008</v>
          </cell>
          <cell r="BB743">
            <v>1008</v>
          </cell>
          <cell r="BC743">
            <v>0</v>
          </cell>
          <cell r="BD743">
            <v>0</v>
          </cell>
          <cell r="BE743">
            <v>0</v>
          </cell>
          <cell r="BG743">
            <v>1008</v>
          </cell>
          <cell r="BI743">
            <v>1008</v>
          </cell>
          <cell r="BJ743">
            <v>5424</v>
          </cell>
          <cell r="BK743">
            <v>5424</v>
          </cell>
          <cell r="BL743">
            <v>3840</v>
          </cell>
          <cell r="BM743">
            <v>6</v>
          </cell>
          <cell r="BN743">
            <v>0</v>
          </cell>
          <cell r="BO743">
            <v>576</v>
          </cell>
          <cell r="BP743">
            <v>4416</v>
          </cell>
          <cell r="BQ743">
            <v>6</v>
          </cell>
          <cell r="BR743">
            <v>1008</v>
          </cell>
          <cell r="BT743">
            <v>1</v>
          </cell>
          <cell r="BU743">
            <v>1</v>
          </cell>
          <cell r="BV743" t="str">
            <v>N</v>
          </cell>
          <cell r="BW743">
            <v>0</v>
          </cell>
          <cell r="BX743">
            <v>0</v>
          </cell>
          <cell r="BY743">
            <v>2026</v>
          </cell>
          <cell r="BZ743" t="str">
            <v>-</v>
          </cell>
          <cell r="CA743" t="str">
            <v>-</v>
          </cell>
        </row>
        <row r="744">
          <cell r="A744" t="str">
            <v>Lucknow</v>
          </cell>
          <cell r="B744" t="str">
            <v>Titans</v>
          </cell>
          <cell r="C744" t="str">
            <v>Mid Level</v>
          </cell>
          <cell r="D744" t="str">
            <v>Aditya Yadav</v>
          </cell>
          <cell r="E744" t="str">
            <v>-</v>
          </cell>
          <cell r="F744" t="str">
            <v>Non-MSP</v>
          </cell>
          <cell r="H744" t="str">
            <v>Rishabh Singh</v>
          </cell>
          <cell r="J744" t="str">
            <v>ACH</v>
          </cell>
          <cell r="L744" t="str">
            <v>New</v>
          </cell>
          <cell r="M744">
            <v>46094</v>
          </cell>
          <cell r="N744">
            <v>108</v>
          </cell>
          <cell r="O744">
            <v>46164</v>
          </cell>
          <cell r="P744">
            <v>46459</v>
          </cell>
          <cell r="Q744" t="str">
            <v>PLC-4782</v>
          </cell>
          <cell r="R744" t="str">
            <v>Tia Maisha Mabry Watkins</v>
          </cell>
          <cell r="S744" t="str">
            <v>Individual</v>
          </cell>
          <cell r="T744" t="str">
            <v>W2</v>
          </cell>
          <cell r="U744" t="str">
            <v>LTTS</v>
          </cell>
          <cell r="V744">
            <v>40</v>
          </cell>
          <cell r="W744">
            <v>0</v>
          </cell>
          <cell r="X744" t="str">
            <v>USD</v>
          </cell>
          <cell r="Y744">
            <v>56.5</v>
          </cell>
          <cell r="Z744">
            <v>0</v>
          </cell>
          <cell r="AA744">
            <v>0</v>
          </cell>
          <cell r="AB744">
            <v>0</v>
          </cell>
          <cell r="AC744">
            <v>46127</v>
          </cell>
          <cell r="AD744">
            <v>22</v>
          </cell>
          <cell r="AE744">
            <v>46387</v>
          </cell>
          <cell r="AF744">
            <v>46</v>
          </cell>
          <cell r="AG744">
            <v>0</v>
          </cell>
          <cell r="AH744">
            <v>46</v>
          </cell>
          <cell r="AI744">
            <v>56.5</v>
          </cell>
          <cell r="AJ744">
            <v>0</v>
          </cell>
          <cell r="AK744">
            <v>0</v>
          </cell>
          <cell r="AL744">
            <v>10.5</v>
          </cell>
          <cell r="AM744">
            <v>0</v>
          </cell>
          <cell r="AN744">
            <v>10.5</v>
          </cell>
          <cell r="AO744">
            <v>0</v>
          </cell>
          <cell r="AP744">
            <v>10.5</v>
          </cell>
          <cell r="AQ744" t="str">
            <v>US_27676</v>
          </cell>
          <cell r="AR744">
            <v>0</v>
          </cell>
          <cell r="AS744">
            <v>176</v>
          </cell>
          <cell r="AU744">
            <v>176</v>
          </cell>
          <cell r="AV744">
            <v>0</v>
          </cell>
          <cell r="AW744">
            <v>1848</v>
          </cell>
          <cell r="AX744">
            <v>1829.52</v>
          </cell>
          <cell r="AY744">
            <v>0</v>
          </cell>
          <cell r="AZ744">
            <v>1848</v>
          </cell>
          <cell r="BA744">
            <v>1829.52</v>
          </cell>
          <cell r="BB744">
            <v>1848</v>
          </cell>
          <cell r="BC744">
            <v>0</v>
          </cell>
          <cell r="BD744">
            <v>0</v>
          </cell>
          <cell r="BE744">
            <v>0</v>
          </cell>
          <cell r="BG744">
            <v>1829.52</v>
          </cell>
          <cell r="BI744">
            <v>1829.52</v>
          </cell>
          <cell r="BJ744">
            <v>9944</v>
          </cell>
          <cell r="BK744">
            <v>9944</v>
          </cell>
          <cell r="BL744">
            <v>7040</v>
          </cell>
          <cell r="BM744">
            <v>6</v>
          </cell>
          <cell r="BN744">
            <v>0</v>
          </cell>
          <cell r="BO744">
            <v>1056</v>
          </cell>
          <cell r="BP744">
            <v>8096</v>
          </cell>
          <cell r="BQ744">
            <v>6</v>
          </cell>
          <cell r="BR744">
            <v>1848</v>
          </cell>
          <cell r="BT744">
            <v>2</v>
          </cell>
          <cell r="BU744">
            <v>1</v>
          </cell>
          <cell r="BV744" t="str">
            <v>Y</v>
          </cell>
          <cell r="BW744">
            <v>0</v>
          </cell>
          <cell r="BX744">
            <v>0</v>
          </cell>
          <cell r="BY744">
            <v>2026</v>
          </cell>
          <cell r="BZ744" t="str">
            <v>-</v>
          </cell>
          <cell r="CA744" t="str">
            <v>-</v>
          </cell>
        </row>
        <row r="745">
          <cell r="A745" t="str">
            <v>Lucknow</v>
          </cell>
          <cell r="B745" t="str">
            <v>Titans</v>
          </cell>
          <cell r="C745" t="str">
            <v>Mid Level</v>
          </cell>
          <cell r="D745" t="str">
            <v>Aditya Yadav</v>
          </cell>
          <cell r="E745" t="str">
            <v>-</v>
          </cell>
          <cell r="F745" t="str">
            <v>Non-MSP</v>
          </cell>
          <cell r="H745" t="str">
            <v>Rishabh Singh</v>
          </cell>
          <cell r="J745" t="str">
            <v>ACH</v>
          </cell>
          <cell r="L745" t="str">
            <v>New</v>
          </cell>
          <cell r="M745">
            <v>46094</v>
          </cell>
          <cell r="N745">
            <v>108</v>
          </cell>
          <cell r="O745">
            <v>46164</v>
          </cell>
          <cell r="P745">
            <v>46459</v>
          </cell>
          <cell r="Q745" t="str">
            <v>PLC-4782</v>
          </cell>
          <cell r="R745" t="str">
            <v>Tia Maisha Mabry Watkins</v>
          </cell>
          <cell r="S745" t="str">
            <v>Individual</v>
          </cell>
          <cell r="T745" t="str">
            <v>W2</v>
          </cell>
          <cell r="U745" t="str">
            <v>LTTS</v>
          </cell>
          <cell r="V745">
            <v>40</v>
          </cell>
          <cell r="W745">
            <v>0</v>
          </cell>
          <cell r="X745" t="str">
            <v>USD</v>
          </cell>
          <cell r="Y745">
            <v>56.5</v>
          </cell>
          <cell r="Z745">
            <v>0</v>
          </cell>
          <cell r="AA745">
            <v>0</v>
          </cell>
          <cell r="AB745">
            <v>0</v>
          </cell>
          <cell r="AC745">
            <v>46157</v>
          </cell>
          <cell r="AD745">
            <v>22</v>
          </cell>
          <cell r="AE745">
            <v>46387</v>
          </cell>
          <cell r="AF745">
            <v>46</v>
          </cell>
          <cell r="AG745">
            <v>0</v>
          </cell>
          <cell r="AH745">
            <v>46</v>
          </cell>
          <cell r="AI745">
            <v>56.5</v>
          </cell>
          <cell r="AJ745">
            <v>0</v>
          </cell>
          <cell r="AK745">
            <v>0</v>
          </cell>
          <cell r="AL745">
            <v>10.5</v>
          </cell>
          <cell r="AM745">
            <v>0</v>
          </cell>
          <cell r="AN745">
            <v>10.5</v>
          </cell>
          <cell r="AO745">
            <v>0</v>
          </cell>
          <cell r="AP745">
            <v>10.5</v>
          </cell>
          <cell r="AQ745" t="str">
            <v>US_27814</v>
          </cell>
          <cell r="AR745">
            <v>0</v>
          </cell>
          <cell r="AS745">
            <v>128</v>
          </cell>
          <cell r="AU745">
            <v>128</v>
          </cell>
          <cell r="AV745">
            <v>0</v>
          </cell>
          <cell r="AW745">
            <v>1344</v>
          </cell>
          <cell r="AX745">
            <v>1330.56</v>
          </cell>
          <cell r="AY745">
            <v>0</v>
          </cell>
          <cell r="AZ745">
            <v>1344</v>
          </cell>
          <cell r="BA745">
            <v>1330.56</v>
          </cell>
          <cell r="BB745">
            <v>1344</v>
          </cell>
          <cell r="BC745">
            <v>0</v>
          </cell>
          <cell r="BD745">
            <v>0</v>
          </cell>
          <cell r="BE745">
            <v>0</v>
          </cell>
          <cell r="BG745">
            <v>1330.56</v>
          </cell>
          <cell r="BI745">
            <v>1330.56</v>
          </cell>
          <cell r="BJ745">
            <v>7232</v>
          </cell>
          <cell r="BK745">
            <v>7232</v>
          </cell>
          <cell r="BL745">
            <v>5120</v>
          </cell>
          <cell r="BM745">
            <v>6</v>
          </cell>
          <cell r="BN745">
            <v>0</v>
          </cell>
          <cell r="BO745">
            <v>768</v>
          </cell>
          <cell r="BP745">
            <v>5888</v>
          </cell>
          <cell r="BQ745">
            <v>6</v>
          </cell>
          <cell r="BR745">
            <v>1344</v>
          </cell>
          <cell r="BT745">
            <v>2</v>
          </cell>
          <cell r="BU745">
            <v>1</v>
          </cell>
          <cell r="BV745" t="str">
            <v>Y</v>
          </cell>
          <cell r="BW745">
            <v>0</v>
          </cell>
          <cell r="BX745">
            <v>0</v>
          </cell>
          <cell r="BY745">
            <v>2026</v>
          </cell>
          <cell r="BZ745" t="str">
            <v>-</v>
          </cell>
          <cell r="CA745" t="str">
            <v>-</v>
          </cell>
        </row>
        <row r="746">
          <cell r="A746" t="str">
            <v>Lucknow</v>
          </cell>
          <cell r="B746" t="str">
            <v>Titans</v>
          </cell>
          <cell r="C746" t="str">
            <v>Mid Level</v>
          </cell>
          <cell r="D746" t="str">
            <v>Aditya Yadav</v>
          </cell>
          <cell r="F746" t="str">
            <v>Non-MSP</v>
          </cell>
          <cell r="H746" t="str">
            <v>Rishabh Singh</v>
          </cell>
          <cell r="L746" t="str">
            <v>New</v>
          </cell>
          <cell r="M746">
            <v>46153</v>
          </cell>
          <cell r="N746">
            <v>49</v>
          </cell>
          <cell r="P746">
            <v>46518</v>
          </cell>
          <cell r="Q746" t="str">
            <v>PLC-4888</v>
          </cell>
          <cell r="R746" t="str">
            <v>Tirth Raval</v>
          </cell>
          <cell r="S746" t="str">
            <v>Individual</v>
          </cell>
          <cell r="T746" t="str">
            <v>FTE</v>
          </cell>
          <cell r="U746" t="str">
            <v>LTTS</v>
          </cell>
          <cell r="V746">
            <v>0</v>
          </cell>
          <cell r="W746">
            <v>0</v>
          </cell>
          <cell r="X746" t="str">
            <v>USD</v>
          </cell>
          <cell r="Y746">
            <v>5864</v>
          </cell>
          <cell r="Z746">
            <v>0</v>
          </cell>
          <cell r="AA746">
            <v>0</v>
          </cell>
          <cell r="AB746">
            <v>0</v>
          </cell>
          <cell r="AC746">
            <v>46157</v>
          </cell>
          <cell r="AD746">
            <v>1</v>
          </cell>
          <cell r="AE746">
            <v>46387</v>
          </cell>
          <cell r="AF746">
            <v>0</v>
          </cell>
          <cell r="AG746">
            <v>0</v>
          </cell>
          <cell r="AH746">
            <v>0</v>
          </cell>
          <cell r="AI746">
            <v>5864</v>
          </cell>
          <cell r="AJ746">
            <v>0</v>
          </cell>
          <cell r="AK746">
            <v>0</v>
          </cell>
          <cell r="AL746">
            <v>5864</v>
          </cell>
          <cell r="AM746">
            <v>0</v>
          </cell>
          <cell r="AN746">
            <v>5864</v>
          </cell>
          <cell r="AO746">
            <v>0</v>
          </cell>
          <cell r="AP746">
            <v>5864</v>
          </cell>
          <cell r="AQ746" t="str">
            <v>US_27682</v>
          </cell>
          <cell r="AR746">
            <v>0</v>
          </cell>
          <cell r="AS746">
            <v>1</v>
          </cell>
          <cell r="AU746">
            <v>1</v>
          </cell>
          <cell r="AV746">
            <v>0</v>
          </cell>
          <cell r="AW746">
            <v>5864</v>
          </cell>
          <cell r="AX746">
            <v>5864</v>
          </cell>
          <cell r="AY746">
            <v>0</v>
          </cell>
          <cell r="AZ746">
            <v>5864</v>
          </cell>
          <cell r="BA746">
            <v>5864</v>
          </cell>
          <cell r="BB746">
            <v>5864</v>
          </cell>
          <cell r="BC746">
            <v>0</v>
          </cell>
          <cell r="BD746">
            <v>0</v>
          </cell>
          <cell r="BE746">
            <v>0</v>
          </cell>
          <cell r="BG746">
            <v>5864</v>
          </cell>
          <cell r="BI746">
            <v>0</v>
          </cell>
          <cell r="BJ746">
            <v>5864</v>
          </cell>
          <cell r="BK746">
            <v>5864</v>
          </cell>
          <cell r="BL746">
            <v>0</v>
          </cell>
          <cell r="BM746">
            <v>0</v>
          </cell>
          <cell r="BN746">
            <v>0</v>
          </cell>
          <cell r="BO746">
            <v>0</v>
          </cell>
          <cell r="BP746">
            <v>0</v>
          </cell>
          <cell r="BQ746">
            <v>0</v>
          </cell>
          <cell r="BR746">
            <v>5864</v>
          </cell>
          <cell r="BT746">
            <v>2</v>
          </cell>
          <cell r="BU746">
            <v>2</v>
          </cell>
          <cell r="BV746" t="str">
            <v>Y</v>
          </cell>
          <cell r="BW746">
            <v>0</v>
          </cell>
          <cell r="BX746">
            <v>0</v>
          </cell>
          <cell r="BY746">
            <v>2026</v>
          </cell>
          <cell r="BZ746" t="str">
            <v>-</v>
          </cell>
          <cell r="CA746" t="str">
            <v>-</v>
          </cell>
        </row>
        <row r="747">
          <cell r="A747" t="str">
            <v>Lucknow</v>
          </cell>
          <cell r="B747" t="str">
            <v>Titans</v>
          </cell>
          <cell r="C747" t="str">
            <v>Mid Level</v>
          </cell>
          <cell r="D747" t="str">
            <v>Noor Beg</v>
          </cell>
          <cell r="E747" t="str">
            <v>-</v>
          </cell>
          <cell r="F747" t="str">
            <v>Non-MSP</v>
          </cell>
          <cell r="H747" t="str">
            <v>Pass Through</v>
          </cell>
          <cell r="L747" t="str">
            <v>New</v>
          </cell>
          <cell r="M747">
            <v>46042</v>
          </cell>
          <cell r="N747">
            <v>160</v>
          </cell>
          <cell r="O747">
            <v>46100</v>
          </cell>
          <cell r="P747">
            <v>46407</v>
          </cell>
          <cell r="Q747" t="str">
            <v>PLC-Passthrough</v>
          </cell>
          <cell r="R747" t="str">
            <v>Todd Greer</v>
          </cell>
          <cell r="S747" t="str">
            <v>Individual</v>
          </cell>
          <cell r="T747" t="str">
            <v>C2C</v>
          </cell>
          <cell r="U747" t="str">
            <v>Genpact</v>
          </cell>
          <cell r="V747">
            <v>195</v>
          </cell>
          <cell r="W747">
            <v>0</v>
          </cell>
          <cell r="X747" t="str">
            <v>USD</v>
          </cell>
          <cell r="Y747">
            <v>200</v>
          </cell>
          <cell r="Z747">
            <v>0</v>
          </cell>
          <cell r="AA747">
            <v>0</v>
          </cell>
          <cell r="AB747">
            <v>0</v>
          </cell>
          <cell r="AC747">
            <v>46037</v>
          </cell>
          <cell r="AD747">
            <v>8</v>
          </cell>
          <cell r="AE747">
            <v>46387</v>
          </cell>
          <cell r="AF747">
            <v>195</v>
          </cell>
          <cell r="AG747">
            <v>0</v>
          </cell>
          <cell r="AH747">
            <v>195</v>
          </cell>
          <cell r="AI747">
            <v>200</v>
          </cell>
          <cell r="AJ747">
            <v>0</v>
          </cell>
          <cell r="AK747">
            <v>0</v>
          </cell>
          <cell r="AL747">
            <v>5</v>
          </cell>
          <cell r="AM747">
            <v>0</v>
          </cell>
          <cell r="AN747">
            <v>5</v>
          </cell>
          <cell r="AO747">
            <v>0</v>
          </cell>
          <cell r="AP747">
            <v>5</v>
          </cell>
          <cell r="AQ747" t="str">
            <v>US_GB_00003</v>
          </cell>
          <cell r="AR747">
            <v>0</v>
          </cell>
          <cell r="AS747">
            <v>72</v>
          </cell>
          <cell r="AU747">
            <v>72</v>
          </cell>
          <cell r="AV747">
            <v>0</v>
          </cell>
          <cell r="AW747">
            <v>360</v>
          </cell>
          <cell r="AX747">
            <v>360</v>
          </cell>
          <cell r="AY747">
            <v>0</v>
          </cell>
          <cell r="AZ747">
            <v>360</v>
          </cell>
          <cell r="BA747">
            <v>360</v>
          </cell>
          <cell r="BB747">
            <v>360</v>
          </cell>
          <cell r="BC747">
            <v>0</v>
          </cell>
          <cell r="BD747">
            <v>0</v>
          </cell>
          <cell r="BE747">
            <v>0</v>
          </cell>
          <cell r="BG747">
            <v>360</v>
          </cell>
          <cell r="BI747">
            <v>360</v>
          </cell>
          <cell r="BJ747">
            <v>14400</v>
          </cell>
          <cell r="BK747">
            <v>14400</v>
          </cell>
          <cell r="BL747">
            <v>14040</v>
          </cell>
          <cell r="BM747">
            <v>0</v>
          </cell>
          <cell r="BN747">
            <v>0</v>
          </cell>
          <cell r="BO747">
            <v>0</v>
          </cell>
          <cell r="BP747">
            <v>14040</v>
          </cell>
          <cell r="BQ747">
            <v>0</v>
          </cell>
          <cell r="BR747">
            <v>360</v>
          </cell>
          <cell r="BS747" t="str">
            <v>Y</v>
          </cell>
          <cell r="BT747">
            <v>1</v>
          </cell>
          <cell r="BU747">
            <v>1</v>
          </cell>
          <cell r="BV747" t="str">
            <v>Y</v>
          </cell>
          <cell r="BW747">
            <v>0</v>
          </cell>
          <cell r="BX747">
            <v>0</v>
          </cell>
          <cell r="BY747">
            <v>2026</v>
          </cell>
          <cell r="BZ747" t="str">
            <v>-</v>
          </cell>
          <cell r="CA747" t="str">
            <v>-</v>
          </cell>
        </row>
        <row r="748">
          <cell r="A748" t="str">
            <v>Lucknow</v>
          </cell>
          <cell r="B748" t="str">
            <v>Titans</v>
          </cell>
          <cell r="C748" t="str">
            <v>Mid Level</v>
          </cell>
          <cell r="D748" t="str">
            <v>Noor Beg</v>
          </cell>
          <cell r="E748" t="str">
            <v>-</v>
          </cell>
          <cell r="F748" t="str">
            <v>Non-MSP</v>
          </cell>
          <cell r="H748" t="str">
            <v>Pass Through</v>
          </cell>
          <cell r="L748" t="str">
            <v>New</v>
          </cell>
          <cell r="M748">
            <v>46042</v>
          </cell>
          <cell r="N748">
            <v>160</v>
          </cell>
          <cell r="O748">
            <v>46100</v>
          </cell>
          <cell r="P748">
            <v>46407</v>
          </cell>
          <cell r="Q748" t="str">
            <v>PLC-Passthrough</v>
          </cell>
          <cell r="R748" t="str">
            <v>Todd Greer</v>
          </cell>
          <cell r="S748" t="str">
            <v>Individual</v>
          </cell>
          <cell r="T748" t="str">
            <v>C2C</v>
          </cell>
          <cell r="U748" t="str">
            <v>Genpact</v>
          </cell>
          <cell r="V748">
            <v>195</v>
          </cell>
          <cell r="W748">
            <v>0</v>
          </cell>
          <cell r="X748" t="str">
            <v>USD</v>
          </cell>
          <cell r="Y748">
            <v>200</v>
          </cell>
          <cell r="Z748">
            <v>0</v>
          </cell>
          <cell r="AA748">
            <v>0</v>
          </cell>
          <cell r="AB748">
            <v>0</v>
          </cell>
          <cell r="AC748">
            <v>46068</v>
          </cell>
          <cell r="AD748">
            <v>20</v>
          </cell>
          <cell r="AE748">
            <v>46387</v>
          </cell>
          <cell r="AF748">
            <v>195</v>
          </cell>
          <cell r="AG748">
            <v>0</v>
          </cell>
          <cell r="AH748">
            <v>195</v>
          </cell>
          <cell r="AI748">
            <v>200</v>
          </cell>
          <cell r="AJ748">
            <v>0</v>
          </cell>
          <cell r="AK748">
            <v>0</v>
          </cell>
          <cell r="AL748">
            <v>5</v>
          </cell>
          <cell r="AM748">
            <v>0</v>
          </cell>
          <cell r="AN748">
            <v>5</v>
          </cell>
          <cell r="AO748">
            <v>0</v>
          </cell>
          <cell r="AP748">
            <v>5</v>
          </cell>
          <cell r="AQ748" t="str">
            <v>US_GB_00016</v>
          </cell>
          <cell r="AR748">
            <v>0</v>
          </cell>
          <cell r="AS748">
            <v>152</v>
          </cell>
          <cell r="AU748">
            <v>152</v>
          </cell>
          <cell r="AV748">
            <v>0</v>
          </cell>
          <cell r="AW748">
            <v>760</v>
          </cell>
          <cell r="AX748">
            <v>760</v>
          </cell>
          <cell r="AY748">
            <v>0</v>
          </cell>
          <cell r="AZ748">
            <v>760</v>
          </cell>
          <cell r="BA748">
            <v>760</v>
          </cell>
          <cell r="BB748">
            <v>760</v>
          </cell>
          <cell r="BC748">
            <v>0</v>
          </cell>
          <cell r="BD748">
            <v>0</v>
          </cell>
          <cell r="BE748">
            <v>0</v>
          </cell>
          <cell r="BG748">
            <v>760</v>
          </cell>
          <cell r="BI748">
            <v>760</v>
          </cell>
          <cell r="BJ748">
            <v>30400</v>
          </cell>
          <cell r="BK748">
            <v>30400</v>
          </cell>
          <cell r="BL748">
            <v>29640</v>
          </cell>
          <cell r="BM748">
            <v>0</v>
          </cell>
          <cell r="BN748">
            <v>0</v>
          </cell>
          <cell r="BO748">
            <v>0</v>
          </cell>
          <cell r="BP748">
            <v>29640</v>
          </cell>
          <cell r="BQ748">
            <v>0</v>
          </cell>
          <cell r="BR748">
            <v>760</v>
          </cell>
          <cell r="BS748" t="str">
            <v>Y</v>
          </cell>
          <cell r="BT748">
            <v>1</v>
          </cell>
          <cell r="BU748">
            <v>1</v>
          </cell>
          <cell r="BV748" t="str">
            <v>Y</v>
          </cell>
          <cell r="BW748">
            <v>0</v>
          </cell>
          <cell r="BX748">
            <v>0</v>
          </cell>
          <cell r="BY748">
            <v>2026</v>
          </cell>
          <cell r="BZ748" t="str">
            <v>-</v>
          </cell>
          <cell r="CA748" t="str">
            <v>-</v>
          </cell>
        </row>
        <row r="749">
          <cell r="A749" t="str">
            <v>Lucknow</v>
          </cell>
          <cell r="B749" t="str">
            <v>Titans</v>
          </cell>
          <cell r="C749" t="str">
            <v>Mid Level</v>
          </cell>
          <cell r="D749" t="str">
            <v>Noor Beg</v>
          </cell>
          <cell r="E749" t="str">
            <v>-</v>
          </cell>
          <cell r="F749" t="str">
            <v>Non-MSP</v>
          </cell>
          <cell r="H749" t="str">
            <v>Pass Through</v>
          </cell>
          <cell r="L749" t="str">
            <v>New</v>
          </cell>
          <cell r="M749">
            <v>46042</v>
          </cell>
          <cell r="N749">
            <v>160</v>
          </cell>
          <cell r="O749">
            <v>46100</v>
          </cell>
          <cell r="P749">
            <v>46407</v>
          </cell>
          <cell r="Q749" t="str">
            <v>PLC-Passthrough</v>
          </cell>
          <cell r="R749" t="str">
            <v>Todd Greer</v>
          </cell>
          <cell r="S749" t="str">
            <v>Individual</v>
          </cell>
          <cell r="T749" t="str">
            <v>C2C</v>
          </cell>
          <cell r="U749" t="str">
            <v>Genpact</v>
          </cell>
          <cell r="V749">
            <v>195</v>
          </cell>
          <cell r="W749">
            <v>0</v>
          </cell>
          <cell r="X749" t="str">
            <v>USD</v>
          </cell>
          <cell r="Y749">
            <v>200</v>
          </cell>
          <cell r="Z749">
            <v>0</v>
          </cell>
          <cell r="AA749">
            <v>0</v>
          </cell>
          <cell r="AB749">
            <v>0</v>
          </cell>
          <cell r="AC749">
            <v>46096</v>
          </cell>
          <cell r="AD749">
            <v>22</v>
          </cell>
          <cell r="AE749">
            <v>46387</v>
          </cell>
          <cell r="AF749">
            <v>195</v>
          </cell>
          <cell r="AG749">
            <v>0</v>
          </cell>
          <cell r="AH749">
            <v>195</v>
          </cell>
          <cell r="AI749">
            <v>200</v>
          </cell>
          <cell r="AJ749">
            <v>0</v>
          </cell>
          <cell r="AK749">
            <v>0</v>
          </cell>
          <cell r="AL749">
            <v>5</v>
          </cell>
          <cell r="AM749">
            <v>0</v>
          </cell>
          <cell r="AN749">
            <v>5</v>
          </cell>
          <cell r="AO749">
            <v>0</v>
          </cell>
          <cell r="AP749">
            <v>5</v>
          </cell>
          <cell r="AQ749" t="str">
            <v>US_GB_00031</v>
          </cell>
          <cell r="AR749">
            <v>0</v>
          </cell>
          <cell r="AS749">
            <v>112</v>
          </cell>
          <cell r="AU749">
            <v>112</v>
          </cell>
          <cell r="AV749">
            <v>0</v>
          </cell>
          <cell r="AW749">
            <v>560</v>
          </cell>
          <cell r="AX749">
            <v>560</v>
          </cell>
          <cell r="AY749">
            <v>0</v>
          </cell>
          <cell r="AZ749">
            <v>560</v>
          </cell>
          <cell r="BA749">
            <v>560</v>
          </cell>
          <cell r="BB749">
            <v>560</v>
          </cell>
          <cell r="BC749">
            <v>0</v>
          </cell>
          <cell r="BD749">
            <v>0</v>
          </cell>
          <cell r="BE749">
            <v>0</v>
          </cell>
          <cell r="BG749">
            <v>560</v>
          </cell>
          <cell r="BI749">
            <v>560</v>
          </cell>
          <cell r="BJ749">
            <v>22400</v>
          </cell>
          <cell r="BK749">
            <v>22400</v>
          </cell>
          <cell r="BL749">
            <v>21840</v>
          </cell>
          <cell r="BM749">
            <v>0</v>
          </cell>
          <cell r="BN749">
            <v>0</v>
          </cell>
          <cell r="BO749">
            <v>0</v>
          </cell>
          <cell r="BP749">
            <v>21840</v>
          </cell>
          <cell r="BQ749">
            <v>0</v>
          </cell>
          <cell r="BR749">
            <v>560</v>
          </cell>
          <cell r="BS749" t="str">
            <v>Y</v>
          </cell>
          <cell r="BT749">
            <v>1</v>
          </cell>
          <cell r="BU749">
            <v>1</v>
          </cell>
          <cell r="BV749" t="str">
            <v>Y</v>
          </cell>
          <cell r="BW749">
            <v>0</v>
          </cell>
          <cell r="BX749">
            <v>0</v>
          </cell>
          <cell r="BY749">
            <v>2026</v>
          </cell>
          <cell r="BZ749" t="str">
            <v>-</v>
          </cell>
          <cell r="CA749" t="str">
            <v>-</v>
          </cell>
        </row>
        <row r="750">
          <cell r="A750" t="str">
            <v>Lucknow</v>
          </cell>
          <cell r="B750" t="str">
            <v>Titans</v>
          </cell>
          <cell r="C750" t="str">
            <v>Mid Level</v>
          </cell>
          <cell r="D750" t="str">
            <v>Aditya Yadav</v>
          </cell>
          <cell r="E750" t="str">
            <v>-</v>
          </cell>
          <cell r="F750" t="str">
            <v>Non-MSP</v>
          </cell>
          <cell r="H750" t="str">
            <v>Aditya Yadav</v>
          </cell>
          <cell r="L750" t="str">
            <v>New</v>
          </cell>
          <cell r="M750">
            <v>46139</v>
          </cell>
          <cell r="N750">
            <v>63</v>
          </cell>
          <cell r="P750">
            <v>46504</v>
          </cell>
          <cell r="Q750" t="str">
            <v>PLC-4849</v>
          </cell>
          <cell r="R750" t="str">
            <v>Tony L. Thompson Jr</v>
          </cell>
          <cell r="S750" t="str">
            <v>Individual</v>
          </cell>
          <cell r="T750" t="str">
            <v>FTE</v>
          </cell>
          <cell r="U750" t="str">
            <v>Cyient</v>
          </cell>
          <cell r="V750">
            <v>0</v>
          </cell>
          <cell r="W750">
            <v>0</v>
          </cell>
          <cell r="X750" t="str">
            <v>USD</v>
          </cell>
          <cell r="Y750">
            <v>4500</v>
          </cell>
          <cell r="Z750">
            <v>0</v>
          </cell>
          <cell r="AA750">
            <v>0</v>
          </cell>
          <cell r="AB750">
            <v>0</v>
          </cell>
          <cell r="AC750">
            <v>46127</v>
          </cell>
          <cell r="AD750">
            <v>1</v>
          </cell>
          <cell r="AE750">
            <v>46387</v>
          </cell>
          <cell r="AF750">
            <v>0</v>
          </cell>
          <cell r="AG750">
            <v>0</v>
          </cell>
          <cell r="AH750">
            <v>0</v>
          </cell>
          <cell r="AI750">
            <v>4500</v>
          </cell>
          <cell r="AJ750">
            <v>0</v>
          </cell>
          <cell r="AK750">
            <v>0</v>
          </cell>
          <cell r="AL750">
            <v>4500</v>
          </cell>
          <cell r="AM750">
            <v>0</v>
          </cell>
          <cell r="AN750">
            <v>4500</v>
          </cell>
          <cell r="AO750">
            <v>0</v>
          </cell>
          <cell r="AP750">
            <v>4500</v>
          </cell>
          <cell r="AU750">
            <v>1</v>
          </cell>
          <cell r="BB750">
            <v>4500</v>
          </cell>
          <cell r="BC750">
            <v>0</v>
          </cell>
          <cell r="BD750">
            <v>0</v>
          </cell>
          <cell r="BE750">
            <v>0</v>
          </cell>
          <cell r="BI750">
            <v>0</v>
          </cell>
          <cell r="BK750">
            <v>4500</v>
          </cell>
          <cell r="BL750">
            <v>0</v>
          </cell>
          <cell r="BM750">
            <v>0</v>
          </cell>
          <cell r="BN750">
            <v>0</v>
          </cell>
          <cell r="BO750">
            <v>0</v>
          </cell>
          <cell r="BP750">
            <v>0</v>
          </cell>
          <cell r="BQ750">
            <v>0</v>
          </cell>
          <cell r="BR750">
            <v>4500</v>
          </cell>
          <cell r="BT750">
            <v>2</v>
          </cell>
          <cell r="BU750">
            <v>2</v>
          </cell>
          <cell r="BV750" t="str">
            <v>Y</v>
          </cell>
          <cell r="BW750">
            <v>0</v>
          </cell>
          <cell r="BX750">
            <v>0</v>
          </cell>
          <cell r="BY750">
            <v>2026</v>
          </cell>
          <cell r="BZ750" t="str">
            <v>-</v>
          </cell>
          <cell r="CA750" t="str">
            <v>-</v>
          </cell>
        </row>
        <row r="751">
          <cell r="A751" t="str">
            <v>Lucknow</v>
          </cell>
          <cell r="B751" t="str">
            <v>Titans</v>
          </cell>
          <cell r="C751" t="str">
            <v>Mid Level</v>
          </cell>
          <cell r="D751" t="str">
            <v>Aditya Yadav</v>
          </cell>
          <cell r="E751" t="str">
            <v>-</v>
          </cell>
          <cell r="F751" t="str">
            <v>Non-MSP</v>
          </cell>
          <cell r="H751" t="str">
            <v>Harsh Mishra</v>
          </cell>
          <cell r="L751" t="str">
            <v>New</v>
          </cell>
          <cell r="M751">
            <v>46121</v>
          </cell>
          <cell r="N751">
            <v>81</v>
          </cell>
          <cell r="P751">
            <v>46486</v>
          </cell>
          <cell r="Q751" t="str">
            <v>PLC-4822</v>
          </cell>
          <cell r="R751" t="str">
            <v>Toshiya Kanamaru</v>
          </cell>
          <cell r="S751" t="str">
            <v>Individual</v>
          </cell>
          <cell r="T751" t="str">
            <v>FTE</v>
          </cell>
          <cell r="U751" t="str">
            <v>Cyient</v>
          </cell>
          <cell r="V751">
            <v>0</v>
          </cell>
          <cell r="W751">
            <v>0</v>
          </cell>
          <cell r="X751" t="str">
            <v>USD</v>
          </cell>
          <cell r="Y751">
            <v>4500</v>
          </cell>
          <cell r="Z751">
            <v>0</v>
          </cell>
          <cell r="AA751">
            <v>0</v>
          </cell>
          <cell r="AB751">
            <v>0</v>
          </cell>
          <cell r="AC751">
            <v>46127</v>
          </cell>
          <cell r="AD751">
            <v>1</v>
          </cell>
          <cell r="AE751">
            <v>46387</v>
          </cell>
          <cell r="AF751">
            <v>0</v>
          </cell>
          <cell r="AG751">
            <v>0</v>
          </cell>
          <cell r="AH751">
            <v>0</v>
          </cell>
          <cell r="AI751">
            <v>4500</v>
          </cell>
          <cell r="AJ751">
            <v>0</v>
          </cell>
          <cell r="AK751">
            <v>0</v>
          </cell>
          <cell r="AL751">
            <v>4500</v>
          </cell>
          <cell r="AM751">
            <v>0</v>
          </cell>
          <cell r="AN751">
            <v>4500</v>
          </cell>
          <cell r="AO751">
            <v>0</v>
          </cell>
          <cell r="AP751">
            <v>4500</v>
          </cell>
          <cell r="AU751">
            <v>1</v>
          </cell>
          <cell r="BB751">
            <v>4500</v>
          </cell>
          <cell r="BC751">
            <v>0</v>
          </cell>
          <cell r="BD751">
            <v>0</v>
          </cell>
          <cell r="BE751">
            <v>0</v>
          </cell>
          <cell r="BI751">
            <v>0</v>
          </cell>
          <cell r="BK751">
            <v>4500</v>
          </cell>
          <cell r="BL751">
            <v>0</v>
          </cell>
          <cell r="BM751">
            <v>0</v>
          </cell>
          <cell r="BN751">
            <v>0</v>
          </cell>
          <cell r="BO751">
            <v>0</v>
          </cell>
          <cell r="BP751">
            <v>0</v>
          </cell>
          <cell r="BQ751">
            <v>0</v>
          </cell>
          <cell r="BR751">
            <v>4500</v>
          </cell>
          <cell r="BT751">
            <v>2</v>
          </cell>
          <cell r="BU751">
            <v>2</v>
          </cell>
          <cell r="BV751" t="str">
            <v>N</v>
          </cell>
          <cell r="BW751">
            <v>0</v>
          </cell>
          <cell r="BX751">
            <v>0</v>
          </cell>
          <cell r="BY751">
            <v>2026</v>
          </cell>
          <cell r="BZ751" t="str">
            <v>-</v>
          </cell>
          <cell r="CA751" t="str">
            <v>-</v>
          </cell>
        </row>
        <row r="752">
          <cell r="A752" t="str">
            <v>Lucknow</v>
          </cell>
          <cell r="B752" t="str">
            <v>Trust</v>
          </cell>
          <cell r="C752" t="str">
            <v>Mid Level</v>
          </cell>
          <cell r="D752" t="str">
            <v>Harsh Agarwal</v>
          </cell>
          <cell r="E752" t="str">
            <v>-</v>
          </cell>
          <cell r="F752" t="str">
            <v>Non-MSP</v>
          </cell>
          <cell r="H752" t="str">
            <v>Aarzoo Khan</v>
          </cell>
          <cell r="L752" t="str">
            <v>New</v>
          </cell>
          <cell r="M752">
            <v>46064</v>
          </cell>
          <cell r="N752">
            <v>138</v>
          </cell>
          <cell r="O752">
            <v>46160</v>
          </cell>
          <cell r="P752">
            <v>46429</v>
          </cell>
          <cell r="Q752" t="str">
            <v>PLC-4584</v>
          </cell>
          <cell r="R752" t="str">
            <v>Tracey Presume</v>
          </cell>
          <cell r="S752" t="str">
            <v>Individual</v>
          </cell>
          <cell r="T752" t="str">
            <v>W2</v>
          </cell>
          <cell r="U752" t="str">
            <v>Global Logic</v>
          </cell>
          <cell r="V752">
            <v>21</v>
          </cell>
          <cell r="W752">
            <v>0</v>
          </cell>
          <cell r="X752" t="str">
            <v>USD</v>
          </cell>
          <cell r="Y752">
            <v>29</v>
          </cell>
          <cell r="Z752">
            <v>0</v>
          </cell>
          <cell r="AA752">
            <v>0</v>
          </cell>
          <cell r="AB752">
            <v>0</v>
          </cell>
          <cell r="AC752">
            <v>46068</v>
          </cell>
          <cell r="AD752">
            <v>13</v>
          </cell>
          <cell r="AE752">
            <v>46387</v>
          </cell>
          <cell r="AF752">
            <v>24.15</v>
          </cell>
          <cell r="AG752">
            <v>0</v>
          </cell>
          <cell r="AH752">
            <v>24.15</v>
          </cell>
          <cell r="AI752">
            <v>29</v>
          </cell>
          <cell r="AJ752">
            <v>0</v>
          </cell>
          <cell r="AK752">
            <v>0</v>
          </cell>
          <cell r="AL752">
            <v>4.8500000000000014</v>
          </cell>
          <cell r="AM752">
            <v>0</v>
          </cell>
          <cell r="AN752">
            <v>4.8500000000000014</v>
          </cell>
          <cell r="AO752">
            <v>0</v>
          </cell>
          <cell r="AP752">
            <v>4.8500000000000014</v>
          </cell>
          <cell r="AQ752" t="str">
            <v>US_27167</v>
          </cell>
          <cell r="AR752">
            <v>0</v>
          </cell>
          <cell r="AS752">
            <v>96</v>
          </cell>
          <cell r="AU752">
            <v>96</v>
          </cell>
          <cell r="AV752">
            <v>0</v>
          </cell>
          <cell r="AW752">
            <v>465.60000000000014</v>
          </cell>
          <cell r="AX752">
            <v>465.60000000000014</v>
          </cell>
          <cell r="AY752">
            <v>0</v>
          </cell>
          <cell r="AZ752">
            <v>465.60000000000014</v>
          </cell>
          <cell r="BA752">
            <v>465.60000000000014</v>
          </cell>
          <cell r="BB752">
            <v>465.60000000000014</v>
          </cell>
          <cell r="BC752">
            <v>0</v>
          </cell>
          <cell r="BD752">
            <v>0</v>
          </cell>
          <cell r="BE752">
            <v>0</v>
          </cell>
          <cell r="BF752">
            <v>39</v>
          </cell>
          <cell r="BG752">
            <v>465.60000000000014</v>
          </cell>
          <cell r="BH752">
            <v>256.0800000000001</v>
          </cell>
          <cell r="BI752">
            <v>465.60000000000014</v>
          </cell>
          <cell r="BJ752">
            <v>2784</v>
          </cell>
          <cell r="BK752">
            <v>2784</v>
          </cell>
          <cell r="BL752">
            <v>2016</v>
          </cell>
          <cell r="BM752">
            <v>3.15</v>
          </cell>
          <cell r="BN752">
            <v>0</v>
          </cell>
          <cell r="BO752">
            <v>302.39999999999998</v>
          </cell>
          <cell r="BP752">
            <v>2318.4</v>
          </cell>
          <cell r="BQ752">
            <v>3.15</v>
          </cell>
          <cell r="BR752">
            <v>465.6</v>
          </cell>
          <cell r="BS752" t="str">
            <v>Y</v>
          </cell>
          <cell r="BT752">
            <v>1</v>
          </cell>
          <cell r="BU752">
            <v>1</v>
          </cell>
          <cell r="BV752" t="str">
            <v>N</v>
          </cell>
          <cell r="BW752">
            <v>0</v>
          </cell>
          <cell r="BX752">
            <v>0</v>
          </cell>
          <cell r="BY752">
            <v>2026</v>
          </cell>
          <cell r="BZ752" t="str">
            <v>-</v>
          </cell>
          <cell r="CA752" t="str">
            <v>-</v>
          </cell>
        </row>
        <row r="753">
          <cell r="A753" t="str">
            <v>Lucknow</v>
          </cell>
          <cell r="B753" t="str">
            <v>Trust</v>
          </cell>
          <cell r="C753" t="str">
            <v>Mid Level</v>
          </cell>
          <cell r="D753" t="str">
            <v>Harsh Agarwal</v>
          </cell>
          <cell r="E753" t="str">
            <v>-</v>
          </cell>
          <cell r="F753" t="str">
            <v>Non-MSP</v>
          </cell>
          <cell r="H753" t="str">
            <v>Aarzoo Khan</v>
          </cell>
          <cell r="L753" t="str">
            <v>New</v>
          </cell>
          <cell r="M753">
            <v>46064</v>
          </cell>
          <cell r="N753">
            <v>138</v>
          </cell>
          <cell r="O753">
            <v>46160</v>
          </cell>
          <cell r="P753">
            <v>46429</v>
          </cell>
          <cell r="Q753" t="str">
            <v>PLC-4584</v>
          </cell>
          <cell r="R753" t="str">
            <v>Tracey Presume</v>
          </cell>
          <cell r="S753" t="str">
            <v>Individual</v>
          </cell>
          <cell r="T753" t="str">
            <v>W2</v>
          </cell>
          <cell r="U753" t="str">
            <v>Global Logic</v>
          </cell>
          <cell r="V753">
            <v>21</v>
          </cell>
          <cell r="W753">
            <v>0</v>
          </cell>
          <cell r="X753" t="str">
            <v>USD</v>
          </cell>
          <cell r="Y753">
            <v>29</v>
          </cell>
          <cell r="Z753">
            <v>0</v>
          </cell>
          <cell r="AA753">
            <v>0</v>
          </cell>
          <cell r="AB753">
            <v>0</v>
          </cell>
          <cell r="AC753">
            <v>46096</v>
          </cell>
          <cell r="AD753">
            <v>22</v>
          </cell>
          <cell r="AE753">
            <v>46387</v>
          </cell>
          <cell r="AF753">
            <v>24.15</v>
          </cell>
          <cell r="AG753">
            <v>0</v>
          </cell>
          <cell r="AH753">
            <v>24.15</v>
          </cell>
          <cell r="AI753">
            <v>29</v>
          </cell>
          <cell r="AJ753">
            <v>0</v>
          </cell>
          <cell r="AK753">
            <v>0</v>
          </cell>
          <cell r="AL753">
            <v>4.8500000000000014</v>
          </cell>
          <cell r="AM753">
            <v>0</v>
          </cell>
          <cell r="AN753">
            <v>4.8500000000000014</v>
          </cell>
          <cell r="AO753">
            <v>0</v>
          </cell>
          <cell r="AP753">
            <v>4.8500000000000014</v>
          </cell>
          <cell r="AQ753" t="str">
            <v>US_27382</v>
          </cell>
          <cell r="AR753">
            <v>0</v>
          </cell>
          <cell r="AS753">
            <v>176</v>
          </cell>
          <cell r="AU753">
            <v>176</v>
          </cell>
          <cell r="AV753">
            <v>0</v>
          </cell>
          <cell r="AW753">
            <v>853.60000000000025</v>
          </cell>
          <cell r="AX753">
            <v>853.60000000000025</v>
          </cell>
          <cell r="AY753">
            <v>0</v>
          </cell>
          <cell r="AZ753">
            <v>853.60000000000025</v>
          </cell>
          <cell r="BA753">
            <v>853.60000000000025</v>
          </cell>
          <cell r="BB753">
            <v>853.60000000000025</v>
          </cell>
          <cell r="BC753">
            <v>0</v>
          </cell>
          <cell r="BD753">
            <v>0</v>
          </cell>
          <cell r="BE753">
            <v>0</v>
          </cell>
          <cell r="BF753">
            <v>39</v>
          </cell>
          <cell r="BG753">
            <v>853.60000000000025</v>
          </cell>
          <cell r="BH753">
            <v>469.48000000000013</v>
          </cell>
          <cell r="BI753">
            <v>853.60000000000025</v>
          </cell>
          <cell r="BJ753">
            <v>5104</v>
          </cell>
          <cell r="BK753">
            <v>5104</v>
          </cell>
          <cell r="BL753">
            <v>3696</v>
          </cell>
          <cell r="BM753">
            <v>3.15</v>
          </cell>
          <cell r="BN753">
            <v>0</v>
          </cell>
          <cell r="BO753">
            <v>554.4</v>
          </cell>
          <cell r="BP753">
            <v>4250.3999999999996</v>
          </cell>
          <cell r="BQ753">
            <v>3.15</v>
          </cell>
          <cell r="BR753">
            <v>853.6</v>
          </cell>
          <cell r="BS753" t="str">
            <v>Y</v>
          </cell>
          <cell r="BT753">
            <v>1</v>
          </cell>
          <cell r="BU753">
            <v>1</v>
          </cell>
          <cell r="BV753" t="str">
            <v>N</v>
          </cell>
          <cell r="BW753">
            <v>0</v>
          </cell>
          <cell r="BX753">
            <v>0</v>
          </cell>
          <cell r="BY753">
            <v>2026</v>
          </cell>
          <cell r="BZ753" t="str">
            <v>-</v>
          </cell>
          <cell r="CA753" t="str">
            <v>-</v>
          </cell>
        </row>
        <row r="754">
          <cell r="A754" t="str">
            <v>Lucknow</v>
          </cell>
          <cell r="B754" t="str">
            <v>Trust</v>
          </cell>
          <cell r="C754" t="str">
            <v>Mid Level</v>
          </cell>
          <cell r="D754" t="str">
            <v>Harsh Agarwal</v>
          </cell>
          <cell r="E754" t="str">
            <v>-</v>
          </cell>
          <cell r="F754" t="str">
            <v>Non-MSP</v>
          </cell>
          <cell r="H754" t="str">
            <v>Aarzoo Khan</v>
          </cell>
          <cell r="J754" t="str">
            <v>ACH</v>
          </cell>
          <cell r="L754" t="str">
            <v>New</v>
          </cell>
          <cell r="M754">
            <v>46064</v>
          </cell>
          <cell r="N754">
            <v>138</v>
          </cell>
          <cell r="O754">
            <v>46160</v>
          </cell>
          <cell r="P754">
            <v>46429</v>
          </cell>
          <cell r="Q754" t="str">
            <v>PLC-4584</v>
          </cell>
          <cell r="R754" t="str">
            <v>Tracey Presume</v>
          </cell>
          <cell r="S754" t="str">
            <v>Individual</v>
          </cell>
          <cell r="T754" t="str">
            <v>W2</v>
          </cell>
          <cell r="U754" t="str">
            <v>Global Logic</v>
          </cell>
          <cell r="V754">
            <v>21</v>
          </cell>
          <cell r="W754">
            <v>0</v>
          </cell>
          <cell r="X754" t="str">
            <v>USD</v>
          </cell>
          <cell r="Y754">
            <v>29</v>
          </cell>
          <cell r="Z754">
            <v>0</v>
          </cell>
          <cell r="AA754">
            <v>0</v>
          </cell>
          <cell r="AB754">
            <v>0</v>
          </cell>
          <cell r="AC754">
            <v>46127</v>
          </cell>
          <cell r="AD754">
            <v>22</v>
          </cell>
          <cell r="AE754">
            <v>46387</v>
          </cell>
          <cell r="AF754">
            <v>24.15</v>
          </cell>
          <cell r="AG754">
            <v>0</v>
          </cell>
          <cell r="AH754">
            <v>24.15</v>
          </cell>
          <cell r="AI754">
            <v>29</v>
          </cell>
          <cell r="AJ754">
            <v>0</v>
          </cell>
          <cell r="AK754">
            <v>0</v>
          </cell>
          <cell r="AL754">
            <v>4.8500000000000014</v>
          </cell>
          <cell r="AM754">
            <v>0</v>
          </cell>
          <cell r="AN754">
            <v>4.8500000000000014</v>
          </cell>
          <cell r="AO754">
            <v>0</v>
          </cell>
          <cell r="AP754">
            <v>4.8500000000000014</v>
          </cell>
          <cell r="AQ754" t="str">
            <v>US_27617</v>
          </cell>
          <cell r="AR754">
            <v>0</v>
          </cell>
          <cell r="AS754">
            <v>176</v>
          </cell>
          <cell r="AU754">
            <v>176</v>
          </cell>
          <cell r="AV754">
            <v>0</v>
          </cell>
          <cell r="AW754">
            <v>853.60000000000025</v>
          </cell>
          <cell r="AX754">
            <v>845.06400000000019</v>
          </cell>
          <cell r="AY754">
            <v>0</v>
          </cell>
          <cell r="AZ754">
            <v>853.60000000000025</v>
          </cell>
          <cell r="BA754">
            <v>845.06400000000019</v>
          </cell>
          <cell r="BB754">
            <v>853.60000000000025</v>
          </cell>
          <cell r="BC754">
            <v>0</v>
          </cell>
          <cell r="BD754">
            <v>0</v>
          </cell>
          <cell r="BE754">
            <v>0</v>
          </cell>
          <cell r="BF754">
            <v>39</v>
          </cell>
          <cell r="BG754">
            <v>845.06400000000019</v>
          </cell>
          <cell r="BH754">
            <v>464.78520000000009</v>
          </cell>
          <cell r="BI754">
            <v>845.06400000000019</v>
          </cell>
          <cell r="BJ754">
            <v>5104</v>
          </cell>
          <cell r="BK754">
            <v>5104</v>
          </cell>
          <cell r="BL754">
            <v>3696</v>
          </cell>
          <cell r="BM754">
            <v>3.15</v>
          </cell>
          <cell r="BN754">
            <v>0</v>
          </cell>
          <cell r="BO754">
            <v>554.4</v>
          </cell>
          <cell r="BP754">
            <v>4250.3999999999996</v>
          </cell>
          <cell r="BQ754">
            <v>3.15</v>
          </cell>
          <cell r="BR754">
            <v>853.6</v>
          </cell>
          <cell r="BS754" t="str">
            <v>Y</v>
          </cell>
          <cell r="BT754">
            <v>2</v>
          </cell>
          <cell r="BU754">
            <v>1</v>
          </cell>
          <cell r="BV754" t="str">
            <v>Y</v>
          </cell>
          <cell r="BW754">
            <v>0</v>
          </cell>
          <cell r="BX754">
            <v>0</v>
          </cell>
          <cell r="BY754">
            <v>2026</v>
          </cell>
          <cell r="BZ754" t="str">
            <v>-</v>
          </cell>
          <cell r="CA754" t="str">
            <v>-</v>
          </cell>
        </row>
        <row r="755">
          <cell r="A755" t="str">
            <v>Lucknow</v>
          </cell>
          <cell r="B755" t="str">
            <v>Trust</v>
          </cell>
          <cell r="C755" t="str">
            <v>Mid Level</v>
          </cell>
          <cell r="D755" t="str">
            <v>Harsh Agarwal</v>
          </cell>
          <cell r="E755" t="str">
            <v>-</v>
          </cell>
          <cell r="F755" t="str">
            <v>Non-MSP</v>
          </cell>
          <cell r="H755" t="str">
            <v>Aarzoo Khan</v>
          </cell>
          <cell r="J755" t="str">
            <v>ACH</v>
          </cell>
          <cell r="L755" t="str">
            <v>New</v>
          </cell>
          <cell r="M755">
            <v>46064</v>
          </cell>
          <cell r="N755">
            <v>138</v>
          </cell>
          <cell r="O755">
            <v>46160</v>
          </cell>
          <cell r="P755">
            <v>46429</v>
          </cell>
          <cell r="Q755" t="str">
            <v>PLC-4584</v>
          </cell>
          <cell r="R755" t="str">
            <v>Tracey Presume</v>
          </cell>
          <cell r="S755" t="str">
            <v>Individual</v>
          </cell>
          <cell r="T755" t="str">
            <v>W2</v>
          </cell>
          <cell r="U755" t="str">
            <v>Global Logic</v>
          </cell>
          <cell r="V755">
            <v>21</v>
          </cell>
          <cell r="W755">
            <v>0</v>
          </cell>
          <cell r="X755" t="str">
            <v>USD</v>
          </cell>
          <cell r="Y755">
            <v>29</v>
          </cell>
          <cell r="Z755">
            <v>0</v>
          </cell>
          <cell r="AA755">
            <v>0</v>
          </cell>
          <cell r="AB755">
            <v>0</v>
          </cell>
          <cell r="AC755">
            <v>46157</v>
          </cell>
          <cell r="AD755">
            <v>22</v>
          </cell>
          <cell r="AE755">
            <v>46387</v>
          </cell>
          <cell r="AF755">
            <v>24.15</v>
          </cell>
          <cell r="AG755">
            <v>0</v>
          </cell>
          <cell r="AH755">
            <v>24.15</v>
          </cell>
          <cell r="AI755">
            <v>29</v>
          </cell>
          <cell r="AJ755">
            <v>0</v>
          </cell>
          <cell r="AK755">
            <v>0</v>
          </cell>
          <cell r="AL755">
            <v>4.8500000000000014</v>
          </cell>
          <cell r="AM755">
            <v>0</v>
          </cell>
          <cell r="AN755">
            <v>4.8500000000000014</v>
          </cell>
          <cell r="AO755">
            <v>0</v>
          </cell>
          <cell r="AP755">
            <v>4.8500000000000014</v>
          </cell>
          <cell r="AQ755" t="str">
            <v>US_27907</v>
          </cell>
          <cell r="AR755">
            <v>0</v>
          </cell>
          <cell r="AS755">
            <v>96</v>
          </cell>
          <cell r="AU755">
            <v>96</v>
          </cell>
          <cell r="AV755">
            <v>0</v>
          </cell>
          <cell r="AW755">
            <v>465.60000000000014</v>
          </cell>
          <cell r="AX755">
            <v>460.94400000000013</v>
          </cell>
          <cell r="AY755">
            <v>0</v>
          </cell>
          <cell r="AZ755">
            <v>465.60000000000014</v>
          </cell>
          <cell r="BA755">
            <v>460.94400000000013</v>
          </cell>
          <cell r="BB755">
            <v>465.60000000000014</v>
          </cell>
          <cell r="BC755">
            <v>0</v>
          </cell>
          <cell r="BD755">
            <v>0</v>
          </cell>
          <cell r="BE755">
            <v>0</v>
          </cell>
          <cell r="BF755">
            <v>39</v>
          </cell>
          <cell r="BG755">
            <v>460.94400000000013</v>
          </cell>
          <cell r="BH755">
            <v>253.51920000000007</v>
          </cell>
          <cell r="BI755">
            <v>460.94400000000013</v>
          </cell>
          <cell r="BJ755">
            <v>2784</v>
          </cell>
          <cell r="BK755">
            <v>2784</v>
          </cell>
          <cell r="BL755">
            <v>2016</v>
          </cell>
          <cell r="BM755">
            <v>3.15</v>
          </cell>
          <cell r="BN755">
            <v>0</v>
          </cell>
          <cell r="BO755">
            <v>302.39999999999998</v>
          </cell>
          <cell r="BP755">
            <v>2318.4</v>
          </cell>
          <cell r="BQ755">
            <v>3.15</v>
          </cell>
          <cell r="BR755">
            <v>465.6</v>
          </cell>
          <cell r="BT755">
            <v>2</v>
          </cell>
          <cell r="BU755">
            <v>1</v>
          </cell>
          <cell r="BV755" t="str">
            <v>Y</v>
          </cell>
          <cell r="BW755">
            <v>0</v>
          </cell>
          <cell r="BX755">
            <v>0</v>
          </cell>
          <cell r="BY755">
            <v>2026</v>
          </cell>
          <cell r="BZ755" t="str">
            <v>-</v>
          </cell>
          <cell r="CA755" t="str">
            <v>-</v>
          </cell>
        </row>
        <row r="756">
          <cell r="A756" t="str">
            <v>Lucknow</v>
          </cell>
          <cell r="B756" t="str">
            <v>Titans</v>
          </cell>
          <cell r="C756" t="str">
            <v>Mid Level</v>
          </cell>
          <cell r="D756" t="str">
            <v>Nitin Saxena</v>
          </cell>
          <cell r="E756" t="str">
            <v>-</v>
          </cell>
          <cell r="F756" t="str">
            <v>Non-MSP</v>
          </cell>
          <cell r="H756" t="str">
            <v>Ratnesh Kashyap</v>
          </cell>
          <cell r="L756" t="str">
            <v>New</v>
          </cell>
          <cell r="M756">
            <v>46140</v>
          </cell>
          <cell r="N756">
            <v>62</v>
          </cell>
          <cell r="P756">
            <v>46505</v>
          </cell>
          <cell r="Q756" t="str">
            <v>PLC-4857</v>
          </cell>
          <cell r="R756" t="str">
            <v>Tracy Perry</v>
          </cell>
          <cell r="S756" t="str">
            <v>Individual</v>
          </cell>
          <cell r="T756" t="str">
            <v>FTE</v>
          </cell>
          <cell r="U756" t="str">
            <v>Mauser Packaging Solutions</v>
          </cell>
          <cell r="V756">
            <v>0</v>
          </cell>
          <cell r="W756">
            <v>0</v>
          </cell>
          <cell r="X756" t="str">
            <v>USD</v>
          </cell>
          <cell r="Y756">
            <v>13056</v>
          </cell>
          <cell r="Z756">
            <v>0</v>
          </cell>
          <cell r="AA756">
            <v>0</v>
          </cell>
          <cell r="AB756">
            <v>0</v>
          </cell>
          <cell r="AC756">
            <v>46127</v>
          </cell>
          <cell r="AD756">
            <v>1</v>
          </cell>
          <cell r="AE756">
            <v>46387</v>
          </cell>
          <cell r="AF756">
            <v>0</v>
          </cell>
          <cell r="AG756">
            <v>0</v>
          </cell>
          <cell r="AH756">
            <v>0</v>
          </cell>
          <cell r="AI756">
            <v>13056</v>
          </cell>
          <cell r="AJ756">
            <v>0</v>
          </cell>
          <cell r="AK756">
            <v>0</v>
          </cell>
          <cell r="AL756">
            <v>13056</v>
          </cell>
          <cell r="AM756">
            <v>0</v>
          </cell>
          <cell r="AN756">
            <v>13056</v>
          </cell>
          <cell r="AO756">
            <v>0</v>
          </cell>
          <cell r="AP756">
            <v>13056</v>
          </cell>
          <cell r="AQ756" t="str">
            <v>US_27677</v>
          </cell>
          <cell r="AR756">
            <v>0</v>
          </cell>
          <cell r="AS756">
            <v>1</v>
          </cell>
          <cell r="AU756">
            <v>1</v>
          </cell>
          <cell r="AV756">
            <v>0</v>
          </cell>
          <cell r="AW756">
            <v>13056</v>
          </cell>
          <cell r="AX756">
            <v>13056</v>
          </cell>
          <cell r="AY756">
            <v>0</v>
          </cell>
          <cell r="AZ756">
            <v>13056</v>
          </cell>
          <cell r="BA756">
            <v>13056</v>
          </cell>
          <cell r="BB756">
            <v>13056</v>
          </cell>
          <cell r="BC756">
            <v>0</v>
          </cell>
          <cell r="BD756">
            <v>0</v>
          </cell>
          <cell r="BE756">
            <v>0</v>
          </cell>
          <cell r="BG756">
            <v>13056</v>
          </cell>
          <cell r="BI756">
            <v>0</v>
          </cell>
          <cell r="BJ756">
            <v>13056</v>
          </cell>
          <cell r="BK756">
            <v>13056</v>
          </cell>
          <cell r="BL756">
            <v>0</v>
          </cell>
          <cell r="BM756">
            <v>0</v>
          </cell>
          <cell r="BN756">
            <v>0</v>
          </cell>
          <cell r="BO756">
            <v>0</v>
          </cell>
          <cell r="BP756">
            <v>0</v>
          </cell>
          <cell r="BQ756">
            <v>0</v>
          </cell>
          <cell r="BR756">
            <v>13056</v>
          </cell>
          <cell r="BT756">
            <v>2</v>
          </cell>
          <cell r="BU756">
            <v>2</v>
          </cell>
          <cell r="BV756" t="str">
            <v>N</v>
          </cell>
          <cell r="BW756">
            <v>0</v>
          </cell>
          <cell r="BX756">
            <v>0</v>
          </cell>
          <cell r="BY756">
            <v>2026</v>
          </cell>
          <cell r="BZ756" t="str">
            <v>-</v>
          </cell>
          <cell r="CA756" t="str">
            <v>-</v>
          </cell>
        </row>
        <row r="757">
          <cell r="A757" t="str">
            <v>Lucknow</v>
          </cell>
          <cell r="B757" t="str">
            <v>Titans</v>
          </cell>
          <cell r="C757" t="str">
            <v>Mid Level</v>
          </cell>
          <cell r="D757" t="str">
            <v>Nitin Saxena</v>
          </cell>
          <cell r="E757" t="str">
            <v>-</v>
          </cell>
          <cell r="F757" t="str">
            <v>Non-MSP</v>
          </cell>
          <cell r="H757" t="str">
            <v>Ambresh Tripathi</v>
          </cell>
          <cell r="L757" t="str">
            <v>New</v>
          </cell>
          <cell r="M757">
            <v>46139</v>
          </cell>
          <cell r="N757">
            <v>63</v>
          </cell>
          <cell r="P757">
            <v>46504</v>
          </cell>
          <cell r="Q757" t="str">
            <v>PLC-4852</v>
          </cell>
          <cell r="R757" t="str">
            <v>Trevar Townsend</v>
          </cell>
          <cell r="S757" t="str">
            <v>Individual</v>
          </cell>
          <cell r="T757" t="str">
            <v>FTE</v>
          </cell>
          <cell r="U757" t="str">
            <v>Mauser Packaging Solutions</v>
          </cell>
          <cell r="V757">
            <v>0</v>
          </cell>
          <cell r="W757">
            <v>0</v>
          </cell>
          <cell r="X757" t="str">
            <v>USD</v>
          </cell>
          <cell r="Y757">
            <v>10752</v>
          </cell>
          <cell r="Z757">
            <v>0</v>
          </cell>
          <cell r="AA757">
            <v>0</v>
          </cell>
          <cell r="AB757">
            <v>0</v>
          </cell>
          <cell r="AC757">
            <v>46127</v>
          </cell>
          <cell r="AD757">
            <v>1</v>
          </cell>
          <cell r="AE757">
            <v>46387</v>
          </cell>
          <cell r="AF757">
            <v>0</v>
          </cell>
          <cell r="AG757">
            <v>0</v>
          </cell>
          <cell r="AH757">
            <v>0</v>
          </cell>
          <cell r="AI757">
            <v>10752</v>
          </cell>
          <cell r="AJ757">
            <v>0</v>
          </cell>
          <cell r="AK757">
            <v>0</v>
          </cell>
          <cell r="AL757">
            <v>10752</v>
          </cell>
          <cell r="AM757">
            <v>0</v>
          </cell>
          <cell r="AN757">
            <v>10752</v>
          </cell>
          <cell r="AO757">
            <v>0</v>
          </cell>
          <cell r="AP757">
            <v>10752</v>
          </cell>
          <cell r="AQ757" t="str">
            <v>US_27678</v>
          </cell>
          <cell r="AR757">
            <v>0</v>
          </cell>
          <cell r="AS757">
            <v>1</v>
          </cell>
          <cell r="AU757">
            <v>1</v>
          </cell>
          <cell r="AV757">
            <v>0</v>
          </cell>
          <cell r="AW757">
            <v>10752</v>
          </cell>
          <cell r="AX757">
            <v>10752</v>
          </cell>
          <cell r="AY757">
            <v>0</v>
          </cell>
          <cell r="AZ757">
            <v>10752</v>
          </cell>
          <cell r="BA757">
            <v>10752</v>
          </cell>
          <cell r="BB757">
            <v>10752</v>
          </cell>
          <cell r="BC757">
            <v>50</v>
          </cell>
          <cell r="BD757">
            <v>14192.64</v>
          </cell>
          <cell r="BE757">
            <v>14192.64</v>
          </cell>
          <cell r="BG757">
            <v>10752</v>
          </cell>
          <cell r="BI757">
            <v>0</v>
          </cell>
          <cell r="BJ757">
            <v>10752</v>
          </cell>
          <cell r="BK757">
            <v>10752</v>
          </cell>
          <cell r="BL757">
            <v>0</v>
          </cell>
          <cell r="BM757">
            <v>0</v>
          </cell>
          <cell r="BN757">
            <v>0</v>
          </cell>
          <cell r="BO757">
            <v>0</v>
          </cell>
          <cell r="BP757">
            <v>0</v>
          </cell>
          <cell r="BQ757">
            <v>0</v>
          </cell>
          <cell r="BR757">
            <v>10752</v>
          </cell>
          <cell r="BT757">
            <v>2</v>
          </cell>
          <cell r="BU757">
            <v>2</v>
          </cell>
          <cell r="BV757" t="str">
            <v>N</v>
          </cell>
          <cell r="BW757">
            <v>28385.279999999999</v>
          </cell>
          <cell r="BX757">
            <v>28385.279999999999</v>
          </cell>
          <cell r="BY757">
            <v>2026</v>
          </cell>
          <cell r="BZ757" t="str">
            <v>-</v>
          </cell>
          <cell r="CA757" t="str">
            <v>-</v>
          </cell>
        </row>
        <row r="758">
          <cell r="A758" t="str">
            <v>Lucknow</v>
          </cell>
          <cell r="B758" t="str">
            <v>Rpo</v>
          </cell>
          <cell r="C758" t="str">
            <v>Mid Level</v>
          </cell>
          <cell r="D758" t="str">
            <v>Ankit Pandey</v>
          </cell>
          <cell r="E758" t="str">
            <v>-</v>
          </cell>
          <cell r="F758" t="str">
            <v>Non-MSP</v>
          </cell>
          <cell r="H758" t="str">
            <v>Vanshika Srivastava</v>
          </cell>
          <cell r="L758" t="str">
            <v>New</v>
          </cell>
          <cell r="M758">
            <v>46111</v>
          </cell>
          <cell r="N758">
            <v>91</v>
          </cell>
          <cell r="P758">
            <v>46476</v>
          </cell>
          <cell r="R758" t="str">
            <v>Uday Prakash Chanagoni</v>
          </cell>
          <cell r="S758" t="str">
            <v>Individual</v>
          </cell>
          <cell r="T758" t="str">
            <v>C2C</v>
          </cell>
          <cell r="U758" t="str">
            <v>Nova Web Technologies LLC</v>
          </cell>
          <cell r="V758">
            <v>65</v>
          </cell>
          <cell r="W758">
            <v>0</v>
          </cell>
          <cell r="X758" t="str">
            <v>USD</v>
          </cell>
          <cell r="Y758">
            <v>75</v>
          </cell>
          <cell r="Z758">
            <v>0</v>
          </cell>
          <cell r="AA758">
            <v>0</v>
          </cell>
          <cell r="AB758">
            <v>0</v>
          </cell>
          <cell r="AC758">
            <v>46096</v>
          </cell>
          <cell r="AD758">
            <v>2</v>
          </cell>
          <cell r="AE758">
            <v>46387</v>
          </cell>
          <cell r="AF758">
            <v>65</v>
          </cell>
          <cell r="AG758">
            <v>0</v>
          </cell>
          <cell r="AH758">
            <v>65</v>
          </cell>
          <cell r="AI758">
            <v>75</v>
          </cell>
          <cell r="AJ758">
            <v>0</v>
          </cell>
          <cell r="AK758">
            <v>0</v>
          </cell>
          <cell r="AL758">
            <v>10</v>
          </cell>
          <cell r="AM758">
            <v>0</v>
          </cell>
          <cell r="AN758">
            <v>10</v>
          </cell>
          <cell r="AO758">
            <v>0</v>
          </cell>
          <cell r="AP758">
            <v>10</v>
          </cell>
          <cell r="AQ758" t="str">
            <v>US_27444</v>
          </cell>
          <cell r="AR758">
            <v>0</v>
          </cell>
          <cell r="AS758">
            <v>16</v>
          </cell>
          <cell r="AU758">
            <v>16</v>
          </cell>
          <cell r="AV758">
            <v>0</v>
          </cell>
          <cell r="AW758">
            <v>160</v>
          </cell>
          <cell r="AX758">
            <v>160</v>
          </cell>
          <cell r="AY758">
            <v>0</v>
          </cell>
          <cell r="AZ758">
            <v>160</v>
          </cell>
          <cell r="BA758">
            <v>160</v>
          </cell>
          <cell r="BB758">
            <v>160</v>
          </cell>
          <cell r="BC758">
            <v>44.333333333333336</v>
          </cell>
          <cell r="BD758">
            <v>211.2</v>
          </cell>
          <cell r="BE758">
            <v>211.2</v>
          </cell>
          <cell r="BG758">
            <v>160</v>
          </cell>
          <cell r="BI758">
            <v>160</v>
          </cell>
          <cell r="BJ758">
            <v>1200</v>
          </cell>
          <cell r="BK758">
            <v>1200</v>
          </cell>
          <cell r="BL758">
            <v>1040</v>
          </cell>
          <cell r="BM758">
            <v>0</v>
          </cell>
          <cell r="BN758">
            <v>0</v>
          </cell>
          <cell r="BO758">
            <v>0</v>
          </cell>
          <cell r="BP758">
            <v>1040</v>
          </cell>
          <cell r="BQ758">
            <v>0</v>
          </cell>
          <cell r="BR758">
            <v>160</v>
          </cell>
          <cell r="BT758">
            <v>1</v>
          </cell>
          <cell r="BU758">
            <v>1</v>
          </cell>
          <cell r="BV758" t="str">
            <v>Y</v>
          </cell>
          <cell r="BW758">
            <v>422.4</v>
          </cell>
          <cell r="BX758">
            <v>422.4</v>
          </cell>
          <cell r="BY758">
            <v>2026</v>
          </cell>
          <cell r="BZ758" t="str">
            <v>-</v>
          </cell>
          <cell r="CA758" t="str">
            <v>-</v>
          </cell>
        </row>
        <row r="759">
          <cell r="A759" t="str">
            <v>Lucknow</v>
          </cell>
          <cell r="B759" t="str">
            <v>Rpo</v>
          </cell>
          <cell r="C759" t="str">
            <v>Mid Level</v>
          </cell>
          <cell r="D759" t="str">
            <v>Ankit Pandey</v>
          </cell>
          <cell r="E759" t="str">
            <v>-</v>
          </cell>
          <cell r="F759" t="str">
            <v>Non-MSP</v>
          </cell>
          <cell r="H759" t="str">
            <v>Vanshika Srivastava</v>
          </cell>
          <cell r="J759" t="str">
            <v>ACH</v>
          </cell>
          <cell r="L759" t="str">
            <v>New</v>
          </cell>
          <cell r="M759">
            <v>46111</v>
          </cell>
          <cell r="N759">
            <v>91</v>
          </cell>
          <cell r="P759">
            <v>46476</v>
          </cell>
          <cell r="R759" t="str">
            <v>Uday Prakash Chanagoni</v>
          </cell>
          <cell r="S759" t="str">
            <v>Individual</v>
          </cell>
          <cell r="T759" t="str">
            <v>C2C</v>
          </cell>
          <cell r="U759" t="str">
            <v>Nova Web Technologies LLC</v>
          </cell>
          <cell r="V759">
            <v>65</v>
          </cell>
          <cell r="W759">
            <v>0</v>
          </cell>
          <cell r="X759" t="str">
            <v>USD</v>
          </cell>
          <cell r="Y759">
            <v>75</v>
          </cell>
          <cell r="Z759">
            <v>0</v>
          </cell>
          <cell r="AA759">
            <v>0</v>
          </cell>
          <cell r="AB759">
            <v>0</v>
          </cell>
          <cell r="AC759">
            <v>46127</v>
          </cell>
          <cell r="AD759">
            <v>22</v>
          </cell>
          <cell r="AE759">
            <v>46387</v>
          </cell>
          <cell r="AF759">
            <v>65</v>
          </cell>
          <cell r="AG759">
            <v>0</v>
          </cell>
          <cell r="AH759">
            <v>65</v>
          </cell>
          <cell r="AI759">
            <v>75</v>
          </cell>
          <cell r="AJ759">
            <v>0</v>
          </cell>
          <cell r="AK759">
            <v>0</v>
          </cell>
          <cell r="AL759">
            <v>10</v>
          </cell>
          <cell r="AM759">
            <v>0</v>
          </cell>
          <cell r="AN759">
            <v>10</v>
          </cell>
          <cell r="AO759">
            <v>0</v>
          </cell>
          <cell r="AP759">
            <v>10</v>
          </cell>
          <cell r="AQ759" t="str">
            <v>US_27673</v>
          </cell>
          <cell r="AR759">
            <v>0</v>
          </cell>
          <cell r="AS759">
            <v>176</v>
          </cell>
          <cell r="AU759">
            <v>176</v>
          </cell>
          <cell r="AV759">
            <v>0</v>
          </cell>
          <cell r="AW759">
            <v>1760</v>
          </cell>
          <cell r="AX759">
            <v>1742.4</v>
          </cell>
          <cell r="AY759">
            <v>0</v>
          </cell>
          <cell r="AZ759">
            <v>1760</v>
          </cell>
          <cell r="BA759">
            <v>1742.4</v>
          </cell>
          <cell r="BB759">
            <v>1760</v>
          </cell>
          <cell r="BC759">
            <v>44.333333333333336</v>
          </cell>
          <cell r="BD759">
            <v>2299.9680000000003</v>
          </cell>
          <cell r="BE759">
            <v>2299.9680000000003</v>
          </cell>
          <cell r="BG759">
            <v>1742.4</v>
          </cell>
          <cell r="BI759">
            <v>1742.4</v>
          </cell>
          <cell r="BJ759">
            <v>13200</v>
          </cell>
          <cell r="BK759">
            <v>13200</v>
          </cell>
          <cell r="BL759">
            <v>11440</v>
          </cell>
          <cell r="BM759">
            <v>0</v>
          </cell>
          <cell r="BN759">
            <v>0</v>
          </cell>
          <cell r="BO759">
            <v>0</v>
          </cell>
          <cell r="BP759">
            <v>11440</v>
          </cell>
          <cell r="BQ759">
            <v>0</v>
          </cell>
          <cell r="BR759">
            <v>1760</v>
          </cell>
          <cell r="BT759">
            <v>2</v>
          </cell>
          <cell r="BU759">
            <v>1</v>
          </cell>
          <cell r="BV759" t="str">
            <v>N</v>
          </cell>
          <cell r="BW759">
            <v>4599.9360000000006</v>
          </cell>
          <cell r="BX759">
            <v>4599.9360000000006</v>
          </cell>
          <cell r="BY759">
            <v>2026</v>
          </cell>
          <cell r="BZ759" t="str">
            <v>-</v>
          </cell>
          <cell r="CA759" t="str">
            <v>-</v>
          </cell>
        </row>
        <row r="760">
          <cell r="A760" t="str">
            <v>Lucknow</v>
          </cell>
          <cell r="B760" t="str">
            <v>Rpo</v>
          </cell>
          <cell r="C760" t="str">
            <v>Mid Level</v>
          </cell>
          <cell r="D760" t="str">
            <v>Ankit Pandey</v>
          </cell>
          <cell r="E760" t="str">
            <v>-</v>
          </cell>
          <cell r="F760" t="str">
            <v>Non-MSP</v>
          </cell>
          <cell r="H760" t="str">
            <v>Vanshika Srivastava</v>
          </cell>
          <cell r="J760" t="str">
            <v>ACH</v>
          </cell>
          <cell r="L760" t="str">
            <v>New</v>
          </cell>
          <cell r="M760">
            <v>46111</v>
          </cell>
          <cell r="N760">
            <v>91</v>
          </cell>
          <cell r="P760">
            <v>46476</v>
          </cell>
          <cell r="R760" t="str">
            <v>Uday Prakash Chanagoni</v>
          </cell>
          <cell r="S760" t="str">
            <v>Individual</v>
          </cell>
          <cell r="T760" t="str">
            <v>C2C</v>
          </cell>
          <cell r="U760" t="str">
            <v>Nova Web Technologies LLC</v>
          </cell>
          <cell r="V760">
            <v>65</v>
          </cell>
          <cell r="W760">
            <v>0</v>
          </cell>
          <cell r="X760" t="str">
            <v>USD</v>
          </cell>
          <cell r="Y760">
            <v>75</v>
          </cell>
          <cell r="Z760">
            <v>0</v>
          </cell>
          <cell r="AA760">
            <v>0</v>
          </cell>
          <cell r="AB760">
            <v>0</v>
          </cell>
          <cell r="AC760">
            <v>46157</v>
          </cell>
          <cell r="AD760">
            <v>22</v>
          </cell>
          <cell r="AE760">
            <v>46387</v>
          </cell>
          <cell r="AF760">
            <v>65</v>
          </cell>
          <cell r="AG760">
            <v>0</v>
          </cell>
          <cell r="AH760">
            <v>65</v>
          </cell>
          <cell r="AI760">
            <v>75</v>
          </cell>
          <cell r="AJ760">
            <v>0</v>
          </cell>
          <cell r="AK760">
            <v>0</v>
          </cell>
          <cell r="AL760">
            <v>10</v>
          </cell>
          <cell r="AM760">
            <v>0</v>
          </cell>
          <cell r="AN760">
            <v>10</v>
          </cell>
          <cell r="AO760">
            <v>0</v>
          </cell>
          <cell r="AP760">
            <v>10</v>
          </cell>
          <cell r="AQ760" t="str">
            <v>US_27944</v>
          </cell>
          <cell r="AR760">
            <v>0</v>
          </cell>
          <cell r="AS760">
            <v>160</v>
          </cell>
          <cell r="AU760">
            <v>160</v>
          </cell>
          <cell r="AV760">
            <v>0</v>
          </cell>
          <cell r="AW760">
            <v>1600</v>
          </cell>
          <cell r="AX760">
            <v>1584</v>
          </cell>
          <cell r="AY760">
            <v>0</v>
          </cell>
          <cell r="AZ760">
            <v>1600</v>
          </cell>
          <cell r="BA760">
            <v>1584</v>
          </cell>
          <cell r="BB760">
            <v>1600</v>
          </cell>
          <cell r="BC760">
            <v>44.333333333333336</v>
          </cell>
          <cell r="BD760">
            <v>2090.88</v>
          </cell>
          <cell r="BE760">
            <v>2090.88</v>
          </cell>
          <cell r="BG760">
            <v>1584</v>
          </cell>
          <cell r="BI760">
            <v>1584</v>
          </cell>
          <cell r="BJ760">
            <v>12000</v>
          </cell>
          <cell r="BK760">
            <v>12000</v>
          </cell>
          <cell r="BL760">
            <v>10400</v>
          </cell>
          <cell r="BM760">
            <v>0</v>
          </cell>
          <cell r="BN760">
            <v>0</v>
          </cell>
          <cell r="BO760">
            <v>0</v>
          </cell>
          <cell r="BP760">
            <v>10400</v>
          </cell>
          <cell r="BQ760">
            <v>0</v>
          </cell>
          <cell r="BR760">
            <v>1600</v>
          </cell>
          <cell r="BT760">
            <v>2</v>
          </cell>
          <cell r="BU760">
            <v>1</v>
          </cell>
          <cell r="BV760" t="str">
            <v>N</v>
          </cell>
          <cell r="BW760">
            <v>4181.76</v>
          </cell>
          <cell r="BX760">
            <v>4181.76</v>
          </cell>
          <cell r="BY760">
            <v>2026</v>
          </cell>
          <cell r="BZ760" t="str">
            <v>-</v>
          </cell>
          <cell r="CA760" t="str">
            <v>-</v>
          </cell>
        </row>
        <row r="761">
          <cell r="A761" t="str">
            <v>Lucknow</v>
          </cell>
          <cell r="B761" t="str">
            <v>Mavericks</v>
          </cell>
          <cell r="C761" t="str">
            <v>Mid Level</v>
          </cell>
          <cell r="D761" t="str">
            <v>Rohit Gupta</v>
          </cell>
          <cell r="E761" t="str">
            <v>-</v>
          </cell>
          <cell r="F761" t="str">
            <v>Non-MSP</v>
          </cell>
          <cell r="G761" t="str">
            <v>Nitin Saxena</v>
          </cell>
          <cell r="H761" t="str">
            <v>Hamza Ali</v>
          </cell>
          <cell r="J761" t="str">
            <v>ACH</v>
          </cell>
          <cell r="L761" t="str">
            <v>New</v>
          </cell>
          <cell r="M761">
            <v>46104</v>
          </cell>
          <cell r="N761">
            <v>98</v>
          </cell>
          <cell r="P761">
            <v>46469</v>
          </cell>
          <cell r="Q761" t="str">
            <v>PLC-4798</v>
          </cell>
          <cell r="R761" t="str">
            <v>Uranus Gabrielle Hill</v>
          </cell>
          <cell r="S761" t="str">
            <v>Split</v>
          </cell>
          <cell r="T761">
            <v>1099</v>
          </cell>
          <cell r="U761" t="str">
            <v>CoForge</v>
          </cell>
          <cell r="V761">
            <v>18</v>
          </cell>
          <cell r="W761">
            <v>27</v>
          </cell>
          <cell r="X761" t="str">
            <v>USD</v>
          </cell>
          <cell r="Y761">
            <v>23.5</v>
          </cell>
          <cell r="Z761">
            <v>35.25</v>
          </cell>
          <cell r="AA761">
            <v>0</v>
          </cell>
          <cell r="AB761">
            <v>0</v>
          </cell>
          <cell r="AC761">
            <v>46096</v>
          </cell>
          <cell r="AD761">
            <v>7</v>
          </cell>
          <cell r="AE761">
            <v>46387</v>
          </cell>
          <cell r="AF761">
            <v>19.260000000000002</v>
          </cell>
          <cell r="AG761">
            <v>28.89</v>
          </cell>
          <cell r="AH761">
            <v>19.260000000000002</v>
          </cell>
          <cell r="AI761">
            <v>23.5</v>
          </cell>
          <cell r="AJ761">
            <v>35.25</v>
          </cell>
          <cell r="AK761">
            <v>6.3599999999999994</v>
          </cell>
          <cell r="AL761">
            <v>4.2399999999999984</v>
          </cell>
          <cell r="AM761">
            <v>3.1799999999999997</v>
          </cell>
          <cell r="AN761">
            <v>2.1199999999999992</v>
          </cell>
          <cell r="AO761">
            <v>3.1799999999999997</v>
          </cell>
          <cell r="AP761">
            <v>2.1199999999999992</v>
          </cell>
          <cell r="AQ761" t="str">
            <v>US_27433</v>
          </cell>
          <cell r="AR761">
            <v>0</v>
          </cell>
          <cell r="AS761">
            <v>56</v>
          </cell>
          <cell r="AU761">
            <v>56</v>
          </cell>
          <cell r="AV761">
            <v>0</v>
          </cell>
          <cell r="AW761">
            <v>118.71999999999996</v>
          </cell>
          <cell r="AX761">
            <v>117.53279999999995</v>
          </cell>
          <cell r="AY761">
            <v>0</v>
          </cell>
          <cell r="AZ761">
            <v>118.71999999999996</v>
          </cell>
          <cell r="BA761">
            <v>117.53279999999995</v>
          </cell>
          <cell r="BB761">
            <v>118.71999999999996</v>
          </cell>
          <cell r="BC761">
            <v>50</v>
          </cell>
          <cell r="BD761">
            <v>155.14329599999994</v>
          </cell>
          <cell r="BE761">
            <v>155.14329599999994</v>
          </cell>
          <cell r="BG761">
            <v>117.53279999999995</v>
          </cell>
          <cell r="BI761">
            <v>117.53279999999995</v>
          </cell>
          <cell r="BJ761">
            <v>658</v>
          </cell>
          <cell r="BK761">
            <v>658</v>
          </cell>
          <cell r="BL761">
            <v>504</v>
          </cell>
          <cell r="BM761">
            <v>1.2600000000000002</v>
          </cell>
          <cell r="BN761">
            <v>0</v>
          </cell>
          <cell r="BO761">
            <v>70.560000000000016</v>
          </cell>
          <cell r="BP761">
            <v>574.56000000000006</v>
          </cell>
          <cell r="BQ761">
            <v>1.2600000000000002</v>
          </cell>
          <cell r="BR761">
            <v>83.439999999999984</v>
          </cell>
          <cell r="BT761">
            <v>1</v>
          </cell>
          <cell r="BU761">
            <v>1</v>
          </cell>
          <cell r="BV761" t="str">
            <v>Y</v>
          </cell>
          <cell r="BW761">
            <v>310.28659199999987</v>
          </cell>
          <cell r="BX761">
            <v>310.28659199999987</v>
          </cell>
          <cell r="BY761">
            <v>2026</v>
          </cell>
          <cell r="BZ761" t="str">
            <v>-</v>
          </cell>
          <cell r="CA761" t="str">
            <v>-</v>
          </cell>
        </row>
        <row r="762">
          <cell r="A762" t="str">
            <v>Lucknow</v>
          </cell>
          <cell r="B762" t="str">
            <v>Titans</v>
          </cell>
          <cell r="C762" t="str">
            <v>Mid Level</v>
          </cell>
          <cell r="D762" t="str">
            <v>Nitin Saxena</v>
          </cell>
          <cell r="E762" t="str">
            <v>-</v>
          </cell>
          <cell r="F762" t="str">
            <v>Non-MSP</v>
          </cell>
          <cell r="G762" t="str">
            <v>Rohit Gupta</v>
          </cell>
          <cell r="H762" t="str">
            <v>Hamza Ali</v>
          </cell>
          <cell r="J762" t="str">
            <v>ACH</v>
          </cell>
          <cell r="L762" t="str">
            <v>New</v>
          </cell>
          <cell r="M762">
            <v>46104</v>
          </cell>
          <cell r="N762">
            <v>98</v>
          </cell>
          <cell r="P762">
            <v>46469</v>
          </cell>
          <cell r="Q762" t="str">
            <v>PLC-4798</v>
          </cell>
          <cell r="R762" t="str">
            <v>Uranus Gabrielle Hill</v>
          </cell>
          <cell r="S762" t="str">
            <v>Split</v>
          </cell>
          <cell r="T762">
            <v>1099</v>
          </cell>
          <cell r="U762" t="str">
            <v>CoForge</v>
          </cell>
          <cell r="V762">
            <v>18</v>
          </cell>
          <cell r="W762">
            <v>27</v>
          </cell>
          <cell r="X762" t="str">
            <v>USD</v>
          </cell>
          <cell r="Y762">
            <v>23.5</v>
          </cell>
          <cell r="Z762">
            <v>35.25</v>
          </cell>
          <cell r="AA762">
            <v>0</v>
          </cell>
          <cell r="AB762">
            <v>0</v>
          </cell>
          <cell r="AC762">
            <v>46096</v>
          </cell>
          <cell r="AD762">
            <v>7</v>
          </cell>
          <cell r="AE762">
            <v>46387</v>
          </cell>
          <cell r="AF762">
            <v>19.260000000000002</v>
          </cell>
          <cell r="AG762">
            <v>28.89</v>
          </cell>
          <cell r="AH762">
            <v>19.260000000000002</v>
          </cell>
          <cell r="AI762">
            <v>23.5</v>
          </cell>
          <cell r="AJ762">
            <v>35.25</v>
          </cell>
          <cell r="AK762">
            <v>6.3599999999999994</v>
          </cell>
          <cell r="AL762">
            <v>4.2399999999999984</v>
          </cell>
          <cell r="AM762">
            <v>3.1799999999999997</v>
          </cell>
          <cell r="AN762">
            <v>2.1199999999999992</v>
          </cell>
          <cell r="AO762">
            <v>3.1799999999999997</v>
          </cell>
          <cell r="AP762">
            <v>2.1199999999999992</v>
          </cell>
          <cell r="AQ762" t="str">
            <v>US_27433</v>
          </cell>
          <cell r="AR762">
            <v>0</v>
          </cell>
          <cell r="AS762">
            <v>56</v>
          </cell>
          <cell r="AU762">
            <v>56</v>
          </cell>
          <cell r="AV762">
            <v>0</v>
          </cell>
          <cell r="AW762">
            <v>118.71999999999996</v>
          </cell>
          <cell r="AX762">
            <v>117.53279999999995</v>
          </cell>
          <cell r="AY762">
            <v>0</v>
          </cell>
          <cell r="AZ762">
            <v>118.71999999999996</v>
          </cell>
          <cell r="BA762">
            <v>117.53279999999995</v>
          </cell>
          <cell r="BB762">
            <v>118.71999999999996</v>
          </cell>
          <cell r="BC762">
            <v>50</v>
          </cell>
          <cell r="BD762">
            <v>155.14329599999994</v>
          </cell>
          <cell r="BE762">
            <v>155.14329599999994</v>
          </cell>
          <cell r="BG762">
            <v>117.53279999999995</v>
          </cell>
          <cell r="BI762">
            <v>117.53279999999995</v>
          </cell>
          <cell r="BJ762">
            <v>658</v>
          </cell>
          <cell r="BK762">
            <v>658</v>
          </cell>
          <cell r="BL762">
            <v>504</v>
          </cell>
          <cell r="BM762">
            <v>1.2600000000000002</v>
          </cell>
          <cell r="BN762">
            <v>0</v>
          </cell>
          <cell r="BO762">
            <v>70.560000000000016</v>
          </cell>
          <cell r="BP762">
            <v>574.56000000000006</v>
          </cell>
          <cell r="BQ762">
            <v>1.2600000000000002</v>
          </cell>
          <cell r="BR762">
            <v>83.439999999999984</v>
          </cell>
          <cell r="BT762">
            <v>1</v>
          </cell>
          <cell r="BU762">
            <v>1</v>
          </cell>
          <cell r="BV762" t="str">
            <v>Y</v>
          </cell>
          <cell r="BW762">
            <v>310.28659199999987</v>
          </cell>
          <cell r="BX762">
            <v>310.28659199999987</v>
          </cell>
          <cell r="BY762">
            <v>2026</v>
          </cell>
          <cell r="BZ762" t="str">
            <v>-</v>
          </cell>
          <cell r="CA762" t="str">
            <v>-</v>
          </cell>
        </row>
        <row r="763">
          <cell r="A763" t="str">
            <v>Lucknow</v>
          </cell>
          <cell r="B763" t="str">
            <v>Mavericks</v>
          </cell>
          <cell r="C763" t="str">
            <v>Mid Level</v>
          </cell>
          <cell r="D763" t="str">
            <v>Rohit Gupta</v>
          </cell>
          <cell r="E763" t="str">
            <v>-</v>
          </cell>
          <cell r="F763" t="str">
            <v>Non-MSP</v>
          </cell>
          <cell r="G763" t="str">
            <v>Nitin Saxena</v>
          </cell>
          <cell r="H763" t="str">
            <v>Hamza Ali</v>
          </cell>
          <cell r="J763" t="str">
            <v>ACH</v>
          </cell>
          <cell r="L763" t="str">
            <v>New</v>
          </cell>
          <cell r="M763">
            <v>46104</v>
          </cell>
          <cell r="N763">
            <v>98</v>
          </cell>
          <cell r="P763">
            <v>46469</v>
          </cell>
          <cell r="Q763" t="str">
            <v>PLC-4798</v>
          </cell>
          <cell r="R763" t="str">
            <v>Uranus Gabrielle Hill</v>
          </cell>
          <cell r="S763" t="str">
            <v>Split</v>
          </cell>
          <cell r="T763">
            <v>1099</v>
          </cell>
          <cell r="U763" t="str">
            <v>CoForge</v>
          </cell>
          <cell r="V763">
            <v>18</v>
          </cell>
          <cell r="W763">
            <v>27</v>
          </cell>
          <cell r="X763" t="str">
            <v>USD</v>
          </cell>
          <cell r="Y763">
            <v>23.5</v>
          </cell>
          <cell r="Z763">
            <v>35.25</v>
          </cell>
          <cell r="AA763">
            <v>0</v>
          </cell>
          <cell r="AB763">
            <v>0</v>
          </cell>
          <cell r="AC763">
            <v>46127</v>
          </cell>
          <cell r="AD763">
            <v>22</v>
          </cell>
          <cell r="AE763">
            <v>46387</v>
          </cell>
          <cell r="AF763">
            <v>19.260000000000002</v>
          </cell>
          <cell r="AG763">
            <v>28.89</v>
          </cell>
          <cell r="AH763">
            <v>19.260000000000002</v>
          </cell>
          <cell r="AI763">
            <v>23.5</v>
          </cell>
          <cell r="AJ763">
            <v>35.25</v>
          </cell>
          <cell r="AK763">
            <v>6.3599999999999994</v>
          </cell>
          <cell r="AL763">
            <v>4.2399999999999984</v>
          </cell>
          <cell r="AM763">
            <v>3.1799999999999997</v>
          </cell>
          <cell r="AN763">
            <v>2.1199999999999992</v>
          </cell>
          <cell r="AO763">
            <v>3.1799999999999997</v>
          </cell>
          <cell r="AP763">
            <v>2.1199999999999992</v>
          </cell>
          <cell r="AQ763" t="str">
            <v>US_27663</v>
          </cell>
          <cell r="AR763">
            <v>0</v>
          </cell>
          <cell r="AS763">
            <v>175.17</v>
          </cell>
          <cell r="AU763">
            <v>175.17</v>
          </cell>
          <cell r="AV763">
            <v>0</v>
          </cell>
          <cell r="AW763">
            <v>371.36039999999986</v>
          </cell>
          <cell r="AX763">
            <v>367.64679599999988</v>
          </cell>
          <cell r="AY763">
            <v>0</v>
          </cell>
          <cell r="AZ763">
            <v>371.36039999999986</v>
          </cell>
          <cell r="BA763">
            <v>367.64679599999988</v>
          </cell>
          <cell r="BB763">
            <v>371.36039999999986</v>
          </cell>
          <cell r="BC763">
            <v>50</v>
          </cell>
          <cell r="BD763">
            <v>485.29377071999983</v>
          </cell>
          <cell r="BE763">
            <v>485.29377071999983</v>
          </cell>
          <cell r="BG763">
            <v>367.64679599999988</v>
          </cell>
          <cell r="BI763">
            <v>367.64679599999988</v>
          </cell>
          <cell r="BJ763">
            <v>2058.2474999999999</v>
          </cell>
          <cell r="BK763">
            <v>2058.2474999999999</v>
          </cell>
          <cell r="BL763">
            <v>1576.53</v>
          </cell>
          <cell r="BM763">
            <v>1.2600000000000002</v>
          </cell>
          <cell r="BN763">
            <v>0</v>
          </cell>
          <cell r="BO763">
            <v>220.71420000000003</v>
          </cell>
          <cell r="BP763">
            <v>1797.2442000000001</v>
          </cell>
          <cell r="BQ763">
            <v>1.2600000000000002</v>
          </cell>
          <cell r="BR763">
            <v>261.00329999999997</v>
          </cell>
          <cell r="BT763">
            <v>2</v>
          </cell>
          <cell r="BU763">
            <v>1</v>
          </cell>
          <cell r="BV763" t="str">
            <v>Y</v>
          </cell>
          <cell r="BW763">
            <v>970.58754143999965</v>
          </cell>
          <cell r="BX763">
            <v>970.58754143999965</v>
          </cell>
          <cell r="BY763">
            <v>2026</v>
          </cell>
          <cell r="BZ763" t="str">
            <v>-</v>
          </cell>
          <cell r="CA763" t="str">
            <v>-</v>
          </cell>
        </row>
        <row r="764">
          <cell r="A764" t="str">
            <v>Lucknow</v>
          </cell>
          <cell r="B764" t="str">
            <v>Titans</v>
          </cell>
          <cell r="C764" t="str">
            <v>Mid Level</v>
          </cell>
          <cell r="D764" t="str">
            <v>Nitin Saxena</v>
          </cell>
          <cell r="E764" t="str">
            <v>-</v>
          </cell>
          <cell r="F764" t="str">
            <v>Non-MSP</v>
          </cell>
          <cell r="G764" t="str">
            <v>Rohit Gupta</v>
          </cell>
          <cell r="H764" t="str">
            <v>Hamza Ali</v>
          </cell>
          <cell r="J764" t="str">
            <v>ACH</v>
          </cell>
          <cell r="L764" t="str">
            <v>New</v>
          </cell>
          <cell r="M764">
            <v>46104</v>
          </cell>
          <cell r="N764">
            <v>98</v>
          </cell>
          <cell r="P764">
            <v>46469</v>
          </cell>
          <cell r="Q764" t="str">
            <v>PLC-4798</v>
          </cell>
          <cell r="R764" t="str">
            <v>Uranus Gabrielle Hill</v>
          </cell>
          <cell r="S764" t="str">
            <v>Split</v>
          </cell>
          <cell r="T764">
            <v>1099</v>
          </cell>
          <cell r="U764" t="str">
            <v>CoForge</v>
          </cell>
          <cell r="V764">
            <v>18</v>
          </cell>
          <cell r="W764">
            <v>27</v>
          </cell>
          <cell r="X764" t="str">
            <v>USD</v>
          </cell>
          <cell r="Y764">
            <v>23.5</v>
          </cell>
          <cell r="Z764">
            <v>35.25</v>
          </cell>
          <cell r="AA764">
            <v>0</v>
          </cell>
          <cell r="AB764">
            <v>0</v>
          </cell>
          <cell r="AC764">
            <v>46127</v>
          </cell>
          <cell r="AD764">
            <v>22</v>
          </cell>
          <cell r="AE764">
            <v>46387</v>
          </cell>
          <cell r="AF764">
            <v>19.260000000000002</v>
          </cell>
          <cell r="AG764">
            <v>28.89</v>
          </cell>
          <cell r="AH764">
            <v>19.260000000000002</v>
          </cell>
          <cell r="AI764">
            <v>23.5</v>
          </cell>
          <cell r="AJ764">
            <v>35.25</v>
          </cell>
          <cell r="AK764">
            <v>6.3599999999999994</v>
          </cell>
          <cell r="AL764">
            <v>4.2399999999999984</v>
          </cell>
          <cell r="AM764">
            <v>3.1799999999999997</v>
          </cell>
          <cell r="AN764">
            <v>2.1199999999999992</v>
          </cell>
          <cell r="AO764">
            <v>3.1799999999999997</v>
          </cell>
          <cell r="AP764">
            <v>2.1199999999999992</v>
          </cell>
          <cell r="AQ764" t="str">
            <v>US_27663</v>
          </cell>
          <cell r="AR764">
            <v>0</v>
          </cell>
          <cell r="AS764">
            <v>175.17</v>
          </cell>
          <cell r="AU764">
            <v>175.17</v>
          </cell>
          <cell r="AV764">
            <v>0</v>
          </cell>
          <cell r="AW764">
            <v>371.36039999999986</v>
          </cell>
          <cell r="AX764">
            <v>367.64679599999988</v>
          </cell>
          <cell r="AY764">
            <v>0</v>
          </cell>
          <cell r="AZ764">
            <v>371.36039999999986</v>
          </cell>
          <cell r="BA764">
            <v>367.64679599999988</v>
          </cell>
          <cell r="BB764">
            <v>371.36039999999986</v>
          </cell>
          <cell r="BC764">
            <v>50</v>
          </cell>
          <cell r="BD764">
            <v>485.29377071999983</v>
          </cell>
          <cell r="BE764">
            <v>485.29377071999983</v>
          </cell>
          <cell r="BG764">
            <v>367.64679599999988</v>
          </cell>
          <cell r="BI764">
            <v>367.64679599999988</v>
          </cell>
          <cell r="BJ764">
            <v>2058.2474999999999</v>
          </cell>
          <cell r="BK764">
            <v>2058.2474999999999</v>
          </cell>
          <cell r="BL764">
            <v>1576.53</v>
          </cell>
          <cell r="BM764">
            <v>1.2600000000000002</v>
          </cell>
          <cell r="BN764">
            <v>0</v>
          </cell>
          <cell r="BO764">
            <v>220.71420000000003</v>
          </cell>
          <cell r="BP764">
            <v>1797.2442000000001</v>
          </cell>
          <cell r="BQ764">
            <v>1.2600000000000002</v>
          </cell>
          <cell r="BR764">
            <v>261.00329999999997</v>
          </cell>
          <cell r="BT764">
            <v>2</v>
          </cell>
          <cell r="BU764">
            <v>1</v>
          </cell>
          <cell r="BV764" t="str">
            <v>Y</v>
          </cell>
          <cell r="BW764">
            <v>970.58754143999965</v>
          </cell>
          <cell r="BX764">
            <v>970.58754143999965</v>
          </cell>
          <cell r="BY764">
            <v>2026</v>
          </cell>
          <cell r="BZ764" t="str">
            <v>-</v>
          </cell>
          <cell r="CA764" t="str">
            <v>-</v>
          </cell>
        </row>
        <row r="765">
          <cell r="A765" t="str">
            <v>Lucknow</v>
          </cell>
          <cell r="B765" t="str">
            <v>Mavericks</v>
          </cell>
          <cell r="C765" t="str">
            <v>Mid Level</v>
          </cell>
          <cell r="D765" t="str">
            <v>Rohit Gupta</v>
          </cell>
          <cell r="E765" t="str">
            <v>-</v>
          </cell>
          <cell r="F765" t="str">
            <v>Non-MSP</v>
          </cell>
          <cell r="G765" t="str">
            <v>Nitin Saxena</v>
          </cell>
          <cell r="H765" t="str">
            <v>Hamza Ali</v>
          </cell>
          <cell r="J765" t="str">
            <v>ACH</v>
          </cell>
          <cell r="L765" t="str">
            <v>New</v>
          </cell>
          <cell r="M765">
            <v>46104</v>
          </cell>
          <cell r="N765">
            <v>98</v>
          </cell>
          <cell r="P765">
            <v>46469</v>
          </cell>
          <cell r="Q765" t="str">
            <v>PLC-4798</v>
          </cell>
          <cell r="R765" t="str">
            <v>Uranus Gabrielle Hill</v>
          </cell>
          <cell r="S765" t="str">
            <v>Split</v>
          </cell>
          <cell r="T765">
            <v>1099</v>
          </cell>
          <cell r="U765" t="str">
            <v>CoForge</v>
          </cell>
          <cell r="V765">
            <v>18</v>
          </cell>
          <cell r="W765">
            <v>27</v>
          </cell>
          <cell r="X765" t="str">
            <v>USD</v>
          </cell>
          <cell r="Y765">
            <v>23.5</v>
          </cell>
          <cell r="Z765">
            <v>35.25</v>
          </cell>
          <cell r="AA765">
            <v>0</v>
          </cell>
          <cell r="AB765">
            <v>0</v>
          </cell>
          <cell r="AC765">
            <v>46157</v>
          </cell>
          <cell r="AD765">
            <v>22</v>
          </cell>
          <cell r="AE765">
            <v>46387</v>
          </cell>
          <cell r="AF765">
            <v>19.260000000000002</v>
          </cell>
          <cell r="AG765">
            <v>28.89</v>
          </cell>
          <cell r="AH765">
            <v>19.260000000000002</v>
          </cell>
          <cell r="AI765">
            <v>23.5</v>
          </cell>
          <cell r="AJ765">
            <v>35.25</v>
          </cell>
          <cell r="AK765">
            <v>6.3599999999999994</v>
          </cell>
          <cell r="AL765">
            <v>4.2399999999999984</v>
          </cell>
          <cell r="AM765">
            <v>3.1799999999999997</v>
          </cell>
          <cell r="AN765">
            <v>2.1199999999999992</v>
          </cell>
          <cell r="AO765">
            <v>3.1799999999999997</v>
          </cell>
          <cell r="AP765">
            <v>2.1199999999999992</v>
          </cell>
          <cell r="AQ765" t="str">
            <v>US_27784_Rev</v>
          </cell>
          <cell r="AR765">
            <v>1</v>
          </cell>
          <cell r="AS765">
            <v>143.6</v>
          </cell>
          <cell r="AU765">
            <v>143.6</v>
          </cell>
          <cell r="AV765">
            <v>3.1799999999999997</v>
          </cell>
          <cell r="AW765">
            <v>304.4319999999999</v>
          </cell>
          <cell r="AX765">
            <v>304.53587999999991</v>
          </cell>
          <cell r="AY765">
            <v>3.1799999999999997</v>
          </cell>
          <cell r="AZ765">
            <v>304.4319999999999</v>
          </cell>
          <cell r="BA765">
            <v>304.53587999999991</v>
          </cell>
          <cell r="BB765">
            <v>304.4319999999999</v>
          </cell>
          <cell r="BC765">
            <v>50</v>
          </cell>
          <cell r="BD765">
            <v>401.98736159999987</v>
          </cell>
          <cell r="BE765">
            <v>401.98736159999987</v>
          </cell>
          <cell r="BG765">
            <v>304.53587999999991</v>
          </cell>
          <cell r="BI765">
            <v>304.53587999999991</v>
          </cell>
          <cell r="BJ765">
            <v>1687.3</v>
          </cell>
          <cell r="BK765">
            <v>1687.3</v>
          </cell>
          <cell r="BL765">
            <v>1292.3999999999999</v>
          </cell>
          <cell r="BM765">
            <v>1.2600000000000002</v>
          </cell>
          <cell r="BN765">
            <v>0</v>
          </cell>
          <cell r="BO765">
            <v>180.93600000000004</v>
          </cell>
          <cell r="BP765">
            <v>1473.3359999999998</v>
          </cell>
          <cell r="BQ765">
            <v>1.2600000000000002</v>
          </cell>
          <cell r="BR765">
            <v>213.96400000000006</v>
          </cell>
          <cell r="BT765">
            <v>2</v>
          </cell>
          <cell r="BU765">
            <v>1</v>
          </cell>
          <cell r="BV765" t="str">
            <v>Y</v>
          </cell>
          <cell r="BW765">
            <v>803.97472319999974</v>
          </cell>
          <cell r="BX765">
            <v>803.97472319999974</v>
          </cell>
          <cell r="BY765">
            <v>2026</v>
          </cell>
          <cell r="BZ765" t="str">
            <v>-</v>
          </cell>
          <cell r="CA765" t="str">
            <v>-</v>
          </cell>
        </row>
        <row r="766">
          <cell r="A766" t="str">
            <v>Lucknow</v>
          </cell>
          <cell r="B766" t="str">
            <v>Titans</v>
          </cell>
          <cell r="C766" t="str">
            <v>Mid Level</v>
          </cell>
          <cell r="D766" t="str">
            <v>Nitin Saxena</v>
          </cell>
          <cell r="E766" t="str">
            <v>-</v>
          </cell>
          <cell r="F766" t="str">
            <v>Non-MSP</v>
          </cell>
          <cell r="G766" t="str">
            <v>Rohit Gupta</v>
          </cell>
          <cell r="H766" t="str">
            <v>Hamza Ali</v>
          </cell>
          <cell r="J766" t="str">
            <v>ACH</v>
          </cell>
          <cell r="L766" t="str">
            <v>New</v>
          </cell>
          <cell r="M766">
            <v>46104</v>
          </cell>
          <cell r="N766">
            <v>98</v>
          </cell>
          <cell r="P766">
            <v>46469</v>
          </cell>
          <cell r="Q766" t="str">
            <v>PLC-4798</v>
          </cell>
          <cell r="R766" t="str">
            <v>Uranus Gabrielle Hill</v>
          </cell>
          <cell r="S766" t="str">
            <v>Split</v>
          </cell>
          <cell r="T766">
            <v>1099</v>
          </cell>
          <cell r="U766" t="str">
            <v>CoForge</v>
          </cell>
          <cell r="V766">
            <v>18</v>
          </cell>
          <cell r="W766">
            <v>27</v>
          </cell>
          <cell r="X766" t="str">
            <v>USD</v>
          </cell>
          <cell r="Y766">
            <v>23.5</v>
          </cell>
          <cell r="Z766">
            <v>35.25</v>
          </cell>
          <cell r="AA766">
            <v>0</v>
          </cell>
          <cell r="AB766">
            <v>0</v>
          </cell>
          <cell r="AC766">
            <v>46157</v>
          </cell>
          <cell r="AD766">
            <v>22</v>
          </cell>
          <cell r="AE766">
            <v>46387</v>
          </cell>
          <cell r="AF766">
            <v>19.260000000000002</v>
          </cell>
          <cell r="AG766">
            <v>28.89</v>
          </cell>
          <cell r="AH766">
            <v>19.260000000000002</v>
          </cell>
          <cell r="AI766">
            <v>23.5</v>
          </cell>
          <cell r="AJ766">
            <v>35.25</v>
          </cell>
          <cell r="AK766">
            <v>6.3599999999999994</v>
          </cell>
          <cell r="AL766">
            <v>4.2399999999999984</v>
          </cell>
          <cell r="AM766">
            <v>3.1799999999999997</v>
          </cell>
          <cell r="AN766">
            <v>2.1199999999999992</v>
          </cell>
          <cell r="AO766">
            <v>3.1799999999999997</v>
          </cell>
          <cell r="AP766">
            <v>2.1199999999999992</v>
          </cell>
          <cell r="AQ766" t="str">
            <v>US_27784_Rev</v>
          </cell>
          <cell r="AR766">
            <v>1</v>
          </cell>
          <cell r="AS766">
            <v>143.6</v>
          </cell>
          <cell r="AU766">
            <v>143.6</v>
          </cell>
          <cell r="AV766">
            <v>3.1799999999999997</v>
          </cell>
          <cell r="AW766">
            <v>304.4319999999999</v>
          </cell>
          <cell r="AX766">
            <v>304.53587999999991</v>
          </cell>
          <cell r="AY766">
            <v>3.1799999999999997</v>
          </cell>
          <cell r="AZ766">
            <v>304.4319999999999</v>
          </cell>
          <cell r="BA766">
            <v>304.53587999999991</v>
          </cell>
          <cell r="BB766">
            <v>304.4319999999999</v>
          </cell>
          <cell r="BC766">
            <v>50</v>
          </cell>
          <cell r="BD766">
            <v>401.98736159999987</v>
          </cell>
          <cell r="BE766">
            <v>401.98736159999987</v>
          </cell>
          <cell r="BG766">
            <v>304.53587999999991</v>
          </cell>
          <cell r="BI766">
            <v>304.53587999999991</v>
          </cell>
          <cell r="BJ766">
            <v>1687.3</v>
          </cell>
          <cell r="BK766">
            <v>1687.3</v>
          </cell>
          <cell r="BL766">
            <v>1292.3999999999999</v>
          </cell>
          <cell r="BM766">
            <v>1.2600000000000002</v>
          </cell>
          <cell r="BN766">
            <v>0</v>
          </cell>
          <cell r="BO766">
            <v>180.93600000000004</v>
          </cell>
          <cell r="BP766">
            <v>1473.3359999999998</v>
          </cell>
          <cell r="BQ766">
            <v>1.2600000000000002</v>
          </cell>
          <cell r="BR766">
            <v>213.96400000000006</v>
          </cell>
          <cell r="BT766">
            <v>2</v>
          </cell>
          <cell r="BU766">
            <v>1</v>
          </cell>
          <cell r="BV766" t="str">
            <v>Y</v>
          </cell>
          <cell r="BW766">
            <v>803.97472319999974</v>
          </cell>
          <cell r="BX766">
            <v>803.97472319999974</v>
          </cell>
          <cell r="BY766">
            <v>2026</v>
          </cell>
          <cell r="BZ766" t="str">
            <v>-</v>
          </cell>
          <cell r="CA766" t="str">
            <v>-</v>
          </cell>
        </row>
        <row r="767">
          <cell r="A767" t="str">
            <v>Lucknow</v>
          </cell>
          <cell r="B767" t="str">
            <v>Pioneer</v>
          </cell>
          <cell r="C767" t="str">
            <v>Mid Level</v>
          </cell>
          <cell r="D767" t="str">
            <v>Lucky Jain</v>
          </cell>
          <cell r="E767" t="str">
            <v>-</v>
          </cell>
          <cell r="F767" t="str">
            <v>Non-MSP</v>
          </cell>
          <cell r="H767" t="str">
            <v>Abhishek Rajpoot</v>
          </cell>
          <cell r="J767" t="str">
            <v>ACH</v>
          </cell>
          <cell r="L767" t="str">
            <v>New</v>
          </cell>
          <cell r="M767">
            <v>46093</v>
          </cell>
          <cell r="N767">
            <v>109</v>
          </cell>
          <cell r="P767">
            <v>46458</v>
          </cell>
          <cell r="Q767" t="str">
            <v>PLC-4764</v>
          </cell>
          <cell r="R767" t="str">
            <v>Usman Najam Moghal</v>
          </cell>
          <cell r="S767" t="str">
            <v>Individual</v>
          </cell>
          <cell r="T767" t="str">
            <v>C2C</v>
          </cell>
          <cell r="U767" t="str">
            <v>Visionet</v>
          </cell>
          <cell r="V767">
            <v>85</v>
          </cell>
          <cell r="W767">
            <v>0</v>
          </cell>
          <cell r="X767" t="str">
            <v>USD</v>
          </cell>
          <cell r="Y767">
            <v>100</v>
          </cell>
          <cell r="Z767">
            <v>0</v>
          </cell>
          <cell r="AA767">
            <v>0</v>
          </cell>
          <cell r="AB767">
            <v>0</v>
          </cell>
          <cell r="AC767">
            <v>46096</v>
          </cell>
          <cell r="AD767">
            <v>14</v>
          </cell>
          <cell r="AE767">
            <v>46387</v>
          </cell>
          <cell r="AF767">
            <v>85</v>
          </cell>
          <cell r="AG767">
            <v>0</v>
          </cell>
          <cell r="AH767">
            <v>85</v>
          </cell>
          <cell r="AI767">
            <v>100</v>
          </cell>
          <cell r="AJ767">
            <v>0</v>
          </cell>
          <cell r="AK767">
            <v>0</v>
          </cell>
          <cell r="AL767">
            <v>15</v>
          </cell>
          <cell r="AM767">
            <v>0</v>
          </cell>
          <cell r="AN767">
            <v>15</v>
          </cell>
          <cell r="AO767">
            <v>0</v>
          </cell>
          <cell r="AP767">
            <v>15</v>
          </cell>
          <cell r="AQ767" t="str">
            <v>US_27434</v>
          </cell>
          <cell r="AR767">
            <v>0</v>
          </cell>
          <cell r="AS767">
            <v>112</v>
          </cell>
          <cell r="AU767">
            <v>112</v>
          </cell>
          <cell r="AV767">
            <v>0</v>
          </cell>
          <cell r="AW767">
            <v>1680</v>
          </cell>
          <cell r="AX767">
            <v>1663.2</v>
          </cell>
          <cell r="AY767">
            <v>0</v>
          </cell>
          <cell r="AZ767">
            <v>1680</v>
          </cell>
          <cell r="BA767">
            <v>1663.2</v>
          </cell>
          <cell r="BB767">
            <v>1680</v>
          </cell>
          <cell r="BC767">
            <v>0</v>
          </cell>
          <cell r="BD767">
            <v>0</v>
          </cell>
          <cell r="BE767">
            <v>0</v>
          </cell>
          <cell r="BG767">
            <v>1663.2</v>
          </cell>
          <cell r="BI767">
            <v>1663.2</v>
          </cell>
          <cell r="BJ767">
            <v>11200</v>
          </cell>
          <cell r="BK767">
            <v>11200</v>
          </cell>
          <cell r="BL767">
            <v>9520</v>
          </cell>
          <cell r="BM767">
            <v>0</v>
          </cell>
          <cell r="BN767">
            <v>0</v>
          </cell>
          <cell r="BO767">
            <v>0</v>
          </cell>
          <cell r="BP767">
            <v>9520</v>
          </cell>
          <cell r="BQ767">
            <v>0</v>
          </cell>
          <cell r="BR767">
            <v>1680</v>
          </cell>
          <cell r="BS767" t="str">
            <v>Y</v>
          </cell>
          <cell r="BT767">
            <v>1</v>
          </cell>
          <cell r="BU767">
            <v>1</v>
          </cell>
          <cell r="BV767" t="str">
            <v>Y</v>
          </cell>
          <cell r="BW767">
            <v>0</v>
          </cell>
          <cell r="BX767">
            <v>0</v>
          </cell>
          <cell r="BY767">
            <v>2026</v>
          </cell>
          <cell r="BZ767" t="str">
            <v>-</v>
          </cell>
          <cell r="CA767" t="str">
            <v>-</v>
          </cell>
        </row>
        <row r="768">
          <cell r="A768" t="str">
            <v>Lucknow</v>
          </cell>
          <cell r="B768" t="str">
            <v>Pioneer</v>
          </cell>
          <cell r="C768" t="str">
            <v>Mid Level</v>
          </cell>
          <cell r="D768" t="str">
            <v>Lucky Jain</v>
          </cell>
          <cell r="E768" t="str">
            <v>-</v>
          </cell>
          <cell r="F768" t="str">
            <v>Non-MSP</v>
          </cell>
          <cell r="H768" t="str">
            <v>Abhishek Rajpoot</v>
          </cell>
          <cell r="J768" t="str">
            <v>ACH</v>
          </cell>
          <cell r="L768" t="str">
            <v>New</v>
          </cell>
          <cell r="M768">
            <v>46093</v>
          </cell>
          <cell r="N768">
            <v>109</v>
          </cell>
          <cell r="P768">
            <v>46458</v>
          </cell>
          <cell r="Q768" t="str">
            <v>PLC-4764</v>
          </cell>
          <cell r="R768" t="str">
            <v>Usman Najam Moghal</v>
          </cell>
          <cell r="S768" t="str">
            <v>Individual</v>
          </cell>
          <cell r="T768" t="str">
            <v>C2C</v>
          </cell>
          <cell r="U768" t="str">
            <v>Visionet</v>
          </cell>
          <cell r="V768">
            <v>85</v>
          </cell>
          <cell r="W768">
            <v>0</v>
          </cell>
          <cell r="X768" t="str">
            <v>USD</v>
          </cell>
          <cell r="Y768">
            <v>100</v>
          </cell>
          <cell r="Z768">
            <v>0</v>
          </cell>
          <cell r="AA768">
            <v>0</v>
          </cell>
          <cell r="AB768">
            <v>0</v>
          </cell>
          <cell r="AC768">
            <v>46127</v>
          </cell>
          <cell r="AD768">
            <v>22</v>
          </cell>
          <cell r="AE768">
            <v>46387</v>
          </cell>
          <cell r="AF768">
            <v>85</v>
          </cell>
          <cell r="AG768">
            <v>0</v>
          </cell>
          <cell r="AH768">
            <v>85</v>
          </cell>
          <cell r="AI768">
            <v>100</v>
          </cell>
          <cell r="AJ768">
            <v>0</v>
          </cell>
          <cell r="AK768">
            <v>0</v>
          </cell>
          <cell r="AL768">
            <v>15</v>
          </cell>
          <cell r="AM768">
            <v>0</v>
          </cell>
          <cell r="AN768">
            <v>15</v>
          </cell>
          <cell r="AO768">
            <v>0</v>
          </cell>
          <cell r="AP768">
            <v>15</v>
          </cell>
          <cell r="AQ768" t="str">
            <v>US_27664</v>
          </cell>
          <cell r="AR768">
            <v>0</v>
          </cell>
          <cell r="AS768">
            <v>176</v>
          </cell>
          <cell r="AU768">
            <v>176</v>
          </cell>
          <cell r="AV768">
            <v>0</v>
          </cell>
          <cell r="AW768">
            <v>2640</v>
          </cell>
          <cell r="AX768">
            <v>2613.6</v>
          </cell>
          <cell r="AY768">
            <v>0</v>
          </cell>
          <cell r="AZ768">
            <v>2640</v>
          </cell>
          <cell r="BA768">
            <v>2613.6</v>
          </cell>
          <cell r="BB768">
            <v>2640</v>
          </cell>
          <cell r="BC768">
            <v>0</v>
          </cell>
          <cell r="BD768">
            <v>0</v>
          </cell>
          <cell r="BE768">
            <v>0</v>
          </cell>
          <cell r="BG768">
            <v>2613.6</v>
          </cell>
          <cell r="BI768">
            <v>2613.6</v>
          </cell>
          <cell r="BJ768">
            <v>17600</v>
          </cell>
          <cell r="BK768">
            <v>17600</v>
          </cell>
          <cell r="BL768">
            <v>14960</v>
          </cell>
          <cell r="BM768">
            <v>0</v>
          </cell>
          <cell r="BN768">
            <v>0</v>
          </cell>
          <cell r="BO768">
            <v>0</v>
          </cell>
          <cell r="BP768">
            <v>14960</v>
          </cell>
          <cell r="BQ768">
            <v>0</v>
          </cell>
          <cell r="BR768">
            <v>2640</v>
          </cell>
          <cell r="BS768" t="str">
            <v>Y</v>
          </cell>
          <cell r="BT768">
            <v>2</v>
          </cell>
          <cell r="BU768">
            <v>1</v>
          </cell>
          <cell r="BV768" t="str">
            <v>N</v>
          </cell>
          <cell r="BW768">
            <v>0</v>
          </cell>
          <cell r="BX768">
            <v>0</v>
          </cell>
          <cell r="BY768">
            <v>2026</v>
          </cell>
          <cell r="BZ768" t="str">
            <v>-</v>
          </cell>
          <cell r="CA768" t="str">
            <v>-</v>
          </cell>
        </row>
        <row r="769">
          <cell r="A769" t="str">
            <v>Lucknow</v>
          </cell>
          <cell r="B769" t="str">
            <v>Pioneer</v>
          </cell>
          <cell r="C769" t="str">
            <v>Mid Level</v>
          </cell>
          <cell r="D769" t="str">
            <v>Lucky Jain</v>
          </cell>
          <cell r="E769" t="str">
            <v>-</v>
          </cell>
          <cell r="F769" t="str">
            <v>Non-MSP</v>
          </cell>
          <cell r="H769" t="str">
            <v>Abhishek Rajpoot</v>
          </cell>
          <cell r="J769" t="str">
            <v>ACH</v>
          </cell>
          <cell r="L769" t="str">
            <v>New</v>
          </cell>
          <cell r="M769">
            <v>46093</v>
          </cell>
          <cell r="N769">
            <v>109</v>
          </cell>
          <cell r="P769">
            <v>46458</v>
          </cell>
          <cell r="Q769" t="str">
            <v>PLC-4764</v>
          </cell>
          <cell r="R769" t="str">
            <v>Usman Najam Moghal</v>
          </cell>
          <cell r="S769" t="str">
            <v>Individual</v>
          </cell>
          <cell r="T769" t="str">
            <v>C2C</v>
          </cell>
          <cell r="U769" t="str">
            <v>Visionet</v>
          </cell>
          <cell r="V769">
            <v>85</v>
          </cell>
          <cell r="W769">
            <v>0</v>
          </cell>
          <cell r="X769" t="str">
            <v>USD</v>
          </cell>
          <cell r="Y769">
            <v>100</v>
          </cell>
          <cell r="Z769">
            <v>0</v>
          </cell>
          <cell r="AA769">
            <v>0</v>
          </cell>
          <cell r="AB769">
            <v>0</v>
          </cell>
          <cell r="AC769">
            <v>46157</v>
          </cell>
          <cell r="AD769">
            <v>22</v>
          </cell>
          <cell r="AE769">
            <v>46387</v>
          </cell>
          <cell r="AF769">
            <v>85</v>
          </cell>
          <cell r="AG769">
            <v>0</v>
          </cell>
          <cell r="AH769">
            <v>85</v>
          </cell>
          <cell r="AI769">
            <v>100</v>
          </cell>
          <cell r="AJ769">
            <v>0</v>
          </cell>
          <cell r="AK769">
            <v>0</v>
          </cell>
          <cell r="AL769">
            <v>15</v>
          </cell>
          <cell r="AM769">
            <v>0</v>
          </cell>
          <cell r="AN769">
            <v>15</v>
          </cell>
          <cell r="AO769">
            <v>0</v>
          </cell>
          <cell r="AP769">
            <v>15</v>
          </cell>
          <cell r="AQ769" t="str">
            <v>US_27939</v>
          </cell>
          <cell r="AR769">
            <v>0</v>
          </cell>
          <cell r="AS769">
            <v>152</v>
          </cell>
          <cell r="AU769">
            <v>152</v>
          </cell>
          <cell r="AV769">
            <v>0</v>
          </cell>
          <cell r="AW769">
            <v>2280</v>
          </cell>
          <cell r="AX769">
            <v>2257.1999999999998</v>
          </cell>
          <cell r="AY769">
            <v>0</v>
          </cell>
          <cell r="AZ769">
            <v>2280</v>
          </cell>
          <cell r="BA769">
            <v>2257.1999999999998</v>
          </cell>
          <cell r="BB769">
            <v>2280</v>
          </cell>
          <cell r="BC769">
            <v>0</v>
          </cell>
          <cell r="BD769">
            <v>0</v>
          </cell>
          <cell r="BE769">
            <v>0</v>
          </cell>
          <cell r="BG769">
            <v>2257.1999999999998</v>
          </cell>
          <cell r="BI769">
            <v>2257.1999999999998</v>
          </cell>
          <cell r="BJ769">
            <v>15200</v>
          </cell>
          <cell r="BK769">
            <v>15200</v>
          </cell>
          <cell r="BL769">
            <v>12920</v>
          </cell>
          <cell r="BM769">
            <v>0</v>
          </cell>
          <cell r="BN769">
            <v>0</v>
          </cell>
          <cell r="BO769">
            <v>0</v>
          </cell>
          <cell r="BP769">
            <v>12920</v>
          </cell>
          <cell r="BQ769">
            <v>0</v>
          </cell>
          <cell r="BR769">
            <v>2280</v>
          </cell>
          <cell r="BT769">
            <v>2</v>
          </cell>
          <cell r="BU769">
            <v>1</v>
          </cell>
          <cell r="BV769" t="str">
            <v>N</v>
          </cell>
          <cell r="BW769">
            <v>0</v>
          </cell>
          <cell r="BX769">
            <v>0</v>
          </cell>
          <cell r="BY769">
            <v>2026</v>
          </cell>
          <cell r="BZ769" t="str">
            <v>-</v>
          </cell>
          <cell r="CA769" t="str">
            <v>-</v>
          </cell>
        </row>
        <row r="770">
          <cell r="A770" t="str">
            <v>Lucknow</v>
          </cell>
          <cell r="B770" t="str">
            <v>Mavericks</v>
          </cell>
          <cell r="C770" t="str">
            <v>Mid Level</v>
          </cell>
          <cell r="D770" t="str">
            <v>Mohammad Fakhrul</v>
          </cell>
          <cell r="E770" t="str">
            <v>-</v>
          </cell>
          <cell r="F770" t="str">
            <v>MSP</v>
          </cell>
          <cell r="H770" t="str">
            <v>Pass Through/MSP</v>
          </cell>
          <cell r="L770" t="str">
            <v>New</v>
          </cell>
          <cell r="M770">
            <v>46070</v>
          </cell>
          <cell r="N770">
            <v>132</v>
          </cell>
          <cell r="P770">
            <v>46435</v>
          </cell>
          <cell r="Q770" t="str">
            <v>PLC-Passthrough</v>
          </cell>
          <cell r="R770" t="str">
            <v>Vaibhav Mehra</v>
          </cell>
          <cell r="S770" t="str">
            <v>Individual</v>
          </cell>
          <cell r="T770" t="str">
            <v>C2C</v>
          </cell>
          <cell r="U770" t="str">
            <v>CoForge</v>
          </cell>
          <cell r="V770">
            <v>105</v>
          </cell>
          <cell r="W770">
            <v>0</v>
          </cell>
          <cell r="X770" t="str">
            <v>USD</v>
          </cell>
          <cell r="Y770">
            <v>106</v>
          </cell>
          <cell r="Z770">
            <v>0</v>
          </cell>
          <cell r="AA770">
            <v>0</v>
          </cell>
          <cell r="AB770">
            <v>0</v>
          </cell>
          <cell r="AC770">
            <v>46068</v>
          </cell>
          <cell r="AD770">
            <v>9</v>
          </cell>
          <cell r="AE770">
            <v>46387</v>
          </cell>
          <cell r="AF770">
            <v>105</v>
          </cell>
          <cell r="AG770">
            <v>0</v>
          </cell>
          <cell r="AH770">
            <v>105</v>
          </cell>
          <cell r="AI770">
            <v>106</v>
          </cell>
          <cell r="AJ770">
            <v>0</v>
          </cell>
          <cell r="AK770">
            <v>0</v>
          </cell>
          <cell r="AL770">
            <v>1</v>
          </cell>
          <cell r="AM770">
            <v>0</v>
          </cell>
          <cell r="AN770">
            <v>1</v>
          </cell>
          <cell r="AO770">
            <v>0</v>
          </cell>
          <cell r="AP770">
            <v>1</v>
          </cell>
          <cell r="AQ770" t="str">
            <v>US_CMSP_00439</v>
          </cell>
          <cell r="AR770">
            <v>0</v>
          </cell>
          <cell r="AS770">
            <v>72</v>
          </cell>
          <cell r="AU770">
            <v>72</v>
          </cell>
          <cell r="AV770">
            <v>0</v>
          </cell>
          <cell r="AW770">
            <v>72</v>
          </cell>
          <cell r="AX770">
            <v>72</v>
          </cell>
          <cell r="AY770">
            <v>0</v>
          </cell>
          <cell r="AZ770">
            <v>72</v>
          </cell>
          <cell r="BA770">
            <v>72</v>
          </cell>
          <cell r="BB770">
            <v>72</v>
          </cell>
          <cell r="BC770">
            <v>0</v>
          </cell>
          <cell r="BD770">
            <v>0</v>
          </cell>
          <cell r="BE770">
            <v>0</v>
          </cell>
          <cell r="BG770">
            <v>72</v>
          </cell>
          <cell r="BI770">
            <v>72</v>
          </cell>
          <cell r="BJ770">
            <v>7632</v>
          </cell>
          <cell r="BK770">
            <v>7632</v>
          </cell>
          <cell r="BL770">
            <v>7560</v>
          </cell>
          <cell r="BM770">
            <v>0</v>
          </cell>
          <cell r="BN770">
            <v>0</v>
          </cell>
          <cell r="BO770">
            <v>0</v>
          </cell>
          <cell r="BP770">
            <v>7560</v>
          </cell>
          <cell r="BQ770">
            <v>0</v>
          </cell>
          <cell r="BR770">
            <v>72</v>
          </cell>
          <cell r="BS770" t="str">
            <v>Y</v>
          </cell>
          <cell r="BT770">
            <v>1</v>
          </cell>
          <cell r="BU770">
            <v>1</v>
          </cell>
          <cell r="BV770" t="str">
            <v>N</v>
          </cell>
          <cell r="BW770">
            <v>0</v>
          </cell>
          <cell r="BX770">
            <v>0</v>
          </cell>
          <cell r="BY770">
            <v>2026</v>
          </cell>
          <cell r="BZ770" t="str">
            <v>-</v>
          </cell>
          <cell r="CA770" t="str">
            <v>-</v>
          </cell>
        </row>
        <row r="771">
          <cell r="A771" t="str">
            <v>Lucknow</v>
          </cell>
          <cell r="B771" t="str">
            <v>Mavericks</v>
          </cell>
          <cell r="C771" t="str">
            <v>Mid Level</v>
          </cell>
          <cell r="D771" t="str">
            <v>Mohammad Fakhrul</v>
          </cell>
          <cell r="E771" t="str">
            <v>-</v>
          </cell>
          <cell r="F771" t="str">
            <v>MSP</v>
          </cell>
          <cell r="H771" t="str">
            <v>Pass Through/MSP</v>
          </cell>
          <cell r="L771" t="str">
            <v>New</v>
          </cell>
          <cell r="M771">
            <v>46070</v>
          </cell>
          <cell r="N771">
            <v>132</v>
          </cell>
          <cell r="P771">
            <v>46435</v>
          </cell>
          <cell r="Q771" t="str">
            <v>PLC-Passthrough</v>
          </cell>
          <cell r="R771" t="str">
            <v>Vaibhav Mehra</v>
          </cell>
          <cell r="S771" t="str">
            <v>Individual</v>
          </cell>
          <cell r="T771" t="str">
            <v>C2C</v>
          </cell>
          <cell r="U771" t="str">
            <v>CoForge</v>
          </cell>
          <cell r="V771">
            <v>105</v>
          </cell>
          <cell r="W771">
            <v>0</v>
          </cell>
          <cell r="X771" t="str">
            <v>USD</v>
          </cell>
          <cell r="Y771">
            <v>106</v>
          </cell>
          <cell r="Z771">
            <v>0</v>
          </cell>
          <cell r="AA771">
            <v>0</v>
          </cell>
          <cell r="AB771">
            <v>0</v>
          </cell>
          <cell r="AC771">
            <v>46096</v>
          </cell>
          <cell r="AD771">
            <v>22</v>
          </cell>
          <cell r="AE771">
            <v>46387</v>
          </cell>
          <cell r="AF771">
            <v>105</v>
          </cell>
          <cell r="AG771">
            <v>0</v>
          </cell>
          <cell r="AH771">
            <v>105</v>
          </cell>
          <cell r="AI771">
            <v>106</v>
          </cell>
          <cell r="AJ771">
            <v>0</v>
          </cell>
          <cell r="AK771">
            <v>0</v>
          </cell>
          <cell r="AL771">
            <v>1</v>
          </cell>
          <cell r="AM771">
            <v>0</v>
          </cell>
          <cell r="AN771">
            <v>1</v>
          </cell>
          <cell r="AO771">
            <v>0</v>
          </cell>
          <cell r="AP771">
            <v>1</v>
          </cell>
          <cell r="AQ771" t="str">
            <v>US_CMSP_00547</v>
          </cell>
          <cell r="AR771">
            <v>0</v>
          </cell>
          <cell r="AS771">
            <v>176</v>
          </cell>
          <cell r="AU771">
            <v>176</v>
          </cell>
          <cell r="AV771">
            <v>0</v>
          </cell>
          <cell r="AW771">
            <v>176</v>
          </cell>
          <cell r="AX771">
            <v>176</v>
          </cell>
          <cell r="AY771">
            <v>0</v>
          </cell>
          <cell r="AZ771">
            <v>176</v>
          </cell>
          <cell r="BA771">
            <v>176</v>
          </cell>
          <cell r="BB771">
            <v>176</v>
          </cell>
          <cell r="BC771">
            <v>0</v>
          </cell>
          <cell r="BD771">
            <v>0</v>
          </cell>
          <cell r="BE771">
            <v>0</v>
          </cell>
          <cell r="BG771">
            <v>176</v>
          </cell>
          <cell r="BI771">
            <v>176</v>
          </cell>
          <cell r="BJ771">
            <v>18656</v>
          </cell>
          <cell r="BK771">
            <v>18656</v>
          </cell>
          <cell r="BL771">
            <v>18480</v>
          </cell>
          <cell r="BM771">
            <v>0</v>
          </cell>
          <cell r="BN771">
            <v>0</v>
          </cell>
          <cell r="BO771">
            <v>0</v>
          </cell>
          <cell r="BP771">
            <v>18480</v>
          </cell>
          <cell r="BQ771">
            <v>0</v>
          </cell>
          <cell r="BR771">
            <v>176</v>
          </cell>
          <cell r="BS771" t="str">
            <v>Y</v>
          </cell>
          <cell r="BT771">
            <v>1</v>
          </cell>
          <cell r="BU771">
            <v>1</v>
          </cell>
          <cell r="BV771" t="str">
            <v>N</v>
          </cell>
          <cell r="BW771">
            <v>0</v>
          </cell>
          <cell r="BX771">
            <v>0</v>
          </cell>
          <cell r="BY771">
            <v>2026</v>
          </cell>
          <cell r="BZ771" t="str">
            <v>-</v>
          </cell>
          <cell r="CA771" t="str">
            <v>-</v>
          </cell>
        </row>
        <row r="772">
          <cell r="A772" t="str">
            <v>Lucknow</v>
          </cell>
          <cell r="B772" t="str">
            <v>Mavericks</v>
          </cell>
          <cell r="C772" t="str">
            <v>Mid Level</v>
          </cell>
          <cell r="D772" t="str">
            <v>Mohammad Fakhrul</v>
          </cell>
          <cell r="E772" t="str">
            <v>-</v>
          </cell>
          <cell r="F772" t="str">
            <v>MSP</v>
          </cell>
          <cell r="H772" t="str">
            <v>Pass Through/MSP</v>
          </cell>
          <cell r="J772" t="str">
            <v>ACH</v>
          </cell>
          <cell r="L772" t="str">
            <v>New</v>
          </cell>
          <cell r="M772">
            <v>46070</v>
          </cell>
          <cell r="N772">
            <v>132</v>
          </cell>
          <cell r="P772">
            <v>46435</v>
          </cell>
          <cell r="Q772" t="str">
            <v>PLC-Passthrough</v>
          </cell>
          <cell r="R772" t="str">
            <v>Vaibhav Mehra</v>
          </cell>
          <cell r="S772" t="str">
            <v>Individual</v>
          </cell>
          <cell r="T772" t="str">
            <v>C2C</v>
          </cell>
          <cell r="U772" t="str">
            <v>CoForge</v>
          </cell>
          <cell r="V772">
            <v>105</v>
          </cell>
          <cell r="W772">
            <v>0</v>
          </cell>
          <cell r="X772" t="str">
            <v>USD</v>
          </cell>
          <cell r="Y772">
            <v>106</v>
          </cell>
          <cell r="Z772">
            <v>0</v>
          </cell>
          <cell r="AA772">
            <v>0</v>
          </cell>
          <cell r="AB772">
            <v>0</v>
          </cell>
          <cell r="AC772">
            <v>46127</v>
          </cell>
          <cell r="AD772">
            <v>22</v>
          </cell>
          <cell r="AE772">
            <v>46387</v>
          </cell>
          <cell r="AF772">
            <v>105</v>
          </cell>
          <cell r="AG772">
            <v>0</v>
          </cell>
          <cell r="AH772">
            <v>105</v>
          </cell>
          <cell r="AI772">
            <v>106</v>
          </cell>
          <cell r="AJ772">
            <v>0</v>
          </cell>
          <cell r="AK772">
            <v>0</v>
          </cell>
          <cell r="AL772">
            <v>1</v>
          </cell>
          <cell r="AM772">
            <v>0</v>
          </cell>
          <cell r="AN772">
            <v>1</v>
          </cell>
          <cell r="AO772">
            <v>0</v>
          </cell>
          <cell r="AP772">
            <v>1</v>
          </cell>
          <cell r="AQ772" t="str">
            <v>US_CMSP_00694</v>
          </cell>
          <cell r="AR772">
            <v>0</v>
          </cell>
          <cell r="AS772">
            <v>168</v>
          </cell>
          <cell r="AU772">
            <v>168</v>
          </cell>
          <cell r="AV772">
            <v>0</v>
          </cell>
          <cell r="AW772">
            <v>168</v>
          </cell>
          <cell r="AX772">
            <v>166.32</v>
          </cell>
          <cell r="AY772">
            <v>0</v>
          </cell>
          <cell r="AZ772">
            <v>168</v>
          </cell>
          <cell r="BA772">
            <v>166.32</v>
          </cell>
          <cell r="BB772">
            <v>168</v>
          </cell>
          <cell r="BC772">
            <v>0</v>
          </cell>
          <cell r="BD772">
            <v>0</v>
          </cell>
          <cell r="BE772">
            <v>0</v>
          </cell>
          <cell r="BG772">
            <v>166.32</v>
          </cell>
          <cell r="BI772">
            <v>166.32</v>
          </cell>
          <cell r="BJ772">
            <v>17808</v>
          </cell>
          <cell r="BK772">
            <v>17808</v>
          </cell>
          <cell r="BL772">
            <v>17640</v>
          </cell>
          <cell r="BM772">
            <v>0</v>
          </cell>
          <cell r="BN772">
            <v>0</v>
          </cell>
          <cell r="BO772">
            <v>0</v>
          </cell>
          <cell r="BP772">
            <v>17640</v>
          </cell>
          <cell r="BQ772">
            <v>0</v>
          </cell>
          <cell r="BR772">
            <v>168</v>
          </cell>
          <cell r="BS772" t="str">
            <v>Y</v>
          </cell>
          <cell r="BT772">
            <v>2</v>
          </cell>
          <cell r="BU772">
            <v>1</v>
          </cell>
          <cell r="BV772" t="str">
            <v>N</v>
          </cell>
          <cell r="BW772">
            <v>0</v>
          </cell>
          <cell r="BX772">
            <v>0</v>
          </cell>
          <cell r="BY772">
            <v>2026</v>
          </cell>
          <cell r="BZ772" t="str">
            <v>-</v>
          </cell>
          <cell r="CA772" t="str">
            <v>-</v>
          </cell>
        </row>
        <row r="773">
          <cell r="A773" t="str">
            <v>Lucknow</v>
          </cell>
          <cell r="B773" t="str">
            <v>Mavericks</v>
          </cell>
          <cell r="C773" t="str">
            <v>Mid Level</v>
          </cell>
          <cell r="D773" t="str">
            <v>Mohammad Fakhrul</v>
          </cell>
          <cell r="E773" t="str">
            <v>-</v>
          </cell>
          <cell r="F773" t="str">
            <v>MSP</v>
          </cell>
          <cell r="H773" t="str">
            <v>Pass Through/MSP</v>
          </cell>
          <cell r="J773" t="str">
            <v>ACH</v>
          </cell>
          <cell r="L773" t="str">
            <v>New</v>
          </cell>
          <cell r="M773">
            <v>46070</v>
          </cell>
          <cell r="N773">
            <v>132</v>
          </cell>
          <cell r="P773">
            <v>46435</v>
          </cell>
          <cell r="Q773" t="str">
            <v>PLC-Passthrough</v>
          </cell>
          <cell r="R773" t="str">
            <v>Vaibhav Mehra</v>
          </cell>
          <cell r="S773" t="str">
            <v>Individual</v>
          </cell>
          <cell r="T773" t="str">
            <v>C2C</v>
          </cell>
          <cell r="U773" t="str">
            <v>CoForge</v>
          </cell>
          <cell r="V773">
            <v>105</v>
          </cell>
          <cell r="W773">
            <v>0</v>
          </cell>
          <cell r="X773" t="str">
            <v>USD</v>
          </cell>
          <cell r="Y773">
            <v>106</v>
          </cell>
          <cell r="Z773">
            <v>0</v>
          </cell>
          <cell r="AA773">
            <v>0</v>
          </cell>
          <cell r="AB773">
            <v>0</v>
          </cell>
          <cell r="AC773">
            <v>46157</v>
          </cell>
          <cell r="AD773">
            <v>22</v>
          </cell>
          <cell r="AE773">
            <v>46387</v>
          </cell>
          <cell r="AF773">
            <v>105</v>
          </cell>
          <cell r="AG773">
            <v>0</v>
          </cell>
          <cell r="AH773">
            <v>105</v>
          </cell>
          <cell r="AI773">
            <v>106</v>
          </cell>
          <cell r="AJ773">
            <v>0</v>
          </cell>
          <cell r="AK773">
            <v>0</v>
          </cell>
          <cell r="AL773">
            <v>1</v>
          </cell>
          <cell r="AM773">
            <v>0</v>
          </cell>
          <cell r="AN773">
            <v>1</v>
          </cell>
          <cell r="AO773">
            <v>0</v>
          </cell>
          <cell r="AP773">
            <v>1</v>
          </cell>
          <cell r="AQ773" t="str">
            <v>US_CMSP_00854</v>
          </cell>
          <cell r="AR773">
            <v>0</v>
          </cell>
          <cell r="AS773">
            <v>160</v>
          </cell>
          <cell r="AU773">
            <v>160</v>
          </cell>
          <cell r="AV773">
            <v>0</v>
          </cell>
          <cell r="AW773">
            <v>160</v>
          </cell>
          <cell r="AX773">
            <v>158.4</v>
          </cell>
          <cell r="AY773">
            <v>0</v>
          </cell>
          <cell r="AZ773">
            <v>160</v>
          </cell>
          <cell r="BA773">
            <v>158.4</v>
          </cell>
          <cell r="BB773">
            <v>160</v>
          </cell>
          <cell r="BC773">
            <v>0</v>
          </cell>
          <cell r="BD773">
            <v>0</v>
          </cell>
          <cell r="BE773">
            <v>0</v>
          </cell>
          <cell r="BG773">
            <v>158.4</v>
          </cell>
          <cell r="BI773">
            <v>158.4</v>
          </cell>
          <cell r="BJ773">
            <v>16960</v>
          </cell>
          <cell r="BK773">
            <v>16960</v>
          </cell>
          <cell r="BL773">
            <v>16800</v>
          </cell>
          <cell r="BM773">
            <v>0</v>
          </cell>
          <cell r="BN773">
            <v>0</v>
          </cell>
          <cell r="BO773">
            <v>0</v>
          </cell>
          <cell r="BP773">
            <v>16800</v>
          </cell>
          <cell r="BQ773">
            <v>0</v>
          </cell>
          <cell r="BR773">
            <v>160</v>
          </cell>
          <cell r="BT773">
            <v>2</v>
          </cell>
          <cell r="BU773">
            <v>1</v>
          </cell>
          <cell r="BV773" t="str">
            <v>N</v>
          </cell>
          <cell r="BW773">
            <v>0</v>
          </cell>
          <cell r="BX773">
            <v>0</v>
          </cell>
          <cell r="BY773">
            <v>2026</v>
          </cell>
          <cell r="BZ773" t="str">
            <v>-</v>
          </cell>
          <cell r="CA773" t="str">
            <v>-</v>
          </cell>
        </row>
        <row r="774">
          <cell r="A774" t="str">
            <v>Lucknow</v>
          </cell>
          <cell r="B774" t="str">
            <v>Mavericks</v>
          </cell>
          <cell r="C774" t="str">
            <v>Mid Level</v>
          </cell>
          <cell r="D774" t="str">
            <v>Mohammad Fakhrul</v>
          </cell>
          <cell r="E774" t="str">
            <v>-</v>
          </cell>
          <cell r="F774" t="str">
            <v>MSP</v>
          </cell>
          <cell r="H774" t="str">
            <v>Pass Through/MSP</v>
          </cell>
          <cell r="L774" t="str">
            <v>New</v>
          </cell>
          <cell r="M774">
            <v>46097</v>
          </cell>
          <cell r="N774">
            <v>105</v>
          </cell>
          <cell r="P774">
            <v>46462</v>
          </cell>
          <cell r="Q774" t="str">
            <v>PLC-Passthrough</v>
          </cell>
          <cell r="R774" t="str">
            <v>Vamsi Kishore Sundara</v>
          </cell>
          <cell r="S774" t="str">
            <v>Individual</v>
          </cell>
          <cell r="T774" t="str">
            <v>C2C Canada</v>
          </cell>
          <cell r="U774" t="str">
            <v>Cigniti</v>
          </cell>
          <cell r="V774">
            <v>69</v>
          </cell>
          <cell r="W774">
            <v>0</v>
          </cell>
          <cell r="X774" t="str">
            <v>CAD</v>
          </cell>
          <cell r="Y774">
            <v>70</v>
          </cell>
          <cell r="Z774">
            <v>0</v>
          </cell>
          <cell r="AA774">
            <v>0</v>
          </cell>
          <cell r="AB774">
            <v>0</v>
          </cell>
          <cell r="AC774">
            <v>46096</v>
          </cell>
          <cell r="AD774">
            <v>12</v>
          </cell>
          <cell r="AE774">
            <v>46387</v>
          </cell>
          <cell r="AF774">
            <v>48.989999999999995</v>
          </cell>
          <cell r="AG774">
            <v>0</v>
          </cell>
          <cell r="AH774">
            <v>48.989999999999995</v>
          </cell>
          <cell r="AI774">
            <v>49.699999999999996</v>
          </cell>
          <cell r="AJ774">
            <v>0</v>
          </cell>
          <cell r="AK774">
            <v>0</v>
          </cell>
          <cell r="AL774">
            <v>0.71000000000000085</v>
          </cell>
          <cell r="AM774">
            <v>0</v>
          </cell>
          <cell r="AN774">
            <v>0.71000000000000085</v>
          </cell>
          <cell r="AO774">
            <v>0</v>
          </cell>
          <cell r="AP774">
            <v>0.71000000000000085</v>
          </cell>
          <cell r="AQ774" t="str">
            <v>CAD_2067</v>
          </cell>
          <cell r="AR774">
            <v>0</v>
          </cell>
          <cell r="AS774">
            <v>96</v>
          </cell>
          <cell r="AU774">
            <v>96</v>
          </cell>
          <cell r="AV774">
            <v>0</v>
          </cell>
          <cell r="AW774">
            <v>68.160000000000082</v>
          </cell>
          <cell r="AX774">
            <v>68.160000000000082</v>
          </cell>
          <cell r="AY774">
            <v>0</v>
          </cell>
          <cell r="AZ774">
            <v>68.160000000000082</v>
          </cell>
          <cell r="BA774">
            <v>68.160000000000082</v>
          </cell>
          <cell r="BB774">
            <v>68.160000000000082</v>
          </cell>
          <cell r="BC774">
            <v>0</v>
          </cell>
          <cell r="BD774">
            <v>0</v>
          </cell>
          <cell r="BE774">
            <v>0</v>
          </cell>
          <cell r="BG774">
            <v>68.160000000000082</v>
          </cell>
          <cell r="BI774">
            <v>68.160000000000082</v>
          </cell>
          <cell r="BJ774">
            <v>6720</v>
          </cell>
          <cell r="BK774">
            <v>4771.2</v>
          </cell>
          <cell r="BL774">
            <v>4907.7215999999999</v>
          </cell>
          <cell r="BM774">
            <v>0</v>
          </cell>
          <cell r="BN774">
            <v>0</v>
          </cell>
          <cell r="BO774">
            <v>0</v>
          </cell>
          <cell r="BP774">
            <v>4907.7215999999999</v>
          </cell>
          <cell r="BQ774">
            <v>0</v>
          </cell>
          <cell r="BR774">
            <v>-136.52160000000003</v>
          </cell>
          <cell r="BS774" t="str">
            <v>Y</v>
          </cell>
          <cell r="BT774">
            <v>1</v>
          </cell>
          <cell r="BU774">
            <v>1</v>
          </cell>
          <cell r="BV774" t="str">
            <v>N</v>
          </cell>
          <cell r="BW774">
            <v>0</v>
          </cell>
          <cell r="BX774">
            <v>0</v>
          </cell>
          <cell r="BY774">
            <v>2026</v>
          </cell>
          <cell r="BZ774" t="str">
            <v>-</v>
          </cell>
          <cell r="CA774" t="str">
            <v>-</v>
          </cell>
        </row>
        <row r="775">
          <cell r="A775" t="str">
            <v>Lucknow</v>
          </cell>
          <cell r="B775" t="str">
            <v>Mavericks</v>
          </cell>
          <cell r="C775" t="str">
            <v>Mid Level</v>
          </cell>
          <cell r="D775" t="str">
            <v>Mohammad Fakhrul</v>
          </cell>
          <cell r="E775" t="str">
            <v>-</v>
          </cell>
          <cell r="F775" t="str">
            <v>MSP</v>
          </cell>
          <cell r="H775" t="str">
            <v>Pass Through/MSP</v>
          </cell>
          <cell r="J775" t="str">
            <v>ACH</v>
          </cell>
          <cell r="L775" t="str">
            <v>New</v>
          </cell>
          <cell r="M775">
            <v>46097</v>
          </cell>
          <cell r="N775">
            <v>105</v>
          </cell>
          <cell r="P775">
            <v>46462</v>
          </cell>
          <cell r="Q775" t="str">
            <v>PLC-Passthrough</v>
          </cell>
          <cell r="R775" t="str">
            <v>Vamsi Kishore Sundara</v>
          </cell>
          <cell r="S775" t="str">
            <v>Individual</v>
          </cell>
          <cell r="T775" t="str">
            <v>C2C Canada</v>
          </cell>
          <cell r="U775" t="str">
            <v>Cigniti</v>
          </cell>
          <cell r="V775">
            <v>69</v>
          </cell>
          <cell r="W775">
            <v>0</v>
          </cell>
          <cell r="X775" t="str">
            <v>CAD</v>
          </cell>
          <cell r="Y775">
            <v>70</v>
          </cell>
          <cell r="Z775">
            <v>0</v>
          </cell>
          <cell r="AA775">
            <v>0</v>
          </cell>
          <cell r="AB775">
            <v>0</v>
          </cell>
          <cell r="AC775">
            <v>46127</v>
          </cell>
          <cell r="AD775">
            <v>22</v>
          </cell>
          <cell r="AE775">
            <v>46387</v>
          </cell>
          <cell r="AF775">
            <v>48.989999999999995</v>
          </cell>
          <cell r="AG775">
            <v>0</v>
          </cell>
          <cell r="AH775">
            <v>48.989999999999995</v>
          </cell>
          <cell r="AI775">
            <v>49.699999999999996</v>
          </cell>
          <cell r="AJ775">
            <v>0</v>
          </cell>
          <cell r="AK775">
            <v>0</v>
          </cell>
          <cell r="AL775">
            <v>0.71000000000000085</v>
          </cell>
          <cell r="AM775">
            <v>0</v>
          </cell>
          <cell r="AN775">
            <v>0.71000000000000085</v>
          </cell>
          <cell r="AO775">
            <v>0</v>
          </cell>
          <cell r="AP775">
            <v>0.71000000000000085</v>
          </cell>
          <cell r="AQ775" t="str">
            <v>CAD_2112</v>
          </cell>
          <cell r="AR775">
            <v>0</v>
          </cell>
          <cell r="AS775">
            <v>176</v>
          </cell>
          <cell r="AU775">
            <v>176</v>
          </cell>
          <cell r="AV775">
            <v>0</v>
          </cell>
          <cell r="AW775">
            <v>124.96000000000015</v>
          </cell>
          <cell r="AX775">
            <v>123.71040000000015</v>
          </cell>
          <cell r="AY775">
            <v>0</v>
          </cell>
          <cell r="AZ775">
            <v>124.96000000000015</v>
          </cell>
          <cell r="BA775">
            <v>123.71040000000015</v>
          </cell>
          <cell r="BB775">
            <v>124.96000000000015</v>
          </cell>
          <cell r="BC775">
            <v>0</v>
          </cell>
          <cell r="BD775">
            <v>0</v>
          </cell>
          <cell r="BE775">
            <v>0</v>
          </cell>
          <cell r="BG775">
            <v>123.71040000000015</v>
          </cell>
          <cell r="BI775">
            <v>123.71040000000015</v>
          </cell>
          <cell r="BJ775">
            <v>12320</v>
          </cell>
          <cell r="BK775">
            <v>8747.1999999999989</v>
          </cell>
          <cell r="BL775">
            <v>8997.4896000000008</v>
          </cell>
          <cell r="BM775">
            <v>0</v>
          </cell>
          <cell r="BN775">
            <v>0</v>
          </cell>
          <cell r="BO775">
            <v>0</v>
          </cell>
          <cell r="BP775">
            <v>8997.4896000000008</v>
          </cell>
          <cell r="BQ775">
            <v>0</v>
          </cell>
          <cell r="BR775">
            <v>-250.28960000000188</v>
          </cell>
          <cell r="BT775">
            <v>2</v>
          </cell>
          <cell r="BU775">
            <v>1</v>
          </cell>
          <cell r="BV775" t="str">
            <v>N</v>
          </cell>
          <cell r="BW775">
            <v>0</v>
          </cell>
          <cell r="BX775">
            <v>0</v>
          </cell>
          <cell r="BY775">
            <v>2026</v>
          </cell>
          <cell r="BZ775" t="str">
            <v>-</v>
          </cell>
          <cell r="CA775" t="str">
            <v>-</v>
          </cell>
        </row>
        <row r="776">
          <cell r="A776" t="str">
            <v>Lucknow</v>
          </cell>
          <cell r="B776" t="str">
            <v>Mavericks</v>
          </cell>
          <cell r="C776" t="str">
            <v>Mid Level</v>
          </cell>
          <cell r="D776" t="str">
            <v>Mohammad Fakhrul</v>
          </cell>
          <cell r="E776" t="str">
            <v>-</v>
          </cell>
          <cell r="F776" t="str">
            <v>MSP</v>
          </cell>
          <cell r="H776" t="str">
            <v>Pass Through/MSP</v>
          </cell>
          <cell r="J776" t="str">
            <v>ACH</v>
          </cell>
          <cell r="L776" t="str">
            <v>New</v>
          </cell>
          <cell r="M776">
            <v>46097</v>
          </cell>
          <cell r="N776">
            <v>105</v>
          </cell>
          <cell r="P776">
            <v>46462</v>
          </cell>
          <cell r="Q776" t="str">
            <v>PLC-Passthrough</v>
          </cell>
          <cell r="R776" t="str">
            <v>Vamsi Kishore Sundara</v>
          </cell>
          <cell r="S776" t="str">
            <v>Individual</v>
          </cell>
          <cell r="T776" t="str">
            <v>C2C Canada</v>
          </cell>
          <cell r="U776" t="str">
            <v>Cigniti</v>
          </cell>
          <cell r="V776">
            <v>69</v>
          </cell>
          <cell r="W776">
            <v>0</v>
          </cell>
          <cell r="X776" t="str">
            <v>CAD</v>
          </cell>
          <cell r="Y776">
            <v>70</v>
          </cell>
          <cell r="Z776">
            <v>0</v>
          </cell>
          <cell r="AA776">
            <v>0</v>
          </cell>
          <cell r="AB776">
            <v>0</v>
          </cell>
          <cell r="AC776">
            <v>46157</v>
          </cell>
          <cell r="AD776">
            <v>22</v>
          </cell>
          <cell r="AE776">
            <v>46387</v>
          </cell>
          <cell r="AF776">
            <v>48.989999999999995</v>
          </cell>
          <cell r="AG776">
            <v>0</v>
          </cell>
          <cell r="AH776">
            <v>48.989999999999995</v>
          </cell>
          <cell r="AI776">
            <v>49.699999999999996</v>
          </cell>
          <cell r="AJ776">
            <v>0</v>
          </cell>
          <cell r="AK776">
            <v>0</v>
          </cell>
          <cell r="AL776">
            <v>0.71000000000000085</v>
          </cell>
          <cell r="AM776">
            <v>0</v>
          </cell>
          <cell r="AN776">
            <v>0.71000000000000085</v>
          </cell>
          <cell r="AO776">
            <v>0</v>
          </cell>
          <cell r="AP776">
            <v>0.71000000000000085</v>
          </cell>
          <cell r="AQ776" t="str">
            <v>CAD_2184</v>
          </cell>
          <cell r="AR776">
            <v>0</v>
          </cell>
          <cell r="AS776">
            <v>160</v>
          </cell>
          <cell r="AU776">
            <v>160</v>
          </cell>
          <cell r="AV776">
            <v>0</v>
          </cell>
          <cell r="AW776">
            <v>113.60000000000014</v>
          </cell>
          <cell r="AX776">
            <v>112.46400000000014</v>
          </cell>
          <cell r="AY776">
            <v>0</v>
          </cell>
          <cell r="AZ776">
            <v>113.60000000000014</v>
          </cell>
          <cell r="BA776">
            <v>112.46400000000014</v>
          </cell>
          <cell r="BB776">
            <v>113.60000000000014</v>
          </cell>
          <cell r="BC776">
            <v>0</v>
          </cell>
          <cell r="BD776">
            <v>0</v>
          </cell>
          <cell r="BE776">
            <v>0</v>
          </cell>
          <cell r="BG776">
            <v>112.46400000000014</v>
          </cell>
          <cell r="BI776">
            <v>112.46400000000014</v>
          </cell>
          <cell r="BJ776">
            <v>11200</v>
          </cell>
          <cell r="BK776">
            <v>7951.9999999999991</v>
          </cell>
          <cell r="BL776">
            <v>8179.5360000000001</v>
          </cell>
          <cell r="BM776">
            <v>0</v>
          </cell>
          <cell r="BN776">
            <v>0</v>
          </cell>
          <cell r="BO776">
            <v>0</v>
          </cell>
          <cell r="BP776">
            <v>8179.5360000000001</v>
          </cell>
          <cell r="BQ776">
            <v>0</v>
          </cell>
          <cell r="BR776">
            <v>-227.53600000000097</v>
          </cell>
          <cell r="BT776">
            <v>2</v>
          </cell>
          <cell r="BU776">
            <v>1</v>
          </cell>
          <cell r="BV776" t="str">
            <v>N</v>
          </cell>
          <cell r="BW776">
            <v>0</v>
          </cell>
          <cell r="BX776">
            <v>0</v>
          </cell>
          <cell r="BY776">
            <v>2026</v>
          </cell>
          <cell r="BZ776" t="str">
            <v>-</v>
          </cell>
          <cell r="CA776" t="str">
            <v>-</v>
          </cell>
        </row>
        <row r="777">
          <cell r="A777" t="str">
            <v>Lucknow</v>
          </cell>
          <cell r="B777" t="str">
            <v>Chennai</v>
          </cell>
          <cell r="C777" t="str">
            <v>Mid Level</v>
          </cell>
          <cell r="D777" t="str">
            <v>Vinoth L</v>
          </cell>
          <cell r="F777" t="str">
            <v>Non-MSP</v>
          </cell>
          <cell r="H777" t="str">
            <v>Kishore Gopi</v>
          </cell>
          <cell r="J777" t="str">
            <v>ACH</v>
          </cell>
          <cell r="L777" t="str">
            <v>New</v>
          </cell>
          <cell r="M777">
            <v>46135</v>
          </cell>
          <cell r="N777">
            <v>67</v>
          </cell>
          <cell r="P777">
            <v>46500</v>
          </cell>
          <cell r="Q777" t="str">
            <v>PLC-4868</v>
          </cell>
          <cell r="R777" t="str">
            <v>Vamsidhar Reddy Jannapally</v>
          </cell>
          <cell r="S777" t="str">
            <v>Individual</v>
          </cell>
          <cell r="T777" t="str">
            <v>C2C</v>
          </cell>
          <cell r="U777" t="str">
            <v>Citius Tech</v>
          </cell>
          <cell r="V777">
            <v>62</v>
          </cell>
          <cell r="W777">
            <v>0</v>
          </cell>
          <cell r="X777" t="str">
            <v>USD</v>
          </cell>
          <cell r="Y777">
            <v>73</v>
          </cell>
          <cell r="Z777">
            <v>0</v>
          </cell>
          <cell r="AA777">
            <v>0</v>
          </cell>
          <cell r="AB777">
            <v>0</v>
          </cell>
          <cell r="AC777">
            <v>46127</v>
          </cell>
          <cell r="AD777">
            <v>6</v>
          </cell>
          <cell r="AE777">
            <v>46387</v>
          </cell>
          <cell r="AF777">
            <v>62</v>
          </cell>
          <cell r="AG777">
            <v>0</v>
          </cell>
          <cell r="AH777">
            <v>62</v>
          </cell>
          <cell r="AI777">
            <v>73</v>
          </cell>
          <cell r="AJ777">
            <v>0</v>
          </cell>
          <cell r="AK777">
            <v>0</v>
          </cell>
          <cell r="AL777">
            <v>11</v>
          </cell>
          <cell r="AM777">
            <v>0</v>
          </cell>
          <cell r="AN777">
            <v>11</v>
          </cell>
          <cell r="AO777">
            <v>0</v>
          </cell>
          <cell r="AP777">
            <v>11</v>
          </cell>
          <cell r="AQ777" t="str">
            <v>US_27717</v>
          </cell>
          <cell r="AR777">
            <v>0</v>
          </cell>
          <cell r="AS777">
            <v>48</v>
          </cell>
          <cell r="AU777">
            <v>48</v>
          </cell>
          <cell r="AV777">
            <v>0</v>
          </cell>
          <cell r="AW777">
            <v>528</v>
          </cell>
          <cell r="AX777">
            <v>522.72</v>
          </cell>
          <cell r="AY777">
            <v>0</v>
          </cell>
          <cell r="AZ777">
            <v>528</v>
          </cell>
          <cell r="BA777">
            <v>522.72</v>
          </cell>
          <cell r="BB777">
            <v>528</v>
          </cell>
          <cell r="BC777">
            <v>66.666666666666657</v>
          </cell>
          <cell r="BD777">
            <v>689.99040000000014</v>
          </cell>
          <cell r="BE777">
            <v>689.99040000000014</v>
          </cell>
          <cell r="BG777">
            <v>522.72</v>
          </cell>
          <cell r="BI777">
            <v>0</v>
          </cell>
          <cell r="BJ777">
            <v>3504</v>
          </cell>
          <cell r="BK777">
            <v>3504</v>
          </cell>
          <cell r="BL777">
            <v>2976</v>
          </cell>
          <cell r="BM777">
            <v>0</v>
          </cell>
          <cell r="BN777">
            <v>0</v>
          </cell>
          <cell r="BO777">
            <v>0</v>
          </cell>
          <cell r="BP777">
            <v>2976</v>
          </cell>
          <cell r="BQ777">
            <v>0</v>
          </cell>
          <cell r="BR777">
            <v>528</v>
          </cell>
          <cell r="BT777">
            <v>2</v>
          </cell>
          <cell r="BU777">
            <v>2</v>
          </cell>
          <cell r="BV777" t="str">
            <v>N</v>
          </cell>
          <cell r="BW777">
            <v>1379.9808000000003</v>
          </cell>
          <cell r="BX777">
            <v>1379.9808000000003</v>
          </cell>
          <cell r="BY777">
            <v>2026</v>
          </cell>
          <cell r="BZ777" t="str">
            <v>-</v>
          </cell>
          <cell r="CA777" t="str">
            <v>-</v>
          </cell>
        </row>
        <row r="778">
          <cell r="A778" t="str">
            <v>Lucknow</v>
          </cell>
          <cell r="B778" t="str">
            <v>Chennai</v>
          </cell>
          <cell r="C778" t="str">
            <v>Mid Level</v>
          </cell>
          <cell r="D778" t="str">
            <v>Vinoth L</v>
          </cell>
          <cell r="F778" t="str">
            <v>Non-MSP</v>
          </cell>
          <cell r="H778" t="str">
            <v>Kishore Gopi</v>
          </cell>
          <cell r="J778" t="str">
            <v>ACH</v>
          </cell>
          <cell r="L778" t="str">
            <v>New</v>
          </cell>
          <cell r="M778">
            <v>46135</v>
          </cell>
          <cell r="N778">
            <v>67</v>
          </cell>
          <cell r="P778">
            <v>46500</v>
          </cell>
          <cell r="Q778" t="str">
            <v>PLC-4868</v>
          </cell>
          <cell r="R778" t="str">
            <v>Vamsidhar Reddy Jannapally</v>
          </cell>
          <cell r="S778" t="str">
            <v>Individual</v>
          </cell>
          <cell r="T778" t="str">
            <v>C2C</v>
          </cell>
          <cell r="U778" t="str">
            <v>Citius Tech</v>
          </cell>
          <cell r="V778">
            <v>62</v>
          </cell>
          <cell r="W778">
            <v>0</v>
          </cell>
          <cell r="X778" t="str">
            <v>USD</v>
          </cell>
          <cell r="Y778">
            <v>73</v>
          </cell>
          <cell r="Z778">
            <v>0</v>
          </cell>
          <cell r="AA778">
            <v>0</v>
          </cell>
          <cell r="AB778">
            <v>0</v>
          </cell>
          <cell r="AC778">
            <v>46157</v>
          </cell>
          <cell r="AD778">
            <v>6</v>
          </cell>
          <cell r="AE778">
            <v>46387</v>
          </cell>
          <cell r="AF778">
            <v>62</v>
          </cell>
          <cell r="AG778">
            <v>0</v>
          </cell>
          <cell r="AH778">
            <v>62</v>
          </cell>
          <cell r="AI778">
            <v>73</v>
          </cell>
          <cell r="AJ778">
            <v>0</v>
          </cell>
          <cell r="AK778">
            <v>0</v>
          </cell>
          <cell r="AL778">
            <v>11</v>
          </cell>
          <cell r="AM778">
            <v>0</v>
          </cell>
          <cell r="AN778">
            <v>11</v>
          </cell>
          <cell r="AO778">
            <v>0</v>
          </cell>
          <cell r="AP778">
            <v>11</v>
          </cell>
          <cell r="AQ778" t="str">
            <v>US_27954</v>
          </cell>
          <cell r="AR778">
            <v>0</v>
          </cell>
          <cell r="AS778">
            <v>160</v>
          </cell>
          <cell r="AU778">
            <v>160</v>
          </cell>
          <cell r="AV778">
            <v>0</v>
          </cell>
          <cell r="AW778">
            <v>1760</v>
          </cell>
          <cell r="AX778">
            <v>1742.4</v>
          </cell>
          <cell r="AY778">
            <v>0</v>
          </cell>
          <cell r="AZ778">
            <v>1760</v>
          </cell>
          <cell r="BA778">
            <v>1742.4</v>
          </cell>
          <cell r="BB778">
            <v>1760</v>
          </cell>
          <cell r="BC778">
            <v>66.666666666666657</v>
          </cell>
          <cell r="BD778">
            <v>2299.9680000000003</v>
          </cell>
          <cell r="BE778">
            <v>2299.9680000000003</v>
          </cell>
          <cell r="BG778">
            <v>1742.4</v>
          </cell>
          <cell r="BI778">
            <v>0</v>
          </cell>
          <cell r="BJ778">
            <v>11680</v>
          </cell>
          <cell r="BK778">
            <v>11680</v>
          </cell>
          <cell r="BL778">
            <v>9920</v>
          </cell>
          <cell r="BM778">
            <v>0</v>
          </cell>
          <cell r="BN778">
            <v>0</v>
          </cell>
          <cell r="BO778">
            <v>0</v>
          </cell>
          <cell r="BP778">
            <v>9920</v>
          </cell>
          <cell r="BQ778">
            <v>0</v>
          </cell>
          <cell r="BR778">
            <v>1760</v>
          </cell>
          <cell r="BS778" t="str">
            <v>Y</v>
          </cell>
          <cell r="BT778">
            <v>2</v>
          </cell>
          <cell r="BU778">
            <v>2</v>
          </cell>
          <cell r="BV778" t="str">
            <v>N</v>
          </cell>
          <cell r="BW778">
            <v>4599.9360000000006</v>
          </cell>
          <cell r="BX778">
            <v>4599.9360000000006</v>
          </cell>
          <cell r="BY778">
            <v>2026</v>
          </cell>
          <cell r="BZ778" t="str">
            <v>-</v>
          </cell>
          <cell r="CA778" t="str">
            <v>-</v>
          </cell>
        </row>
        <row r="779">
          <cell r="A779" t="str">
            <v>Lucknow</v>
          </cell>
          <cell r="B779" t="str">
            <v>Titans</v>
          </cell>
          <cell r="C779" t="str">
            <v>Mid Level</v>
          </cell>
          <cell r="D779" t="str">
            <v>Noor Beg</v>
          </cell>
          <cell r="E779" t="str">
            <v>-</v>
          </cell>
          <cell r="F779" t="str">
            <v>Non-MSP</v>
          </cell>
          <cell r="H779" t="str">
            <v>Pass Through</v>
          </cell>
          <cell r="L779" t="str">
            <v>New</v>
          </cell>
          <cell r="M779">
            <v>46113</v>
          </cell>
          <cell r="N779">
            <v>89</v>
          </cell>
          <cell r="P779">
            <v>46478</v>
          </cell>
          <cell r="Q779" t="str">
            <v>PLC-4362</v>
          </cell>
          <cell r="R779" t="str">
            <v>Vanil Rani Kurra</v>
          </cell>
          <cell r="S779" t="str">
            <v>Individual</v>
          </cell>
          <cell r="T779" t="str">
            <v>FTE</v>
          </cell>
          <cell r="U779" t="str">
            <v>Genpact</v>
          </cell>
          <cell r="V779">
            <v>0</v>
          </cell>
          <cell r="W779">
            <v>0</v>
          </cell>
          <cell r="X779" t="str">
            <v>USD</v>
          </cell>
          <cell r="Y779">
            <v>4500</v>
          </cell>
          <cell r="Z779">
            <v>0</v>
          </cell>
          <cell r="AA779">
            <v>0</v>
          </cell>
          <cell r="AB779">
            <v>0</v>
          </cell>
          <cell r="AC779">
            <v>46127</v>
          </cell>
          <cell r="AD779">
            <v>1</v>
          </cell>
          <cell r="AE779">
            <v>46387</v>
          </cell>
          <cell r="AF779">
            <v>0</v>
          </cell>
          <cell r="AG779">
            <v>0</v>
          </cell>
          <cell r="AH779">
            <v>0</v>
          </cell>
          <cell r="AI779">
            <v>4500</v>
          </cell>
          <cell r="AJ779">
            <v>0</v>
          </cell>
          <cell r="AK779">
            <v>0</v>
          </cell>
          <cell r="AL779">
            <v>4500</v>
          </cell>
          <cell r="AM779">
            <v>0</v>
          </cell>
          <cell r="AN779">
            <v>4500</v>
          </cell>
          <cell r="AO779">
            <v>0</v>
          </cell>
          <cell r="AP779">
            <v>4500</v>
          </cell>
          <cell r="AQ779" t="str">
            <v>US_27413</v>
          </cell>
          <cell r="AR779">
            <v>0</v>
          </cell>
          <cell r="AS779">
            <v>1</v>
          </cell>
          <cell r="AU779">
            <v>1</v>
          </cell>
          <cell r="AV779">
            <v>0</v>
          </cell>
          <cell r="AW779">
            <v>4500</v>
          </cell>
          <cell r="AX779">
            <v>4500</v>
          </cell>
          <cell r="AY779">
            <v>0</v>
          </cell>
          <cell r="AZ779">
            <v>4500</v>
          </cell>
          <cell r="BA779">
            <v>4500</v>
          </cell>
          <cell r="BB779">
            <v>4500</v>
          </cell>
          <cell r="BC779">
            <v>0</v>
          </cell>
          <cell r="BD779">
            <v>0</v>
          </cell>
          <cell r="BE779">
            <v>0</v>
          </cell>
          <cell r="BG779">
            <v>4500</v>
          </cell>
          <cell r="BI779">
            <v>0</v>
          </cell>
          <cell r="BJ779">
            <v>4500</v>
          </cell>
          <cell r="BK779">
            <v>4500</v>
          </cell>
          <cell r="BL779">
            <v>0</v>
          </cell>
          <cell r="BM779">
            <v>0</v>
          </cell>
          <cell r="BN779">
            <v>0</v>
          </cell>
          <cell r="BO779">
            <v>0</v>
          </cell>
          <cell r="BP779">
            <v>0</v>
          </cell>
          <cell r="BQ779">
            <v>0</v>
          </cell>
          <cell r="BR779">
            <v>4500</v>
          </cell>
          <cell r="BS779" t="str">
            <v>Y</v>
          </cell>
          <cell r="BT779">
            <v>2</v>
          </cell>
          <cell r="BU779">
            <v>2</v>
          </cell>
          <cell r="BV779" t="str">
            <v>Y</v>
          </cell>
          <cell r="BW779">
            <v>0</v>
          </cell>
          <cell r="BX779">
            <v>0</v>
          </cell>
          <cell r="BY779">
            <v>2026</v>
          </cell>
          <cell r="BZ779" t="str">
            <v>-</v>
          </cell>
          <cell r="CA779" t="str">
            <v>-</v>
          </cell>
        </row>
        <row r="780">
          <cell r="A780" t="str">
            <v>Lucknow</v>
          </cell>
          <cell r="B780" t="str">
            <v>Mavericks</v>
          </cell>
          <cell r="C780" t="str">
            <v>Mid Level</v>
          </cell>
          <cell r="D780" t="str">
            <v>Kashif Nabi</v>
          </cell>
          <cell r="E780" t="str">
            <v>-</v>
          </cell>
          <cell r="F780" t="str">
            <v>Non-MSP</v>
          </cell>
          <cell r="H780" t="str">
            <v>Ubaid Rahman</v>
          </cell>
          <cell r="L780" t="str">
            <v>New</v>
          </cell>
          <cell r="M780">
            <v>46057</v>
          </cell>
          <cell r="N780">
            <v>145</v>
          </cell>
          <cell r="P780">
            <v>46422</v>
          </cell>
          <cell r="Q780" t="str">
            <v>PLC-4693</v>
          </cell>
          <cell r="R780" t="str">
            <v>Varsha Tiwari</v>
          </cell>
          <cell r="S780" t="str">
            <v>Individual</v>
          </cell>
          <cell r="T780" t="str">
            <v>C2C</v>
          </cell>
          <cell r="U780" t="str">
            <v>Genpact</v>
          </cell>
          <cell r="V780">
            <v>125</v>
          </cell>
          <cell r="W780">
            <v>0</v>
          </cell>
          <cell r="X780" t="str">
            <v>USD</v>
          </cell>
          <cell r="Y780">
            <v>130</v>
          </cell>
          <cell r="Z780">
            <v>0</v>
          </cell>
          <cell r="AA780">
            <v>0</v>
          </cell>
          <cell r="AB780">
            <v>0</v>
          </cell>
          <cell r="AC780">
            <v>46068</v>
          </cell>
          <cell r="AD780">
            <v>18</v>
          </cell>
          <cell r="AE780">
            <v>46387</v>
          </cell>
          <cell r="AF780">
            <v>125</v>
          </cell>
          <cell r="AG780">
            <v>0</v>
          </cell>
          <cell r="AH780">
            <v>125</v>
          </cell>
          <cell r="AI780">
            <v>130</v>
          </cell>
          <cell r="AJ780">
            <v>0</v>
          </cell>
          <cell r="AK780">
            <v>0</v>
          </cell>
          <cell r="AL780">
            <v>5</v>
          </cell>
          <cell r="AM780">
            <v>0</v>
          </cell>
          <cell r="AN780">
            <v>5</v>
          </cell>
          <cell r="AO780">
            <v>0</v>
          </cell>
          <cell r="AP780">
            <v>5</v>
          </cell>
          <cell r="AQ780" t="str">
            <v>US_26972</v>
          </cell>
          <cell r="AR780">
            <v>0</v>
          </cell>
          <cell r="AS780">
            <v>161.5</v>
          </cell>
          <cell r="AU780">
            <v>161.5</v>
          </cell>
          <cell r="AV780">
            <v>0</v>
          </cell>
          <cell r="AW780">
            <v>807.5</v>
          </cell>
          <cell r="AX780">
            <v>807.5</v>
          </cell>
          <cell r="AY780">
            <v>0</v>
          </cell>
          <cell r="AZ780">
            <v>807.5</v>
          </cell>
          <cell r="BA780">
            <v>807.5</v>
          </cell>
          <cell r="BB780">
            <v>807.5</v>
          </cell>
          <cell r="BC780">
            <v>37.5</v>
          </cell>
          <cell r="BD780">
            <v>1065.9000000000001</v>
          </cell>
          <cell r="BE780">
            <v>1065.9000000000001</v>
          </cell>
          <cell r="BG780">
            <v>807.5</v>
          </cell>
          <cell r="BI780">
            <v>807.5</v>
          </cell>
          <cell r="BJ780">
            <v>20995</v>
          </cell>
          <cell r="BK780">
            <v>20995</v>
          </cell>
          <cell r="BL780">
            <v>20187.5</v>
          </cell>
          <cell r="BM780">
            <v>0</v>
          </cell>
          <cell r="BN780">
            <v>0</v>
          </cell>
          <cell r="BO780">
            <v>0</v>
          </cell>
          <cell r="BP780">
            <v>20187.5</v>
          </cell>
          <cell r="BQ780">
            <v>0</v>
          </cell>
          <cell r="BR780">
            <v>807.5</v>
          </cell>
          <cell r="BS780" t="str">
            <v>Y</v>
          </cell>
          <cell r="BT780">
            <v>1</v>
          </cell>
          <cell r="BU780">
            <v>1</v>
          </cell>
          <cell r="BV780" t="str">
            <v>Y</v>
          </cell>
          <cell r="BW780">
            <v>2131.8000000000002</v>
          </cell>
          <cell r="BX780">
            <v>2131.8000000000002</v>
          </cell>
          <cell r="BY780">
            <v>2026</v>
          </cell>
          <cell r="BZ780" t="str">
            <v>-</v>
          </cell>
          <cell r="CA780" t="str">
            <v>-</v>
          </cell>
        </row>
        <row r="781">
          <cell r="A781" t="str">
            <v>Lucknow</v>
          </cell>
          <cell r="B781" t="str">
            <v>Mavericks</v>
          </cell>
          <cell r="C781" t="str">
            <v>Mid Level</v>
          </cell>
          <cell r="D781" t="str">
            <v>Kashif Nabi</v>
          </cell>
          <cell r="E781" t="str">
            <v>-</v>
          </cell>
          <cell r="F781" t="str">
            <v>Non-MSP</v>
          </cell>
          <cell r="H781" t="str">
            <v>Ubaid Rahman</v>
          </cell>
          <cell r="L781" t="str">
            <v>New</v>
          </cell>
          <cell r="M781">
            <v>46057</v>
          </cell>
          <cell r="N781">
            <v>145</v>
          </cell>
          <cell r="P781">
            <v>46422</v>
          </cell>
          <cell r="Q781" t="str">
            <v>PLC-4693</v>
          </cell>
          <cell r="R781" t="str">
            <v>Varsha Tiwari</v>
          </cell>
          <cell r="S781" t="str">
            <v>Individual</v>
          </cell>
          <cell r="T781" t="str">
            <v>C2C</v>
          </cell>
          <cell r="U781" t="str">
            <v>Genpact</v>
          </cell>
          <cell r="V781">
            <v>125</v>
          </cell>
          <cell r="W781">
            <v>0</v>
          </cell>
          <cell r="X781" t="str">
            <v>USD</v>
          </cell>
          <cell r="Y781">
            <v>130</v>
          </cell>
          <cell r="Z781">
            <v>0</v>
          </cell>
          <cell r="AA781">
            <v>0</v>
          </cell>
          <cell r="AB781">
            <v>0</v>
          </cell>
          <cell r="AC781">
            <v>46096</v>
          </cell>
          <cell r="AD781">
            <v>22</v>
          </cell>
          <cell r="AE781">
            <v>46387</v>
          </cell>
          <cell r="AF781">
            <v>125</v>
          </cell>
          <cell r="AG781">
            <v>0</v>
          </cell>
          <cell r="AH781">
            <v>125</v>
          </cell>
          <cell r="AI781">
            <v>130</v>
          </cell>
          <cell r="AJ781">
            <v>0</v>
          </cell>
          <cell r="AK781">
            <v>0</v>
          </cell>
          <cell r="AL781">
            <v>5</v>
          </cell>
          <cell r="AM781">
            <v>0</v>
          </cell>
          <cell r="AN781">
            <v>5</v>
          </cell>
          <cell r="AO781">
            <v>0</v>
          </cell>
          <cell r="AP781">
            <v>5</v>
          </cell>
          <cell r="AQ781" t="str">
            <v>US_27209</v>
          </cell>
          <cell r="AR781">
            <v>0</v>
          </cell>
          <cell r="AS781">
            <v>216</v>
          </cell>
          <cell r="AU781">
            <v>216</v>
          </cell>
          <cell r="AV781">
            <v>0</v>
          </cell>
          <cell r="AW781">
            <v>1080</v>
          </cell>
          <cell r="AX781">
            <v>1080</v>
          </cell>
          <cell r="AY781">
            <v>0</v>
          </cell>
          <cell r="AZ781">
            <v>1080</v>
          </cell>
          <cell r="BA781">
            <v>1080</v>
          </cell>
          <cell r="BB781">
            <v>1080</v>
          </cell>
          <cell r="BC781">
            <v>37.5</v>
          </cell>
          <cell r="BD781">
            <v>1425.6</v>
          </cell>
          <cell r="BE781">
            <v>1425.6</v>
          </cell>
          <cell r="BG781">
            <v>1080</v>
          </cell>
          <cell r="BI781">
            <v>1080</v>
          </cell>
          <cell r="BJ781">
            <v>28080</v>
          </cell>
          <cell r="BK781">
            <v>28080</v>
          </cell>
          <cell r="BL781">
            <v>27000</v>
          </cell>
          <cell r="BM781">
            <v>0</v>
          </cell>
          <cell r="BN781">
            <v>0</v>
          </cell>
          <cell r="BO781">
            <v>0</v>
          </cell>
          <cell r="BP781">
            <v>27000</v>
          </cell>
          <cell r="BQ781">
            <v>0</v>
          </cell>
          <cell r="BR781">
            <v>1080</v>
          </cell>
          <cell r="BS781" t="str">
            <v>Y</v>
          </cell>
          <cell r="BT781">
            <v>1</v>
          </cell>
          <cell r="BU781">
            <v>1</v>
          </cell>
          <cell r="BV781" t="str">
            <v>Y</v>
          </cell>
          <cell r="BW781">
            <v>2851.2</v>
          </cell>
          <cell r="BX781">
            <v>2851.2</v>
          </cell>
          <cell r="BY781">
            <v>2026</v>
          </cell>
          <cell r="BZ781" t="str">
            <v>-</v>
          </cell>
          <cell r="CA781" t="str">
            <v>-</v>
          </cell>
        </row>
        <row r="782">
          <cell r="A782" t="str">
            <v>Lucknow</v>
          </cell>
          <cell r="B782" t="str">
            <v>Mavericks</v>
          </cell>
          <cell r="C782" t="str">
            <v>Mid Level</v>
          </cell>
          <cell r="D782" t="str">
            <v>Kashif Nabi</v>
          </cell>
          <cell r="E782" t="str">
            <v>-</v>
          </cell>
          <cell r="F782" t="str">
            <v>Non-MSP</v>
          </cell>
          <cell r="H782" t="str">
            <v>Ubaid Rahman</v>
          </cell>
          <cell r="J782" t="str">
            <v>ACH</v>
          </cell>
          <cell r="L782" t="str">
            <v>New</v>
          </cell>
          <cell r="M782">
            <v>46057</v>
          </cell>
          <cell r="N782">
            <v>145</v>
          </cell>
          <cell r="P782">
            <v>46422</v>
          </cell>
          <cell r="Q782" t="str">
            <v>PLC-4693</v>
          </cell>
          <cell r="R782" t="str">
            <v>Varsha Tiwari</v>
          </cell>
          <cell r="S782" t="str">
            <v>Individual</v>
          </cell>
          <cell r="T782" t="str">
            <v>C2C</v>
          </cell>
          <cell r="U782" t="str">
            <v>Genpact</v>
          </cell>
          <cell r="V782">
            <v>125</v>
          </cell>
          <cell r="W782">
            <v>0</v>
          </cell>
          <cell r="X782" t="str">
            <v>USD</v>
          </cell>
          <cell r="Y782">
            <v>130</v>
          </cell>
          <cell r="Z782">
            <v>0</v>
          </cell>
          <cell r="AA782">
            <v>0</v>
          </cell>
          <cell r="AB782">
            <v>0</v>
          </cell>
          <cell r="AC782">
            <v>46127</v>
          </cell>
          <cell r="AD782">
            <v>22</v>
          </cell>
          <cell r="AE782">
            <v>46387</v>
          </cell>
          <cell r="AF782">
            <v>125</v>
          </cell>
          <cell r="AG782">
            <v>0</v>
          </cell>
          <cell r="AH782">
            <v>125</v>
          </cell>
          <cell r="AI782">
            <v>130</v>
          </cell>
          <cell r="AJ782">
            <v>0</v>
          </cell>
          <cell r="AK782">
            <v>0</v>
          </cell>
          <cell r="AL782">
            <v>5</v>
          </cell>
          <cell r="AM782">
            <v>0</v>
          </cell>
          <cell r="AN782">
            <v>5</v>
          </cell>
          <cell r="AO782">
            <v>0</v>
          </cell>
          <cell r="AP782">
            <v>5</v>
          </cell>
          <cell r="AQ782" t="str">
            <v>US_27464</v>
          </cell>
          <cell r="AR782">
            <v>0</v>
          </cell>
          <cell r="AS782">
            <v>176</v>
          </cell>
          <cell r="AU782">
            <v>176</v>
          </cell>
          <cell r="AV782">
            <v>0</v>
          </cell>
          <cell r="AW782">
            <v>880</v>
          </cell>
          <cell r="AX782">
            <v>871.2</v>
          </cell>
          <cell r="AY782">
            <v>0</v>
          </cell>
          <cell r="AZ782">
            <v>880</v>
          </cell>
          <cell r="BA782">
            <v>871.2</v>
          </cell>
          <cell r="BB782">
            <v>880</v>
          </cell>
          <cell r="BC782">
            <v>37.5</v>
          </cell>
          <cell r="BD782">
            <v>1149.9840000000002</v>
          </cell>
          <cell r="BE782">
            <v>1149.9840000000002</v>
          </cell>
          <cell r="BG782">
            <v>871.2</v>
          </cell>
          <cell r="BI782">
            <v>871.2</v>
          </cell>
          <cell r="BJ782">
            <v>22880</v>
          </cell>
          <cell r="BK782">
            <v>22880</v>
          </cell>
          <cell r="BL782">
            <v>22000</v>
          </cell>
          <cell r="BM782">
            <v>0</v>
          </cell>
          <cell r="BN782">
            <v>0</v>
          </cell>
          <cell r="BO782">
            <v>0</v>
          </cell>
          <cell r="BP782">
            <v>22000</v>
          </cell>
          <cell r="BQ782">
            <v>0</v>
          </cell>
          <cell r="BR782">
            <v>880</v>
          </cell>
          <cell r="BT782">
            <v>2</v>
          </cell>
          <cell r="BU782">
            <v>1</v>
          </cell>
          <cell r="BV782" t="str">
            <v>Y</v>
          </cell>
          <cell r="BW782">
            <v>2299.9680000000003</v>
          </cell>
          <cell r="BX782">
            <v>2299.9680000000003</v>
          </cell>
          <cell r="BY782">
            <v>2026</v>
          </cell>
          <cell r="BZ782" t="str">
            <v>-</v>
          </cell>
          <cell r="CA782" t="str">
            <v>-</v>
          </cell>
        </row>
        <row r="783">
          <cell r="A783" t="str">
            <v>Lucknow</v>
          </cell>
          <cell r="B783" t="str">
            <v>Mavericks</v>
          </cell>
          <cell r="C783" t="str">
            <v>Mid Level</v>
          </cell>
          <cell r="D783" t="str">
            <v>Kashif Nabi</v>
          </cell>
          <cell r="E783" t="str">
            <v>-</v>
          </cell>
          <cell r="F783" t="str">
            <v>Non-MSP</v>
          </cell>
          <cell r="H783" t="str">
            <v>Ubaid Rahman</v>
          </cell>
          <cell r="J783" t="str">
            <v>ACH</v>
          </cell>
          <cell r="L783" t="str">
            <v>New</v>
          </cell>
          <cell r="M783">
            <v>46057</v>
          </cell>
          <cell r="N783">
            <v>145</v>
          </cell>
          <cell r="P783">
            <v>46422</v>
          </cell>
          <cell r="Q783" t="str">
            <v>PLC-4693</v>
          </cell>
          <cell r="R783" t="str">
            <v>Varsha Tiwari</v>
          </cell>
          <cell r="S783" t="str">
            <v>Individual</v>
          </cell>
          <cell r="T783" t="str">
            <v>C2C</v>
          </cell>
          <cell r="U783" t="str">
            <v>Genpact</v>
          </cell>
          <cell r="V783">
            <v>125</v>
          </cell>
          <cell r="W783">
            <v>0</v>
          </cell>
          <cell r="X783" t="str">
            <v>USD</v>
          </cell>
          <cell r="Y783">
            <v>130</v>
          </cell>
          <cell r="Z783">
            <v>0</v>
          </cell>
          <cell r="AA783">
            <v>0</v>
          </cell>
          <cell r="AB783">
            <v>0</v>
          </cell>
          <cell r="AC783">
            <v>46157</v>
          </cell>
          <cell r="AD783">
            <v>22</v>
          </cell>
          <cell r="AE783">
            <v>46387</v>
          </cell>
          <cell r="AF783">
            <v>125</v>
          </cell>
          <cell r="AG783">
            <v>0</v>
          </cell>
          <cell r="AH783">
            <v>125</v>
          </cell>
          <cell r="AI783">
            <v>130</v>
          </cell>
          <cell r="AJ783">
            <v>0</v>
          </cell>
          <cell r="AK783">
            <v>0</v>
          </cell>
          <cell r="AL783">
            <v>5</v>
          </cell>
          <cell r="AM783">
            <v>0</v>
          </cell>
          <cell r="AN783">
            <v>5</v>
          </cell>
          <cell r="AO783">
            <v>0</v>
          </cell>
          <cell r="AP783">
            <v>5</v>
          </cell>
          <cell r="AQ783" t="str">
            <v>US_27825</v>
          </cell>
          <cell r="AR783">
            <v>0</v>
          </cell>
          <cell r="AS783">
            <v>139</v>
          </cell>
          <cell r="AU783">
            <v>139</v>
          </cell>
          <cell r="AV783">
            <v>0</v>
          </cell>
          <cell r="AW783">
            <v>695</v>
          </cell>
          <cell r="AX783">
            <v>688.05</v>
          </cell>
          <cell r="AY783">
            <v>0</v>
          </cell>
          <cell r="AZ783">
            <v>695</v>
          </cell>
          <cell r="BA783">
            <v>688.05</v>
          </cell>
          <cell r="BB783">
            <v>695</v>
          </cell>
          <cell r="BC783">
            <v>37.5</v>
          </cell>
          <cell r="BD783">
            <v>908.22599999999989</v>
          </cell>
          <cell r="BE783">
            <v>908.22599999999989</v>
          </cell>
          <cell r="BG783">
            <v>688.05</v>
          </cell>
          <cell r="BI783">
            <v>688.05</v>
          </cell>
          <cell r="BJ783">
            <v>18070</v>
          </cell>
          <cell r="BK783">
            <v>18070</v>
          </cell>
          <cell r="BL783">
            <v>17375</v>
          </cell>
          <cell r="BM783">
            <v>0</v>
          </cell>
          <cell r="BN783">
            <v>0</v>
          </cell>
          <cell r="BO783">
            <v>0</v>
          </cell>
          <cell r="BP783">
            <v>17375</v>
          </cell>
          <cell r="BQ783">
            <v>0</v>
          </cell>
          <cell r="BR783">
            <v>695</v>
          </cell>
          <cell r="BT783">
            <v>2</v>
          </cell>
          <cell r="BU783">
            <v>1</v>
          </cell>
          <cell r="BV783" t="str">
            <v>Y</v>
          </cell>
          <cell r="BW783">
            <v>1816.4519999999998</v>
          </cell>
          <cell r="BX783">
            <v>1816.4519999999998</v>
          </cell>
          <cell r="BY783">
            <v>2026</v>
          </cell>
          <cell r="BZ783" t="str">
            <v>-</v>
          </cell>
          <cell r="CA783" t="str">
            <v>-</v>
          </cell>
        </row>
        <row r="784">
          <cell r="A784" t="str">
            <v>Lucknow</v>
          </cell>
          <cell r="B784" t="str">
            <v>Trust</v>
          </cell>
          <cell r="C784" t="str">
            <v>Mid Level</v>
          </cell>
          <cell r="D784" t="str">
            <v>Harsh Agarwal</v>
          </cell>
          <cell r="E784" t="str">
            <v>-</v>
          </cell>
          <cell r="F784" t="str">
            <v>Non-MSP</v>
          </cell>
          <cell r="H784" t="str">
            <v>Virendra Vikram Singh</v>
          </cell>
          <cell r="J784" t="str">
            <v>ACH</v>
          </cell>
          <cell r="L784" t="str">
            <v>New</v>
          </cell>
          <cell r="M784">
            <v>46058</v>
          </cell>
          <cell r="N784">
            <v>144</v>
          </cell>
          <cell r="P784">
            <v>46423</v>
          </cell>
          <cell r="Q784" t="str">
            <v>PLC-4673</v>
          </cell>
          <cell r="R784" t="str">
            <v>Venkat Reddy Kota</v>
          </cell>
          <cell r="S784" t="str">
            <v>Individual</v>
          </cell>
          <cell r="T784" t="str">
            <v>C2C</v>
          </cell>
          <cell r="U784" t="str">
            <v>Movate</v>
          </cell>
          <cell r="V784">
            <v>95</v>
          </cell>
          <cell r="W784">
            <v>0</v>
          </cell>
          <cell r="X784" t="str">
            <v>USD</v>
          </cell>
          <cell r="Y784">
            <v>105</v>
          </cell>
          <cell r="Z784">
            <v>0</v>
          </cell>
          <cell r="AA784">
            <v>0</v>
          </cell>
          <cell r="AB784">
            <v>0</v>
          </cell>
          <cell r="AC784">
            <v>46068</v>
          </cell>
          <cell r="AD784">
            <v>17</v>
          </cell>
          <cell r="AE784">
            <v>46387</v>
          </cell>
          <cell r="AF784">
            <v>95</v>
          </cell>
          <cell r="AG784">
            <v>0</v>
          </cell>
          <cell r="AH784">
            <v>95</v>
          </cell>
          <cell r="AI784">
            <v>105</v>
          </cell>
          <cell r="AJ784">
            <v>0</v>
          </cell>
          <cell r="AK784">
            <v>0</v>
          </cell>
          <cell r="AL784">
            <v>10</v>
          </cell>
          <cell r="AM784">
            <v>0</v>
          </cell>
          <cell r="AN784">
            <v>10</v>
          </cell>
          <cell r="AO784">
            <v>0</v>
          </cell>
          <cell r="AP784">
            <v>10</v>
          </cell>
          <cell r="AQ784" t="str">
            <v>US_27169</v>
          </cell>
          <cell r="AR784">
            <v>0</v>
          </cell>
          <cell r="AS784">
            <v>136</v>
          </cell>
          <cell r="AU784">
            <v>136</v>
          </cell>
          <cell r="AV784">
            <v>0</v>
          </cell>
          <cell r="AW784">
            <v>1360</v>
          </cell>
          <cell r="AX784">
            <v>1346.4</v>
          </cell>
          <cell r="AY784">
            <v>0</v>
          </cell>
          <cell r="AZ784">
            <v>1360</v>
          </cell>
          <cell r="BA784">
            <v>1346.4</v>
          </cell>
          <cell r="BB784">
            <v>1360</v>
          </cell>
          <cell r="BC784">
            <v>75</v>
          </cell>
          <cell r="BD784">
            <v>1777.2480000000003</v>
          </cell>
          <cell r="BE784">
            <v>1777.2480000000003</v>
          </cell>
          <cell r="BF784">
            <v>39</v>
          </cell>
          <cell r="BG784">
            <v>1346.4</v>
          </cell>
          <cell r="BH784">
            <v>740.52</v>
          </cell>
          <cell r="BI784">
            <v>1346.4</v>
          </cell>
          <cell r="BJ784">
            <v>14280</v>
          </cell>
          <cell r="BK784">
            <v>14280</v>
          </cell>
          <cell r="BL784">
            <v>12920</v>
          </cell>
          <cell r="BM784">
            <v>0</v>
          </cell>
          <cell r="BN784">
            <v>0</v>
          </cell>
          <cell r="BO784">
            <v>0</v>
          </cell>
          <cell r="BP784">
            <v>12920</v>
          </cell>
          <cell r="BQ784">
            <v>0</v>
          </cell>
          <cell r="BR784">
            <v>1360</v>
          </cell>
          <cell r="BS784" t="str">
            <v>Y</v>
          </cell>
          <cell r="BT784">
            <v>1</v>
          </cell>
          <cell r="BU784">
            <v>1</v>
          </cell>
          <cell r="BV784" t="str">
            <v>Y</v>
          </cell>
          <cell r="BW784">
            <v>3554.4960000000005</v>
          </cell>
          <cell r="BX784">
            <v>3554.4960000000005</v>
          </cell>
          <cell r="BY784">
            <v>2026</v>
          </cell>
          <cell r="BZ784" t="str">
            <v>-</v>
          </cell>
          <cell r="CA784" t="str">
            <v>-</v>
          </cell>
        </row>
        <row r="785">
          <cell r="A785" t="str">
            <v>Lucknow</v>
          </cell>
          <cell r="B785" t="str">
            <v>Trust</v>
          </cell>
          <cell r="C785" t="str">
            <v>Mid Level</v>
          </cell>
          <cell r="D785" t="str">
            <v>Harsh Agarwal</v>
          </cell>
          <cell r="E785" t="str">
            <v>-</v>
          </cell>
          <cell r="F785" t="str">
            <v>Non-MSP</v>
          </cell>
          <cell r="H785" t="str">
            <v>Virendra Vikram Singh</v>
          </cell>
          <cell r="J785" t="str">
            <v>ACH</v>
          </cell>
          <cell r="L785" t="str">
            <v>New</v>
          </cell>
          <cell r="M785">
            <v>46058</v>
          </cell>
          <cell r="N785">
            <v>144</v>
          </cell>
          <cell r="P785">
            <v>46423</v>
          </cell>
          <cell r="Q785" t="str">
            <v>PLC-4673</v>
          </cell>
          <cell r="R785" t="str">
            <v>Venkat Reddy Kota</v>
          </cell>
          <cell r="S785" t="str">
            <v>Individual</v>
          </cell>
          <cell r="T785" t="str">
            <v>C2C</v>
          </cell>
          <cell r="U785" t="str">
            <v>Movate</v>
          </cell>
          <cell r="V785">
            <v>95</v>
          </cell>
          <cell r="W785">
            <v>0</v>
          </cell>
          <cell r="X785" t="str">
            <v>USD</v>
          </cell>
          <cell r="Y785">
            <v>105</v>
          </cell>
          <cell r="Z785">
            <v>0</v>
          </cell>
          <cell r="AA785">
            <v>0</v>
          </cell>
          <cell r="AB785">
            <v>0</v>
          </cell>
          <cell r="AC785">
            <v>46096</v>
          </cell>
          <cell r="AD785">
            <v>22</v>
          </cell>
          <cell r="AE785">
            <v>46387</v>
          </cell>
          <cell r="AF785">
            <v>95</v>
          </cell>
          <cell r="AG785">
            <v>0</v>
          </cell>
          <cell r="AH785">
            <v>95</v>
          </cell>
          <cell r="AI785">
            <v>105</v>
          </cell>
          <cell r="AJ785">
            <v>0</v>
          </cell>
          <cell r="AK785">
            <v>0</v>
          </cell>
          <cell r="AL785">
            <v>10</v>
          </cell>
          <cell r="AM785">
            <v>0</v>
          </cell>
          <cell r="AN785">
            <v>10</v>
          </cell>
          <cell r="AO785">
            <v>0</v>
          </cell>
          <cell r="AP785">
            <v>10</v>
          </cell>
          <cell r="AQ785" t="str">
            <v>US_27384</v>
          </cell>
          <cell r="AR785">
            <v>0</v>
          </cell>
          <cell r="AS785">
            <v>176</v>
          </cell>
          <cell r="AU785">
            <v>176</v>
          </cell>
          <cell r="AV785">
            <v>0</v>
          </cell>
          <cell r="AW785">
            <v>1760</v>
          </cell>
          <cell r="AX785">
            <v>1742.4</v>
          </cell>
          <cell r="AY785">
            <v>0</v>
          </cell>
          <cell r="AZ785">
            <v>1760</v>
          </cell>
          <cell r="BA785">
            <v>1742.4</v>
          </cell>
          <cell r="BB785">
            <v>1760</v>
          </cell>
          <cell r="BC785">
            <v>75</v>
          </cell>
          <cell r="BD785">
            <v>2299.9680000000003</v>
          </cell>
          <cell r="BE785">
            <v>2299.9680000000003</v>
          </cell>
          <cell r="BF785">
            <v>39</v>
          </cell>
          <cell r="BG785">
            <v>1742.4</v>
          </cell>
          <cell r="BH785">
            <v>958.32</v>
          </cell>
          <cell r="BI785">
            <v>1742.4</v>
          </cell>
          <cell r="BJ785">
            <v>18480</v>
          </cell>
          <cell r="BK785">
            <v>18480</v>
          </cell>
          <cell r="BL785">
            <v>16720</v>
          </cell>
          <cell r="BM785">
            <v>0</v>
          </cell>
          <cell r="BN785">
            <v>0</v>
          </cell>
          <cell r="BO785">
            <v>0</v>
          </cell>
          <cell r="BP785">
            <v>16720</v>
          </cell>
          <cell r="BQ785">
            <v>0</v>
          </cell>
          <cell r="BR785">
            <v>1760</v>
          </cell>
          <cell r="BS785" t="str">
            <v>Y</v>
          </cell>
          <cell r="BT785">
            <v>1</v>
          </cell>
          <cell r="BU785">
            <v>1</v>
          </cell>
          <cell r="BV785" t="str">
            <v>Y</v>
          </cell>
          <cell r="BW785">
            <v>4599.9360000000006</v>
          </cell>
          <cell r="BX785">
            <v>4599.9360000000006</v>
          </cell>
          <cell r="BY785">
            <v>2026</v>
          </cell>
          <cell r="BZ785" t="str">
            <v>-</v>
          </cell>
          <cell r="CA785" t="str">
            <v>-</v>
          </cell>
        </row>
        <row r="786">
          <cell r="A786" t="str">
            <v>Lucknow</v>
          </cell>
          <cell r="B786" t="str">
            <v>Trust</v>
          </cell>
          <cell r="C786" t="str">
            <v>Mid Level</v>
          </cell>
          <cell r="D786" t="str">
            <v>Harsh Agarwal</v>
          </cell>
          <cell r="E786" t="str">
            <v>-</v>
          </cell>
          <cell r="F786" t="str">
            <v>Non-MSP</v>
          </cell>
          <cell r="H786" t="str">
            <v>Virendra Vikram Singh</v>
          </cell>
          <cell r="J786" t="str">
            <v>ACH</v>
          </cell>
          <cell r="L786" t="str">
            <v>New</v>
          </cell>
          <cell r="M786">
            <v>46058</v>
          </cell>
          <cell r="N786">
            <v>144</v>
          </cell>
          <cell r="P786">
            <v>46423</v>
          </cell>
          <cell r="Q786" t="str">
            <v>PLC-4673</v>
          </cell>
          <cell r="R786" t="str">
            <v>Venkat Reddy Kota</v>
          </cell>
          <cell r="S786" t="str">
            <v>Individual</v>
          </cell>
          <cell r="T786" t="str">
            <v>C2C</v>
          </cell>
          <cell r="U786" t="str">
            <v>Movate</v>
          </cell>
          <cell r="V786">
            <v>95</v>
          </cell>
          <cell r="W786">
            <v>0</v>
          </cell>
          <cell r="X786" t="str">
            <v>USD</v>
          </cell>
          <cell r="Y786">
            <v>105</v>
          </cell>
          <cell r="Z786">
            <v>0</v>
          </cell>
          <cell r="AA786">
            <v>0</v>
          </cell>
          <cell r="AB786">
            <v>0</v>
          </cell>
          <cell r="AC786">
            <v>46127</v>
          </cell>
          <cell r="AD786">
            <v>22</v>
          </cell>
          <cell r="AE786">
            <v>46387</v>
          </cell>
          <cell r="AF786">
            <v>95</v>
          </cell>
          <cell r="AG786">
            <v>0</v>
          </cell>
          <cell r="AH786">
            <v>95</v>
          </cell>
          <cell r="AI786">
            <v>105</v>
          </cell>
          <cell r="AJ786">
            <v>0</v>
          </cell>
          <cell r="AK786">
            <v>0</v>
          </cell>
          <cell r="AL786">
            <v>10</v>
          </cell>
          <cell r="AM786">
            <v>0</v>
          </cell>
          <cell r="AN786">
            <v>10</v>
          </cell>
          <cell r="AO786">
            <v>0</v>
          </cell>
          <cell r="AP786">
            <v>10</v>
          </cell>
          <cell r="AQ786" t="str">
            <v>US_27619</v>
          </cell>
          <cell r="AR786">
            <v>0</v>
          </cell>
          <cell r="AS786">
            <v>176</v>
          </cell>
          <cell r="AU786">
            <v>176</v>
          </cell>
          <cell r="AV786">
            <v>0</v>
          </cell>
          <cell r="AW786">
            <v>1760</v>
          </cell>
          <cell r="AX786">
            <v>1742.4</v>
          </cell>
          <cell r="AY786">
            <v>0</v>
          </cell>
          <cell r="AZ786">
            <v>1760</v>
          </cell>
          <cell r="BA786">
            <v>1742.4</v>
          </cell>
          <cell r="BB786">
            <v>1760</v>
          </cell>
          <cell r="BC786">
            <v>75</v>
          </cell>
          <cell r="BD786">
            <v>2299.9680000000003</v>
          </cell>
          <cell r="BE786">
            <v>2299.9680000000003</v>
          </cell>
          <cell r="BF786">
            <v>39</v>
          </cell>
          <cell r="BG786">
            <v>1742.4</v>
          </cell>
          <cell r="BH786">
            <v>958.32</v>
          </cell>
          <cell r="BI786">
            <v>1742.4</v>
          </cell>
          <cell r="BJ786">
            <v>18480</v>
          </cell>
          <cell r="BK786">
            <v>18480</v>
          </cell>
          <cell r="BL786">
            <v>16720</v>
          </cell>
          <cell r="BM786">
            <v>0</v>
          </cell>
          <cell r="BN786">
            <v>0</v>
          </cell>
          <cell r="BO786">
            <v>0</v>
          </cell>
          <cell r="BP786">
            <v>16720</v>
          </cell>
          <cell r="BQ786">
            <v>0</v>
          </cell>
          <cell r="BR786">
            <v>1760</v>
          </cell>
          <cell r="BT786">
            <v>2</v>
          </cell>
          <cell r="BU786">
            <v>1</v>
          </cell>
          <cell r="BV786" t="str">
            <v>Y</v>
          </cell>
          <cell r="BW786">
            <v>4599.9360000000006</v>
          </cell>
          <cell r="BX786">
            <v>4599.9360000000006</v>
          </cell>
          <cell r="BY786">
            <v>2026</v>
          </cell>
          <cell r="BZ786" t="str">
            <v>-</v>
          </cell>
          <cell r="CA786" t="str">
            <v>-</v>
          </cell>
        </row>
        <row r="787">
          <cell r="A787" t="str">
            <v>Lucknow</v>
          </cell>
          <cell r="B787" t="str">
            <v>Trust</v>
          </cell>
          <cell r="C787" t="str">
            <v>Mid Level</v>
          </cell>
          <cell r="D787" t="str">
            <v>Harsh Agarwal</v>
          </cell>
          <cell r="E787" t="str">
            <v>-</v>
          </cell>
          <cell r="F787" t="str">
            <v>Non-MSP</v>
          </cell>
          <cell r="H787" t="str">
            <v>Virendra Vikram Singh</v>
          </cell>
          <cell r="J787" t="str">
            <v>ACH</v>
          </cell>
          <cell r="L787" t="str">
            <v>New</v>
          </cell>
          <cell r="M787">
            <v>46058</v>
          </cell>
          <cell r="N787">
            <v>144</v>
          </cell>
          <cell r="P787">
            <v>46423</v>
          </cell>
          <cell r="Q787" t="str">
            <v>PLC-4673</v>
          </cell>
          <cell r="R787" t="str">
            <v>Venkat Reddy Kota</v>
          </cell>
          <cell r="S787" t="str">
            <v>Individual</v>
          </cell>
          <cell r="T787" t="str">
            <v>C2C</v>
          </cell>
          <cell r="U787" t="str">
            <v>Movate</v>
          </cell>
          <cell r="V787">
            <v>95</v>
          </cell>
          <cell r="W787">
            <v>0</v>
          </cell>
          <cell r="X787" t="str">
            <v>USD</v>
          </cell>
          <cell r="Y787">
            <v>105</v>
          </cell>
          <cell r="Z787">
            <v>0</v>
          </cell>
          <cell r="AA787">
            <v>0</v>
          </cell>
          <cell r="AB787">
            <v>0</v>
          </cell>
          <cell r="AC787">
            <v>46157</v>
          </cell>
          <cell r="AD787">
            <v>22</v>
          </cell>
          <cell r="AE787">
            <v>46387</v>
          </cell>
          <cell r="AF787">
            <v>95</v>
          </cell>
          <cell r="AG787">
            <v>0</v>
          </cell>
          <cell r="AH787">
            <v>95</v>
          </cell>
          <cell r="AI787">
            <v>105</v>
          </cell>
          <cell r="AJ787">
            <v>0</v>
          </cell>
          <cell r="AK787">
            <v>0</v>
          </cell>
          <cell r="AL787">
            <v>10</v>
          </cell>
          <cell r="AM787">
            <v>0</v>
          </cell>
          <cell r="AN787">
            <v>10</v>
          </cell>
          <cell r="AO787">
            <v>0</v>
          </cell>
          <cell r="AP787">
            <v>10</v>
          </cell>
          <cell r="AQ787" t="str">
            <v>US_27909</v>
          </cell>
          <cell r="AR787">
            <v>0</v>
          </cell>
          <cell r="AS787">
            <v>160</v>
          </cell>
          <cell r="AU787">
            <v>160</v>
          </cell>
          <cell r="AV787">
            <v>0</v>
          </cell>
          <cell r="AW787">
            <v>1600</v>
          </cell>
          <cell r="AX787">
            <v>1584</v>
          </cell>
          <cell r="AY787">
            <v>0</v>
          </cell>
          <cell r="AZ787">
            <v>1600</v>
          </cell>
          <cell r="BA787">
            <v>1584</v>
          </cell>
          <cell r="BB787">
            <v>1600</v>
          </cell>
          <cell r="BC787">
            <v>75</v>
          </cell>
          <cell r="BD787">
            <v>2090.88</v>
          </cell>
          <cell r="BE787">
            <v>2090.88</v>
          </cell>
          <cell r="BF787">
            <v>39</v>
          </cell>
          <cell r="BG787">
            <v>1584</v>
          </cell>
          <cell r="BH787">
            <v>871.2</v>
          </cell>
          <cell r="BI787">
            <v>1584</v>
          </cell>
          <cell r="BJ787">
            <v>16800</v>
          </cell>
          <cell r="BK787">
            <v>16800</v>
          </cell>
          <cell r="BL787">
            <v>15200</v>
          </cell>
          <cell r="BM787">
            <v>0</v>
          </cell>
          <cell r="BN787">
            <v>0</v>
          </cell>
          <cell r="BO787">
            <v>0</v>
          </cell>
          <cell r="BP787">
            <v>15200</v>
          </cell>
          <cell r="BQ787">
            <v>0</v>
          </cell>
          <cell r="BR787">
            <v>1600</v>
          </cell>
          <cell r="BT787">
            <v>2</v>
          </cell>
          <cell r="BU787">
            <v>1</v>
          </cell>
          <cell r="BV787" t="str">
            <v>Y</v>
          </cell>
          <cell r="BW787">
            <v>4181.76</v>
          </cell>
          <cell r="BX787">
            <v>4181.76</v>
          </cell>
          <cell r="BY787">
            <v>2026</v>
          </cell>
          <cell r="BZ787" t="str">
            <v>-</v>
          </cell>
          <cell r="CA787" t="str">
            <v>-</v>
          </cell>
        </row>
        <row r="788">
          <cell r="A788" t="str">
            <v>Lucknow</v>
          </cell>
          <cell r="B788" t="str">
            <v>Mavericks</v>
          </cell>
          <cell r="C788" t="str">
            <v>Mid Level</v>
          </cell>
          <cell r="D788" t="str">
            <v>Vikas Malik</v>
          </cell>
          <cell r="E788" t="str">
            <v>-</v>
          </cell>
          <cell r="F788" t="str">
            <v>Non-MSP</v>
          </cell>
          <cell r="H788" t="str">
            <v>Roshan Chaturvedi</v>
          </cell>
          <cell r="L788" t="str">
            <v>New</v>
          </cell>
          <cell r="M788">
            <v>46048</v>
          </cell>
          <cell r="N788">
            <v>154</v>
          </cell>
          <cell r="O788">
            <v>46106</v>
          </cell>
          <cell r="P788">
            <v>46413</v>
          </cell>
          <cell r="Q788" t="str">
            <v>PLC-4680</v>
          </cell>
          <cell r="R788" t="str">
            <v>Venkata Aditya Kumar Mulukutla</v>
          </cell>
          <cell r="S788" t="str">
            <v>Individual</v>
          </cell>
          <cell r="T788" t="str">
            <v>C2C</v>
          </cell>
          <cell r="U788" t="str">
            <v>Wipro</v>
          </cell>
          <cell r="V788">
            <v>57</v>
          </cell>
          <cell r="W788">
            <v>0</v>
          </cell>
          <cell r="X788" t="str">
            <v>USD</v>
          </cell>
          <cell r="Y788">
            <v>75</v>
          </cell>
          <cell r="Z788">
            <v>0</v>
          </cell>
          <cell r="AA788">
            <v>0</v>
          </cell>
          <cell r="AB788">
            <v>0</v>
          </cell>
          <cell r="AC788">
            <v>46037</v>
          </cell>
          <cell r="AD788">
            <v>5</v>
          </cell>
          <cell r="AE788">
            <v>46387</v>
          </cell>
          <cell r="AF788">
            <v>57</v>
          </cell>
          <cell r="AG788">
            <v>0</v>
          </cell>
          <cell r="AH788">
            <v>57</v>
          </cell>
          <cell r="AI788">
            <v>75</v>
          </cell>
          <cell r="AJ788">
            <v>0</v>
          </cell>
          <cell r="AK788">
            <v>0</v>
          </cell>
          <cell r="AL788">
            <v>18</v>
          </cell>
          <cell r="AM788">
            <v>0</v>
          </cell>
          <cell r="AN788">
            <v>18</v>
          </cell>
          <cell r="AO788">
            <v>0</v>
          </cell>
          <cell r="AP788">
            <v>18</v>
          </cell>
          <cell r="AQ788" t="str">
            <v>US_26969</v>
          </cell>
          <cell r="AR788">
            <v>0</v>
          </cell>
          <cell r="AS788">
            <v>40</v>
          </cell>
          <cell r="AU788">
            <v>40</v>
          </cell>
          <cell r="AV788">
            <v>0</v>
          </cell>
          <cell r="AW788">
            <v>720</v>
          </cell>
          <cell r="AX788">
            <v>720</v>
          </cell>
          <cell r="AY788">
            <v>0</v>
          </cell>
          <cell r="AZ788">
            <v>720</v>
          </cell>
          <cell r="BA788">
            <v>720</v>
          </cell>
          <cell r="BB788">
            <v>720</v>
          </cell>
          <cell r="BC788">
            <v>0</v>
          </cell>
          <cell r="BD788">
            <v>0</v>
          </cell>
          <cell r="BE788">
            <v>0</v>
          </cell>
          <cell r="BG788">
            <v>720</v>
          </cell>
          <cell r="BI788">
            <v>720</v>
          </cell>
          <cell r="BJ788">
            <v>3000</v>
          </cell>
          <cell r="BK788">
            <v>3000</v>
          </cell>
          <cell r="BL788">
            <v>2280</v>
          </cell>
          <cell r="BM788">
            <v>0</v>
          </cell>
          <cell r="BN788">
            <v>0</v>
          </cell>
          <cell r="BO788">
            <v>0</v>
          </cell>
          <cell r="BP788">
            <v>2280</v>
          </cell>
          <cell r="BQ788">
            <v>0</v>
          </cell>
          <cell r="BR788">
            <v>720</v>
          </cell>
          <cell r="BS788" t="str">
            <v>Y</v>
          </cell>
          <cell r="BT788">
            <v>1</v>
          </cell>
          <cell r="BU788">
            <v>1</v>
          </cell>
          <cell r="BV788" t="str">
            <v>N</v>
          </cell>
          <cell r="BW788">
            <v>0</v>
          </cell>
          <cell r="BX788">
            <v>0</v>
          </cell>
          <cell r="BY788">
            <v>2026</v>
          </cell>
          <cell r="BZ788" t="str">
            <v>-</v>
          </cell>
          <cell r="CA788" t="str">
            <v>-</v>
          </cell>
        </row>
        <row r="789">
          <cell r="A789" t="str">
            <v>Lucknow</v>
          </cell>
          <cell r="B789" t="str">
            <v>Mavericks</v>
          </cell>
          <cell r="C789" t="str">
            <v>Mid Level</v>
          </cell>
          <cell r="D789" t="str">
            <v>Vikas Malik</v>
          </cell>
          <cell r="E789" t="str">
            <v>-</v>
          </cell>
          <cell r="F789" t="str">
            <v>Non-MSP</v>
          </cell>
          <cell r="H789" t="str">
            <v>Roshan Chaturvedi</v>
          </cell>
          <cell r="L789" t="str">
            <v>New</v>
          </cell>
          <cell r="M789">
            <v>46048</v>
          </cell>
          <cell r="N789">
            <v>154</v>
          </cell>
          <cell r="O789">
            <v>46106</v>
          </cell>
          <cell r="P789">
            <v>46413</v>
          </cell>
          <cell r="Q789" t="str">
            <v>PLC-4680</v>
          </cell>
          <cell r="R789" t="str">
            <v>Venkata Aditya Kumar Mulukutla</v>
          </cell>
          <cell r="S789" t="str">
            <v>Individual</v>
          </cell>
          <cell r="T789" t="str">
            <v>C2C</v>
          </cell>
          <cell r="U789" t="str">
            <v>Wipro</v>
          </cell>
          <cell r="V789">
            <v>57</v>
          </cell>
          <cell r="W789">
            <v>0</v>
          </cell>
          <cell r="X789" t="str">
            <v>USD</v>
          </cell>
          <cell r="Y789">
            <v>75</v>
          </cell>
          <cell r="Z789">
            <v>0</v>
          </cell>
          <cell r="AA789">
            <v>625</v>
          </cell>
          <cell r="AB789">
            <v>0</v>
          </cell>
          <cell r="AC789">
            <v>46068</v>
          </cell>
          <cell r="AD789">
            <v>20</v>
          </cell>
          <cell r="AE789">
            <v>46387</v>
          </cell>
          <cell r="AF789">
            <v>57</v>
          </cell>
          <cell r="AG789">
            <v>0</v>
          </cell>
          <cell r="AH789">
            <v>57</v>
          </cell>
          <cell r="AI789">
            <v>75</v>
          </cell>
          <cell r="AJ789">
            <v>0</v>
          </cell>
          <cell r="AK789">
            <v>0</v>
          </cell>
          <cell r="AL789">
            <v>18</v>
          </cell>
          <cell r="AM789">
            <v>0</v>
          </cell>
          <cell r="AN789">
            <v>18</v>
          </cell>
          <cell r="AO789">
            <v>0</v>
          </cell>
          <cell r="AP789">
            <v>18</v>
          </cell>
          <cell r="AQ789" t="str">
            <v>US_27163</v>
          </cell>
          <cell r="AR789">
            <v>0</v>
          </cell>
          <cell r="AS789">
            <v>160</v>
          </cell>
          <cell r="AU789">
            <v>160</v>
          </cell>
          <cell r="AV789">
            <v>0</v>
          </cell>
          <cell r="AW789">
            <v>2255</v>
          </cell>
          <cell r="AX789">
            <v>2255</v>
          </cell>
          <cell r="AY789">
            <v>0</v>
          </cell>
          <cell r="AZ789">
            <v>2255</v>
          </cell>
          <cell r="BA789">
            <v>2255</v>
          </cell>
          <cell r="BB789">
            <v>2255</v>
          </cell>
          <cell r="BC789">
            <v>0</v>
          </cell>
          <cell r="BD789">
            <v>0</v>
          </cell>
          <cell r="BE789">
            <v>0</v>
          </cell>
          <cell r="BG789">
            <v>1630</v>
          </cell>
          <cell r="BI789">
            <v>2255</v>
          </cell>
          <cell r="BJ789">
            <v>12000</v>
          </cell>
          <cell r="BK789">
            <v>12000</v>
          </cell>
          <cell r="BL789">
            <v>9120</v>
          </cell>
          <cell r="BM789">
            <v>0</v>
          </cell>
          <cell r="BN789">
            <v>625</v>
          </cell>
          <cell r="BO789">
            <v>0</v>
          </cell>
          <cell r="BP789">
            <v>9745</v>
          </cell>
          <cell r="BQ789">
            <v>625</v>
          </cell>
          <cell r="BR789">
            <v>2255</v>
          </cell>
          <cell r="BT789">
            <v>1</v>
          </cell>
          <cell r="BU789">
            <v>1</v>
          </cell>
          <cell r="BV789" t="str">
            <v>N</v>
          </cell>
          <cell r="BW789">
            <v>0</v>
          </cell>
          <cell r="BX789">
            <v>0</v>
          </cell>
          <cell r="BY789">
            <v>2026</v>
          </cell>
          <cell r="BZ789" t="str">
            <v>-</v>
          </cell>
          <cell r="CA789" t="str">
            <v>-</v>
          </cell>
        </row>
        <row r="790">
          <cell r="A790" t="str">
            <v>Lucknow</v>
          </cell>
          <cell r="B790" t="str">
            <v>Mavericks</v>
          </cell>
          <cell r="C790" t="str">
            <v>Mid Level</v>
          </cell>
          <cell r="D790" t="str">
            <v>Vikas Malik</v>
          </cell>
          <cell r="E790" t="str">
            <v>-</v>
          </cell>
          <cell r="F790" t="str">
            <v>Non-MSP</v>
          </cell>
          <cell r="H790" t="str">
            <v>Roshan Chaturvedi</v>
          </cell>
          <cell r="L790" t="str">
            <v>New</v>
          </cell>
          <cell r="M790">
            <v>46048</v>
          </cell>
          <cell r="N790">
            <v>154</v>
          </cell>
          <cell r="O790">
            <v>46106</v>
          </cell>
          <cell r="P790">
            <v>46413</v>
          </cell>
          <cell r="Q790" t="str">
            <v>PLC-4680</v>
          </cell>
          <cell r="R790" t="str">
            <v>Venkata Aditya Kumar Mulukutla</v>
          </cell>
          <cell r="S790" t="str">
            <v>Individual</v>
          </cell>
          <cell r="T790" t="str">
            <v>C2C</v>
          </cell>
          <cell r="U790" t="str">
            <v>Wipro</v>
          </cell>
          <cell r="V790">
            <v>57</v>
          </cell>
          <cell r="W790">
            <v>0</v>
          </cell>
          <cell r="X790" t="str">
            <v>USD</v>
          </cell>
          <cell r="Y790">
            <v>75</v>
          </cell>
          <cell r="Z790">
            <v>0</v>
          </cell>
          <cell r="AA790">
            <v>0</v>
          </cell>
          <cell r="AB790">
            <v>0</v>
          </cell>
          <cell r="AC790">
            <v>46096</v>
          </cell>
          <cell r="AD790">
            <v>22</v>
          </cell>
          <cell r="AE790">
            <v>46387</v>
          </cell>
          <cell r="AF790">
            <v>57</v>
          </cell>
          <cell r="AG790">
            <v>0</v>
          </cell>
          <cell r="AH790">
            <v>57</v>
          </cell>
          <cell r="AI790">
            <v>75</v>
          </cell>
          <cell r="AJ790">
            <v>0</v>
          </cell>
          <cell r="AK790">
            <v>0</v>
          </cell>
          <cell r="AL790">
            <v>18</v>
          </cell>
          <cell r="AM790">
            <v>0</v>
          </cell>
          <cell r="AN790">
            <v>18</v>
          </cell>
          <cell r="AO790">
            <v>0</v>
          </cell>
          <cell r="AP790">
            <v>18</v>
          </cell>
          <cell r="AQ790" t="str">
            <v>US_272178</v>
          </cell>
          <cell r="AR790">
            <v>0</v>
          </cell>
          <cell r="AS790">
            <v>128</v>
          </cell>
          <cell r="AU790">
            <v>128</v>
          </cell>
          <cell r="AV790">
            <v>0</v>
          </cell>
          <cell r="AW790">
            <v>2304</v>
          </cell>
          <cell r="AX790">
            <v>2304</v>
          </cell>
          <cell r="AY790">
            <v>0</v>
          </cell>
          <cell r="AZ790">
            <v>2304</v>
          </cell>
          <cell r="BA790">
            <v>2304</v>
          </cell>
          <cell r="BB790">
            <v>2304</v>
          </cell>
          <cell r="BC790">
            <v>0</v>
          </cell>
          <cell r="BD790">
            <v>0</v>
          </cell>
          <cell r="BE790">
            <v>0</v>
          </cell>
          <cell r="BG790">
            <v>2304</v>
          </cell>
          <cell r="BI790">
            <v>2304</v>
          </cell>
          <cell r="BJ790">
            <v>9600</v>
          </cell>
          <cell r="BK790">
            <v>9600</v>
          </cell>
          <cell r="BL790">
            <v>7296</v>
          </cell>
          <cell r="BM790">
            <v>0</v>
          </cell>
          <cell r="BN790">
            <v>0</v>
          </cell>
          <cell r="BO790">
            <v>0</v>
          </cell>
          <cell r="BP790">
            <v>7296</v>
          </cell>
          <cell r="BQ790">
            <v>0</v>
          </cell>
          <cell r="BR790">
            <v>2304</v>
          </cell>
          <cell r="BS790" t="str">
            <v>Y</v>
          </cell>
          <cell r="BT790">
            <v>1</v>
          </cell>
          <cell r="BU790">
            <v>1</v>
          </cell>
          <cell r="BV790" t="str">
            <v>N</v>
          </cell>
          <cell r="BW790">
            <v>0</v>
          </cell>
          <cell r="BX790">
            <v>0</v>
          </cell>
          <cell r="BY790">
            <v>2026</v>
          </cell>
          <cell r="BZ790" t="str">
            <v>-</v>
          </cell>
          <cell r="CA790" t="str">
            <v>-</v>
          </cell>
        </row>
        <row r="791">
          <cell r="A791" t="str">
            <v>Lucknow</v>
          </cell>
          <cell r="B791" t="str">
            <v>Mavericks</v>
          </cell>
          <cell r="C791" t="str">
            <v>Mid Level</v>
          </cell>
          <cell r="D791" t="str">
            <v>Rohit Gupta</v>
          </cell>
          <cell r="E791" t="str">
            <v>-</v>
          </cell>
          <cell r="F791" t="str">
            <v>Non-MSP</v>
          </cell>
          <cell r="H791" t="str">
            <v>Akhilesh Gupta</v>
          </cell>
          <cell r="L791" t="str">
            <v>New</v>
          </cell>
          <cell r="M791">
            <v>46091</v>
          </cell>
          <cell r="N791">
            <v>111</v>
          </cell>
          <cell r="P791">
            <v>46456</v>
          </cell>
          <cell r="Q791" t="str">
            <v>PLC-4748</v>
          </cell>
          <cell r="R791" t="str">
            <v>Venkata Ananda Sai Ravella</v>
          </cell>
          <cell r="S791" t="str">
            <v>Individual</v>
          </cell>
          <cell r="T791" t="str">
            <v>C2C</v>
          </cell>
          <cell r="U791" t="str">
            <v>CoForge</v>
          </cell>
          <cell r="V791">
            <v>68</v>
          </cell>
          <cell r="W791">
            <v>0</v>
          </cell>
          <cell r="X791" t="str">
            <v>USD</v>
          </cell>
          <cell r="Y791">
            <v>75</v>
          </cell>
          <cell r="Z791">
            <v>0</v>
          </cell>
          <cell r="AA791">
            <v>0</v>
          </cell>
          <cell r="AB791">
            <v>0</v>
          </cell>
          <cell r="AC791">
            <v>46096</v>
          </cell>
          <cell r="AD791">
            <v>16</v>
          </cell>
          <cell r="AE791">
            <v>46387</v>
          </cell>
          <cell r="AF791">
            <v>68</v>
          </cell>
          <cell r="AG791">
            <v>0</v>
          </cell>
          <cell r="AH791">
            <v>68</v>
          </cell>
          <cell r="AI791">
            <v>75</v>
          </cell>
          <cell r="AJ791">
            <v>0</v>
          </cell>
          <cell r="AK791">
            <v>0</v>
          </cell>
          <cell r="AL791">
            <v>7</v>
          </cell>
          <cell r="AM791">
            <v>0</v>
          </cell>
          <cell r="AN791">
            <v>7</v>
          </cell>
          <cell r="AO791">
            <v>0</v>
          </cell>
          <cell r="AP791">
            <v>7</v>
          </cell>
          <cell r="AQ791" t="str">
            <v>US_27431</v>
          </cell>
          <cell r="AR791">
            <v>0</v>
          </cell>
          <cell r="AS791">
            <v>128</v>
          </cell>
          <cell r="AU791">
            <v>128</v>
          </cell>
          <cell r="AV791">
            <v>0</v>
          </cell>
          <cell r="AW791">
            <v>896</v>
          </cell>
          <cell r="AX791">
            <v>896</v>
          </cell>
          <cell r="AY791">
            <v>0</v>
          </cell>
          <cell r="AZ791">
            <v>896</v>
          </cell>
          <cell r="BA791">
            <v>896</v>
          </cell>
          <cell r="BB791">
            <v>896</v>
          </cell>
          <cell r="BC791">
            <v>0</v>
          </cell>
          <cell r="BD791">
            <v>0</v>
          </cell>
          <cell r="BE791">
            <v>0</v>
          </cell>
          <cell r="BG791">
            <v>896</v>
          </cell>
          <cell r="BI791">
            <v>896</v>
          </cell>
          <cell r="BJ791">
            <v>9600</v>
          </cell>
          <cell r="BK791">
            <v>9600</v>
          </cell>
          <cell r="BL791">
            <v>8704</v>
          </cell>
          <cell r="BM791">
            <v>0</v>
          </cell>
          <cell r="BN791">
            <v>0</v>
          </cell>
          <cell r="BO791">
            <v>0</v>
          </cell>
          <cell r="BP791">
            <v>8704</v>
          </cell>
          <cell r="BQ791">
            <v>0</v>
          </cell>
          <cell r="BR791">
            <v>896</v>
          </cell>
          <cell r="BS791" t="str">
            <v>Y</v>
          </cell>
          <cell r="BT791">
            <v>1</v>
          </cell>
          <cell r="BU791">
            <v>1</v>
          </cell>
          <cell r="BV791" t="str">
            <v>Y</v>
          </cell>
          <cell r="BW791">
            <v>0</v>
          </cell>
          <cell r="BX791">
            <v>0</v>
          </cell>
          <cell r="BY791">
            <v>2026</v>
          </cell>
          <cell r="BZ791" t="str">
            <v>-</v>
          </cell>
          <cell r="CA791" t="str">
            <v>-</v>
          </cell>
        </row>
        <row r="792">
          <cell r="A792" t="str">
            <v>Lucknow</v>
          </cell>
          <cell r="B792" t="str">
            <v>Mavericks</v>
          </cell>
          <cell r="C792" t="str">
            <v>Mid Level</v>
          </cell>
          <cell r="D792" t="str">
            <v>Rohit Gupta</v>
          </cell>
          <cell r="E792" t="str">
            <v>-</v>
          </cell>
          <cell r="F792" t="str">
            <v>Non-MSP</v>
          </cell>
          <cell r="H792" t="str">
            <v>Akhilesh Gupta</v>
          </cell>
          <cell r="J792" t="str">
            <v>ACH</v>
          </cell>
          <cell r="L792" t="str">
            <v>New</v>
          </cell>
          <cell r="M792">
            <v>46091</v>
          </cell>
          <cell r="N792">
            <v>111</v>
          </cell>
          <cell r="P792">
            <v>46456</v>
          </cell>
          <cell r="Q792" t="str">
            <v>PLC-4748</v>
          </cell>
          <cell r="R792" t="str">
            <v>Venkata Ananda Sai Ravella</v>
          </cell>
          <cell r="S792" t="str">
            <v>Individual</v>
          </cell>
          <cell r="T792" t="str">
            <v>C2C</v>
          </cell>
          <cell r="U792" t="str">
            <v>CoForge</v>
          </cell>
          <cell r="V792">
            <v>68</v>
          </cell>
          <cell r="W792">
            <v>0</v>
          </cell>
          <cell r="X792" t="str">
            <v>USD</v>
          </cell>
          <cell r="Y792">
            <v>75</v>
          </cell>
          <cell r="Z792">
            <v>0</v>
          </cell>
          <cell r="AA792">
            <v>0</v>
          </cell>
          <cell r="AB792">
            <v>0</v>
          </cell>
          <cell r="AC792">
            <v>46127</v>
          </cell>
          <cell r="AD792">
            <v>22</v>
          </cell>
          <cell r="AE792">
            <v>46387</v>
          </cell>
          <cell r="AF792">
            <v>68</v>
          </cell>
          <cell r="AG792">
            <v>0</v>
          </cell>
          <cell r="AH792">
            <v>68</v>
          </cell>
          <cell r="AI792">
            <v>75</v>
          </cell>
          <cell r="AJ792">
            <v>0</v>
          </cell>
          <cell r="AK792">
            <v>0</v>
          </cell>
          <cell r="AL792">
            <v>7</v>
          </cell>
          <cell r="AM792">
            <v>0</v>
          </cell>
          <cell r="AN792">
            <v>7</v>
          </cell>
          <cell r="AO792">
            <v>0</v>
          </cell>
          <cell r="AP792">
            <v>7</v>
          </cell>
          <cell r="AQ792" t="str">
            <v>US_27661</v>
          </cell>
          <cell r="AR792">
            <v>0</v>
          </cell>
          <cell r="AS792">
            <v>168</v>
          </cell>
          <cell r="AU792">
            <v>168</v>
          </cell>
          <cell r="AV792">
            <v>0</v>
          </cell>
          <cell r="AW792">
            <v>1176</v>
          </cell>
          <cell r="AX792">
            <v>1164.24</v>
          </cell>
          <cell r="AY792">
            <v>0</v>
          </cell>
          <cell r="AZ792">
            <v>1176</v>
          </cell>
          <cell r="BA792">
            <v>1164.24</v>
          </cell>
          <cell r="BB792">
            <v>1176</v>
          </cell>
          <cell r="BC792">
            <v>0</v>
          </cell>
          <cell r="BD792">
            <v>0</v>
          </cell>
          <cell r="BE792">
            <v>0</v>
          </cell>
          <cell r="BG792">
            <v>1164.24</v>
          </cell>
          <cell r="BI792">
            <v>1164.24</v>
          </cell>
          <cell r="BJ792">
            <v>12600</v>
          </cell>
          <cell r="BK792">
            <v>12600</v>
          </cell>
          <cell r="BL792">
            <v>11424</v>
          </cell>
          <cell r="BM792">
            <v>0</v>
          </cell>
          <cell r="BN792">
            <v>0</v>
          </cell>
          <cell r="BO792">
            <v>0</v>
          </cell>
          <cell r="BP792">
            <v>11424</v>
          </cell>
          <cell r="BQ792">
            <v>0</v>
          </cell>
          <cell r="BR792">
            <v>1176</v>
          </cell>
          <cell r="BS792" t="str">
            <v>Y</v>
          </cell>
          <cell r="BT792">
            <v>2</v>
          </cell>
          <cell r="BU792">
            <v>1</v>
          </cell>
          <cell r="BV792" t="str">
            <v>N</v>
          </cell>
          <cell r="BW792">
            <v>0</v>
          </cell>
          <cell r="BX792">
            <v>0</v>
          </cell>
          <cell r="BY792">
            <v>2026</v>
          </cell>
          <cell r="BZ792" t="str">
            <v>-</v>
          </cell>
          <cell r="CA792" t="str">
            <v>-</v>
          </cell>
        </row>
        <row r="793">
          <cell r="A793" t="str">
            <v>Lucknow</v>
          </cell>
          <cell r="B793" t="str">
            <v>Mavericks</v>
          </cell>
          <cell r="C793" t="str">
            <v>Mid Level</v>
          </cell>
          <cell r="D793" t="str">
            <v>Rohit Gupta</v>
          </cell>
          <cell r="E793" t="str">
            <v>-</v>
          </cell>
          <cell r="F793" t="str">
            <v>Non-MSP</v>
          </cell>
          <cell r="H793" t="str">
            <v>Akhilesh Gupta</v>
          </cell>
          <cell r="J793" t="str">
            <v>ACH</v>
          </cell>
          <cell r="L793" t="str">
            <v>New</v>
          </cell>
          <cell r="M793">
            <v>46091</v>
          </cell>
          <cell r="N793">
            <v>111</v>
          </cell>
          <cell r="P793">
            <v>46456</v>
          </cell>
          <cell r="Q793" t="str">
            <v>PLC-4748</v>
          </cell>
          <cell r="R793" t="str">
            <v>Venkata Ananda Sai Ravella</v>
          </cell>
          <cell r="S793" t="str">
            <v>Individual</v>
          </cell>
          <cell r="T793" t="str">
            <v>C2C</v>
          </cell>
          <cell r="U793" t="str">
            <v>CoForge</v>
          </cell>
          <cell r="V793">
            <v>68</v>
          </cell>
          <cell r="W793">
            <v>0</v>
          </cell>
          <cell r="X793" t="str">
            <v>USD</v>
          </cell>
          <cell r="Y793">
            <v>75</v>
          </cell>
          <cell r="Z793">
            <v>0</v>
          </cell>
          <cell r="AA793">
            <v>0</v>
          </cell>
          <cell r="AB793">
            <v>0</v>
          </cell>
          <cell r="AC793">
            <v>46157</v>
          </cell>
          <cell r="AD793">
            <v>22</v>
          </cell>
          <cell r="AE793">
            <v>46387</v>
          </cell>
          <cell r="AF793">
            <v>68</v>
          </cell>
          <cell r="AG793">
            <v>0</v>
          </cell>
          <cell r="AH793">
            <v>68</v>
          </cell>
          <cell r="AI793">
            <v>75</v>
          </cell>
          <cell r="AJ793">
            <v>0</v>
          </cell>
          <cell r="AK793">
            <v>0</v>
          </cell>
          <cell r="AL793">
            <v>7</v>
          </cell>
          <cell r="AM793">
            <v>0</v>
          </cell>
          <cell r="AN793">
            <v>7</v>
          </cell>
          <cell r="AO793">
            <v>0</v>
          </cell>
          <cell r="AP793">
            <v>7</v>
          </cell>
          <cell r="AQ793" t="str">
            <v>US_27769</v>
          </cell>
          <cell r="AR793">
            <v>0</v>
          </cell>
          <cell r="AS793">
            <v>160</v>
          </cell>
          <cell r="AU793">
            <v>160</v>
          </cell>
          <cell r="AV793">
            <v>0</v>
          </cell>
          <cell r="AW793">
            <v>1120</v>
          </cell>
          <cell r="AX793">
            <v>1108.8</v>
          </cell>
          <cell r="AY793">
            <v>0</v>
          </cell>
          <cell r="AZ793">
            <v>1120</v>
          </cell>
          <cell r="BA793">
            <v>1108.8</v>
          </cell>
          <cell r="BB793">
            <v>1120</v>
          </cell>
          <cell r="BC793">
            <v>0</v>
          </cell>
          <cell r="BD793">
            <v>0</v>
          </cell>
          <cell r="BE793">
            <v>0</v>
          </cell>
          <cell r="BG793">
            <v>1108.8</v>
          </cell>
          <cell r="BI793">
            <v>1108.8</v>
          </cell>
          <cell r="BJ793">
            <v>12000</v>
          </cell>
          <cell r="BK793">
            <v>12000</v>
          </cell>
          <cell r="BL793">
            <v>10880</v>
          </cell>
          <cell r="BM793">
            <v>0</v>
          </cell>
          <cell r="BN793">
            <v>0</v>
          </cell>
          <cell r="BO793">
            <v>0</v>
          </cell>
          <cell r="BP793">
            <v>10880</v>
          </cell>
          <cell r="BQ793">
            <v>0</v>
          </cell>
          <cell r="BR793">
            <v>1120</v>
          </cell>
          <cell r="BT793">
            <v>2</v>
          </cell>
          <cell r="BU793">
            <v>1</v>
          </cell>
          <cell r="BV793" t="str">
            <v>N</v>
          </cell>
          <cell r="BW793">
            <v>0</v>
          </cell>
          <cell r="BX793">
            <v>0</v>
          </cell>
          <cell r="BY793">
            <v>2026</v>
          </cell>
          <cell r="BZ793" t="str">
            <v>-</v>
          </cell>
          <cell r="CA793" t="str">
            <v>-</v>
          </cell>
        </row>
        <row r="794">
          <cell r="A794" t="str">
            <v>Lucknow</v>
          </cell>
          <cell r="B794" t="str">
            <v>Mavericks</v>
          </cell>
          <cell r="C794" t="str">
            <v>Mid Level</v>
          </cell>
          <cell r="D794" t="str">
            <v>Kashif Nabi</v>
          </cell>
          <cell r="E794" t="str">
            <v>Khatib Ur Rahman</v>
          </cell>
          <cell r="F794" t="str">
            <v>Non-MSP</v>
          </cell>
          <cell r="H794" t="str">
            <v>Khatib Rahman</v>
          </cell>
          <cell r="J794" t="str">
            <v>ACH</v>
          </cell>
          <cell r="L794" t="str">
            <v>New</v>
          </cell>
          <cell r="M794">
            <v>46134</v>
          </cell>
          <cell r="N794">
            <v>68</v>
          </cell>
          <cell r="O794">
            <v>46170</v>
          </cell>
          <cell r="P794">
            <v>46499</v>
          </cell>
          <cell r="Q794" t="str">
            <v>PLC-4832</v>
          </cell>
          <cell r="R794" t="str">
            <v>Venkata Murali Krishna Telkapalli</v>
          </cell>
          <cell r="S794" t="str">
            <v>Individual</v>
          </cell>
          <cell r="T794" t="str">
            <v>C2C</v>
          </cell>
          <cell r="U794" t="str">
            <v>Fanatics</v>
          </cell>
          <cell r="V794">
            <v>80</v>
          </cell>
          <cell r="W794">
            <v>0</v>
          </cell>
          <cell r="X794" t="str">
            <v>USD</v>
          </cell>
          <cell r="Y794">
            <v>125</v>
          </cell>
          <cell r="Z794">
            <v>0</v>
          </cell>
          <cell r="AA794">
            <v>0</v>
          </cell>
          <cell r="AB794">
            <v>0</v>
          </cell>
          <cell r="AC794">
            <v>46127</v>
          </cell>
          <cell r="AD794">
            <v>7</v>
          </cell>
          <cell r="AE794">
            <v>46387</v>
          </cell>
          <cell r="AF794">
            <v>80</v>
          </cell>
          <cell r="AG794">
            <v>0</v>
          </cell>
          <cell r="AH794">
            <v>80</v>
          </cell>
          <cell r="AI794">
            <v>125</v>
          </cell>
          <cell r="AJ794">
            <v>0</v>
          </cell>
          <cell r="AK794">
            <v>0</v>
          </cell>
          <cell r="AL794">
            <v>20</v>
          </cell>
          <cell r="AM794">
            <v>0</v>
          </cell>
          <cell r="AN794">
            <v>20</v>
          </cell>
          <cell r="AO794">
            <v>0</v>
          </cell>
          <cell r="AP794">
            <v>20</v>
          </cell>
          <cell r="AQ794" t="str">
            <v>US_27719</v>
          </cell>
          <cell r="AR794">
            <v>0</v>
          </cell>
          <cell r="AS794">
            <v>56</v>
          </cell>
          <cell r="AU794">
            <v>56</v>
          </cell>
          <cell r="AV794">
            <v>0</v>
          </cell>
          <cell r="AW794">
            <v>1120</v>
          </cell>
          <cell r="AX794">
            <v>1108.8</v>
          </cell>
          <cell r="AY794">
            <v>0</v>
          </cell>
          <cell r="AZ794">
            <v>1120</v>
          </cell>
          <cell r="BA794">
            <v>1108.8</v>
          </cell>
          <cell r="BB794">
            <v>1120</v>
          </cell>
          <cell r="BC794">
            <v>0</v>
          </cell>
          <cell r="BD794">
            <v>0</v>
          </cell>
          <cell r="BE794">
            <v>0</v>
          </cell>
          <cell r="BG794">
            <v>1108.8</v>
          </cell>
          <cell r="BI794">
            <v>0</v>
          </cell>
          <cell r="BJ794">
            <v>7000</v>
          </cell>
          <cell r="BK794">
            <v>7000</v>
          </cell>
          <cell r="BL794">
            <v>4480</v>
          </cell>
          <cell r="BM794">
            <v>0</v>
          </cell>
          <cell r="BN794">
            <v>0</v>
          </cell>
          <cell r="BO794">
            <v>0</v>
          </cell>
          <cell r="BP794">
            <v>4480</v>
          </cell>
          <cell r="BQ794">
            <v>0</v>
          </cell>
          <cell r="BR794">
            <v>2520</v>
          </cell>
          <cell r="BT794">
            <v>2</v>
          </cell>
          <cell r="BU794">
            <v>2</v>
          </cell>
          <cell r="BV794" t="str">
            <v>Y</v>
          </cell>
          <cell r="BW794">
            <v>0</v>
          </cell>
          <cell r="BX794">
            <v>0</v>
          </cell>
          <cell r="BY794">
            <v>2026</v>
          </cell>
          <cell r="BZ794" t="str">
            <v>-</v>
          </cell>
          <cell r="CA794" t="str">
            <v>-</v>
          </cell>
        </row>
        <row r="795">
          <cell r="A795" t="str">
            <v>Lucknow</v>
          </cell>
          <cell r="B795" t="str">
            <v>Mavericks</v>
          </cell>
          <cell r="C795" t="str">
            <v>Mid Level</v>
          </cell>
          <cell r="D795" t="str">
            <v>Kashif Nabi</v>
          </cell>
          <cell r="E795" t="str">
            <v>Khatib Ur Rahman</v>
          </cell>
          <cell r="F795" t="str">
            <v>Non-MSP</v>
          </cell>
          <cell r="H795" t="str">
            <v>Khatib Rahman</v>
          </cell>
          <cell r="J795" t="str">
            <v>ACH</v>
          </cell>
          <cell r="L795" t="str">
            <v>New</v>
          </cell>
          <cell r="M795">
            <v>46134</v>
          </cell>
          <cell r="N795">
            <v>68</v>
          </cell>
          <cell r="O795">
            <v>46170</v>
          </cell>
          <cell r="P795">
            <v>46499</v>
          </cell>
          <cell r="Q795" t="str">
            <v>PLC-4832</v>
          </cell>
          <cell r="R795" t="str">
            <v>Venkata Murali Krishna Telkapalli</v>
          </cell>
          <cell r="S795" t="str">
            <v>Individual</v>
          </cell>
          <cell r="T795" t="str">
            <v>C2C</v>
          </cell>
          <cell r="U795" t="str">
            <v>Fanatics</v>
          </cell>
          <cell r="V795">
            <v>80</v>
          </cell>
          <cell r="W795">
            <v>0</v>
          </cell>
          <cell r="X795" t="str">
            <v>USD</v>
          </cell>
          <cell r="Y795">
            <v>125</v>
          </cell>
          <cell r="Z795">
            <v>0</v>
          </cell>
          <cell r="AA795">
            <v>0</v>
          </cell>
          <cell r="AB795">
            <v>0</v>
          </cell>
          <cell r="AC795">
            <v>46157</v>
          </cell>
          <cell r="AD795">
            <v>7</v>
          </cell>
          <cell r="AE795">
            <v>46387</v>
          </cell>
          <cell r="AF795">
            <v>80</v>
          </cell>
          <cell r="AG795">
            <v>0</v>
          </cell>
          <cell r="AH795">
            <v>80</v>
          </cell>
          <cell r="AI795">
            <v>125</v>
          </cell>
          <cell r="AJ795">
            <v>0</v>
          </cell>
          <cell r="AK795">
            <v>0</v>
          </cell>
          <cell r="AL795">
            <v>20</v>
          </cell>
          <cell r="AM795">
            <v>0</v>
          </cell>
          <cell r="AN795">
            <v>20</v>
          </cell>
          <cell r="AO795">
            <v>0</v>
          </cell>
          <cell r="AP795">
            <v>20</v>
          </cell>
          <cell r="AQ795" t="str">
            <v>US_27798</v>
          </cell>
          <cell r="AR795">
            <v>0</v>
          </cell>
          <cell r="AS795">
            <v>160</v>
          </cell>
          <cell r="AU795">
            <v>160</v>
          </cell>
          <cell r="AV795">
            <v>0</v>
          </cell>
          <cell r="AW795">
            <v>3200</v>
          </cell>
          <cell r="AX795">
            <v>3168</v>
          </cell>
          <cell r="AY795">
            <v>0</v>
          </cell>
          <cell r="AZ795">
            <v>3200</v>
          </cell>
          <cell r="BA795">
            <v>3168</v>
          </cell>
          <cell r="BB795">
            <v>3200</v>
          </cell>
          <cell r="BC795">
            <v>0</v>
          </cell>
          <cell r="BD795">
            <v>0</v>
          </cell>
          <cell r="BE795">
            <v>0</v>
          </cell>
          <cell r="BG795">
            <v>3168</v>
          </cell>
          <cell r="BI795">
            <v>0</v>
          </cell>
          <cell r="BJ795">
            <v>20000</v>
          </cell>
          <cell r="BK795">
            <v>20000</v>
          </cell>
          <cell r="BL795">
            <v>12800</v>
          </cell>
          <cell r="BM795">
            <v>0</v>
          </cell>
          <cell r="BN795">
            <v>0</v>
          </cell>
          <cell r="BO795">
            <v>0</v>
          </cell>
          <cell r="BP795">
            <v>12800</v>
          </cell>
          <cell r="BQ795">
            <v>0</v>
          </cell>
          <cell r="BR795">
            <v>7200</v>
          </cell>
          <cell r="BT795">
            <v>2</v>
          </cell>
          <cell r="BU795">
            <v>2</v>
          </cell>
          <cell r="BV795" t="str">
            <v>Y</v>
          </cell>
          <cell r="BW795">
            <v>0</v>
          </cell>
          <cell r="BX795">
            <v>0</v>
          </cell>
          <cell r="BY795">
            <v>2026</v>
          </cell>
          <cell r="BZ795" t="str">
            <v>-</v>
          </cell>
          <cell r="CA795" t="str">
            <v>-</v>
          </cell>
        </row>
        <row r="796">
          <cell r="A796" t="str">
            <v>Lucknow</v>
          </cell>
          <cell r="B796" t="str">
            <v>Mavericks</v>
          </cell>
          <cell r="C796" t="str">
            <v>Mid Level</v>
          </cell>
          <cell r="D796" t="str">
            <v>Mohammad Fakhrul</v>
          </cell>
          <cell r="E796" t="str">
            <v>-</v>
          </cell>
          <cell r="F796" t="str">
            <v>MSP</v>
          </cell>
          <cell r="H796" t="str">
            <v>Pass Through/MSP</v>
          </cell>
          <cell r="L796" t="str">
            <v>New</v>
          </cell>
          <cell r="M796">
            <v>46107</v>
          </cell>
          <cell r="N796">
            <v>95</v>
          </cell>
          <cell r="P796">
            <v>46472</v>
          </cell>
          <cell r="Q796" t="str">
            <v>PLC-Passthrough</v>
          </cell>
          <cell r="R796" t="str">
            <v>Venkata Niteesh Koyyala</v>
          </cell>
          <cell r="S796" t="str">
            <v>Individual</v>
          </cell>
          <cell r="T796" t="str">
            <v>C2C</v>
          </cell>
          <cell r="U796" t="str">
            <v>CoForge</v>
          </cell>
          <cell r="V796">
            <v>85</v>
          </cell>
          <cell r="W796">
            <v>0</v>
          </cell>
          <cell r="X796" t="str">
            <v>USD</v>
          </cell>
          <cell r="Y796">
            <v>86</v>
          </cell>
          <cell r="Z796">
            <v>0</v>
          </cell>
          <cell r="AA796">
            <v>0</v>
          </cell>
          <cell r="AB796">
            <v>0</v>
          </cell>
          <cell r="AC796">
            <v>46096</v>
          </cell>
          <cell r="AD796">
            <v>4</v>
          </cell>
          <cell r="AE796">
            <v>46387</v>
          </cell>
          <cell r="AF796">
            <v>85</v>
          </cell>
          <cell r="AG796">
            <v>0</v>
          </cell>
          <cell r="AH796">
            <v>85</v>
          </cell>
          <cell r="AI796">
            <v>86</v>
          </cell>
          <cell r="AJ796">
            <v>0</v>
          </cell>
          <cell r="AK796">
            <v>0</v>
          </cell>
          <cell r="AL796">
            <v>1</v>
          </cell>
          <cell r="AM796">
            <v>0</v>
          </cell>
          <cell r="AN796">
            <v>1</v>
          </cell>
          <cell r="AO796">
            <v>0</v>
          </cell>
          <cell r="AP796">
            <v>1</v>
          </cell>
          <cell r="AQ796" t="str">
            <v>US_CMSP_00584</v>
          </cell>
          <cell r="AR796">
            <v>0</v>
          </cell>
          <cell r="AS796">
            <v>32</v>
          </cell>
          <cell r="AU796">
            <v>32</v>
          </cell>
          <cell r="AV796">
            <v>0</v>
          </cell>
          <cell r="AW796">
            <v>32</v>
          </cell>
          <cell r="AX796">
            <v>32</v>
          </cell>
          <cell r="AY796">
            <v>0</v>
          </cell>
          <cell r="AZ796">
            <v>32</v>
          </cell>
          <cell r="BA796">
            <v>32</v>
          </cell>
          <cell r="BB796">
            <v>32</v>
          </cell>
          <cell r="BC796">
            <v>0</v>
          </cell>
          <cell r="BD796">
            <v>0</v>
          </cell>
          <cell r="BE796">
            <v>0</v>
          </cell>
          <cell r="BG796">
            <v>32</v>
          </cell>
          <cell r="BI796">
            <v>32</v>
          </cell>
          <cell r="BJ796">
            <v>2752</v>
          </cell>
          <cell r="BK796">
            <v>2752</v>
          </cell>
          <cell r="BL796">
            <v>2720</v>
          </cell>
          <cell r="BM796">
            <v>0</v>
          </cell>
          <cell r="BN796">
            <v>0</v>
          </cell>
          <cell r="BO796">
            <v>0</v>
          </cell>
          <cell r="BP796">
            <v>2720</v>
          </cell>
          <cell r="BQ796">
            <v>0</v>
          </cell>
          <cell r="BR796">
            <v>32</v>
          </cell>
          <cell r="BS796" t="str">
            <v>Y</v>
          </cell>
          <cell r="BT796">
            <v>1</v>
          </cell>
          <cell r="BU796">
            <v>1</v>
          </cell>
          <cell r="BV796" t="str">
            <v>N</v>
          </cell>
          <cell r="BW796">
            <v>0</v>
          </cell>
          <cell r="BX796">
            <v>0</v>
          </cell>
          <cell r="BY796">
            <v>2026</v>
          </cell>
          <cell r="BZ796" t="str">
            <v>-</v>
          </cell>
          <cell r="CA796" t="str">
            <v>-</v>
          </cell>
        </row>
        <row r="797">
          <cell r="A797" t="str">
            <v>Lucknow</v>
          </cell>
          <cell r="B797" t="str">
            <v>Mavericks</v>
          </cell>
          <cell r="C797" t="str">
            <v>Mid Level</v>
          </cell>
          <cell r="D797" t="str">
            <v>Mohammad Fakhrul</v>
          </cell>
          <cell r="E797" t="str">
            <v>-</v>
          </cell>
          <cell r="F797" t="str">
            <v>MSP</v>
          </cell>
          <cell r="H797" t="str">
            <v>Pass Through/MSP</v>
          </cell>
          <cell r="J797" t="str">
            <v>ACH</v>
          </cell>
          <cell r="L797" t="str">
            <v>New</v>
          </cell>
          <cell r="M797">
            <v>46107</v>
          </cell>
          <cell r="N797">
            <v>95</v>
          </cell>
          <cell r="P797">
            <v>46472</v>
          </cell>
          <cell r="Q797" t="str">
            <v>PLC-Passthrough</v>
          </cell>
          <cell r="R797" t="str">
            <v>Venkata Niteesh Koyyala</v>
          </cell>
          <cell r="S797" t="str">
            <v>Individual</v>
          </cell>
          <cell r="T797" t="str">
            <v>C2C</v>
          </cell>
          <cell r="U797" t="str">
            <v>CoForge</v>
          </cell>
          <cell r="V797">
            <v>85</v>
          </cell>
          <cell r="W797">
            <v>0</v>
          </cell>
          <cell r="X797" t="str">
            <v>USD</v>
          </cell>
          <cell r="Y797">
            <v>86</v>
          </cell>
          <cell r="Z797">
            <v>0</v>
          </cell>
          <cell r="AA797">
            <v>0</v>
          </cell>
          <cell r="AB797">
            <v>0</v>
          </cell>
          <cell r="AC797">
            <v>46127</v>
          </cell>
          <cell r="AD797">
            <v>22</v>
          </cell>
          <cell r="AE797">
            <v>46387</v>
          </cell>
          <cell r="AF797">
            <v>85</v>
          </cell>
          <cell r="AG797">
            <v>0</v>
          </cell>
          <cell r="AH797">
            <v>85</v>
          </cell>
          <cell r="AI797">
            <v>86</v>
          </cell>
          <cell r="AJ797">
            <v>0</v>
          </cell>
          <cell r="AK797">
            <v>0</v>
          </cell>
          <cell r="AL797">
            <v>1</v>
          </cell>
          <cell r="AM797">
            <v>0</v>
          </cell>
          <cell r="AN797">
            <v>1</v>
          </cell>
          <cell r="AO797">
            <v>0</v>
          </cell>
          <cell r="AP797">
            <v>1</v>
          </cell>
          <cell r="AQ797" t="str">
            <v>US_CMSP_00725</v>
          </cell>
          <cell r="AR797">
            <v>0</v>
          </cell>
          <cell r="AS797">
            <v>168</v>
          </cell>
          <cell r="AU797">
            <v>168</v>
          </cell>
          <cell r="AV797">
            <v>0</v>
          </cell>
          <cell r="AW797">
            <v>168</v>
          </cell>
          <cell r="AX797">
            <v>166.32</v>
          </cell>
          <cell r="AY797">
            <v>0</v>
          </cell>
          <cell r="AZ797">
            <v>168</v>
          </cell>
          <cell r="BA797">
            <v>166.32</v>
          </cell>
          <cell r="BB797">
            <v>168</v>
          </cell>
          <cell r="BC797">
            <v>0</v>
          </cell>
          <cell r="BD797">
            <v>0</v>
          </cell>
          <cell r="BE797">
            <v>0</v>
          </cell>
          <cell r="BG797">
            <v>166.32</v>
          </cell>
          <cell r="BI797">
            <v>166.32</v>
          </cell>
          <cell r="BJ797">
            <v>14448</v>
          </cell>
          <cell r="BK797">
            <v>14448</v>
          </cell>
          <cell r="BL797">
            <v>14280</v>
          </cell>
          <cell r="BM797">
            <v>0</v>
          </cell>
          <cell r="BN797">
            <v>0</v>
          </cell>
          <cell r="BO797">
            <v>0</v>
          </cell>
          <cell r="BP797">
            <v>14280</v>
          </cell>
          <cell r="BQ797">
            <v>0</v>
          </cell>
          <cell r="BR797">
            <v>168</v>
          </cell>
          <cell r="BT797">
            <v>2</v>
          </cell>
          <cell r="BU797">
            <v>1</v>
          </cell>
          <cell r="BV797" t="str">
            <v>N</v>
          </cell>
          <cell r="BW797">
            <v>0</v>
          </cell>
          <cell r="BX797">
            <v>0</v>
          </cell>
          <cell r="BY797">
            <v>2026</v>
          </cell>
          <cell r="BZ797" t="str">
            <v>-</v>
          </cell>
          <cell r="CA797" t="str">
            <v>-</v>
          </cell>
        </row>
        <row r="798">
          <cell r="A798" t="str">
            <v>Lucknow</v>
          </cell>
          <cell r="B798" t="str">
            <v>Mavericks</v>
          </cell>
          <cell r="C798" t="str">
            <v>Mid Level</v>
          </cell>
          <cell r="D798" t="str">
            <v>Mohammad Fakhrul</v>
          </cell>
          <cell r="E798" t="str">
            <v>-</v>
          </cell>
          <cell r="F798" t="str">
            <v>MSP</v>
          </cell>
          <cell r="H798" t="str">
            <v>Pass Through/MSP</v>
          </cell>
          <cell r="J798" t="str">
            <v>ACH</v>
          </cell>
          <cell r="L798" t="str">
            <v>New</v>
          </cell>
          <cell r="M798">
            <v>46107</v>
          </cell>
          <cell r="N798">
            <v>95</v>
          </cell>
          <cell r="P798">
            <v>46472</v>
          </cell>
          <cell r="Q798" t="str">
            <v>PLC-Passthrough</v>
          </cell>
          <cell r="R798" t="str">
            <v>Venkata Niteesh Koyyala</v>
          </cell>
          <cell r="S798" t="str">
            <v>Individual</v>
          </cell>
          <cell r="T798" t="str">
            <v>C2C</v>
          </cell>
          <cell r="U798" t="str">
            <v>CoForge</v>
          </cell>
          <cell r="V798">
            <v>85</v>
          </cell>
          <cell r="W798">
            <v>0</v>
          </cell>
          <cell r="X798" t="str">
            <v>USD</v>
          </cell>
          <cell r="Y798">
            <v>86</v>
          </cell>
          <cell r="Z798">
            <v>0</v>
          </cell>
          <cell r="AA798">
            <v>0</v>
          </cell>
          <cell r="AB798">
            <v>0</v>
          </cell>
          <cell r="AC798">
            <v>46157</v>
          </cell>
          <cell r="AD798">
            <v>22</v>
          </cell>
          <cell r="AE798">
            <v>46387</v>
          </cell>
          <cell r="AF798">
            <v>85</v>
          </cell>
          <cell r="AG798">
            <v>0</v>
          </cell>
          <cell r="AH798">
            <v>85</v>
          </cell>
          <cell r="AI798">
            <v>86</v>
          </cell>
          <cell r="AJ798">
            <v>0</v>
          </cell>
          <cell r="AK798">
            <v>0</v>
          </cell>
          <cell r="AL798">
            <v>1</v>
          </cell>
          <cell r="AM798">
            <v>0</v>
          </cell>
          <cell r="AN798">
            <v>1</v>
          </cell>
          <cell r="AO798">
            <v>0</v>
          </cell>
          <cell r="AP798">
            <v>1</v>
          </cell>
          <cell r="AQ798" t="str">
            <v>US_CMSP_00870</v>
          </cell>
          <cell r="AR798">
            <v>0</v>
          </cell>
          <cell r="AS798">
            <v>160</v>
          </cell>
          <cell r="AU798">
            <v>160</v>
          </cell>
          <cell r="AV798">
            <v>0</v>
          </cell>
          <cell r="AW798">
            <v>160</v>
          </cell>
          <cell r="AX798">
            <v>158.4</v>
          </cell>
          <cell r="AY798">
            <v>0</v>
          </cell>
          <cell r="AZ798">
            <v>160</v>
          </cell>
          <cell r="BA798">
            <v>158.4</v>
          </cell>
          <cell r="BB798">
            <v>160</v>
          </cell>
          <cell r="BC798">
            <v>0</v>
          </cell>
          <cell r="BD798">
            <v>0</v>
          </cell>
          <cell r="BE798">
            <v>0</v>
          </cell>
          <cell r="BG798">
            <v>158.4</v>
          </cell>
          <cell r="BI798">
            <v>158.4</v>
          </cell>
          <cell r="BJ798">
            <v>13760</v>
          </cell>
          <cell r="BK798">
            <v>13760</v>
          </cell>
          <cell r="BL798">
            <v>13600</v>
          </cell>
          <cell r="BM798">
            <v>0</v>
          </cell>
          <cell r="BN798">
            <v>0</v>
          </cell>
          <cell r="BO798">
            <v>0</v>
          </cell>
          <cell r="BP798">
            <v>13600</v>
          </cell>
          <cell r="BQ798">
            <v>0</v>
          </cell>
          <cell r="BR798">
            <v>160</v>
          </cell>
          <cell r="BT798">
            <v>2</v>
          </cell>
          <cell r="BU798">
            <v>1</v>
          </cell>
          <cell r="BV798" t="str">
            <v>N</v>
          </cell>
          <cell r="BW798">
            <v>0</v>
          </cell>
          <cell r="BX798">
            <v>0</v>
          </cell>
          <cell r="BY798">
            <v>2026</v>
          </cell>
          <cell r="BZ798" t="str">
            <v>-</v>
          </cell>
          <cell r="CA798" t="str">
            <v>-</v>
          </cell>
        </row>
        <row r="799">
          <cell r="A799" t="str">
            <v>Lucknow</v>
          </cell>
          <cell r="B799" t="str">
            <v>Mavericks</v>
          </cell>
          <cell r="C799" t="str">
            <v>Mid Level</v>
          </cell>
          <cell r="D799" t="str">
            <v>Kashif Nabi</v>
          </cell>
          <cell r="E799" t="str">
            <v>-</v>
          </cell>
          <cell r="F799" t="str">
            <v>Non-MSP</v>
          </cell>
          <cell r="H799" t="str">
            <v>Ritik Arya</v>
          </cell>
          <cell r="L799" t="str">
            <v>New</v>
          </cell>
          <cell r="M799">
            <v>46027</v>
          </cell>
          <cell r="N799">
            <v>175</v>
          </cell>
          <cell r="O799">
            <v>46079</v>
          </cell>
          <cell r="P799">
            <v>46392</v>
          </cell>
          <cell r="Q799" t="str">
            <v>PLC-4630</v>
          </cell>
          <cell r="R799" t="str">
            <v>Venkata Sai Gokul Gadamsetty</v>
          </cell>
          <cell r="S799" t="str">
            <v>Individual</v>
          </cell>
          <cell r="T799" t="str">
            <v>C2C</v>
          </cell>
          <cell r="U799" t="str">
            <v>GRI</v>
          </cell>
          <cell r="V799">
            <v>109</v>
          </cell>
          <cell r="W799">
            <v>0</v>
          </cell>
          <cell r="X799" t="str">
            <v>USD</v>
          </cell>
          <cell r="Y799">
            <v>115</v>
          </cell>
          <cell r="Z799">
            <v>0</v>
          </cell>
          <cell r="AA799">
            <v>0</v>
          </cell>
          <cell r="AB799">
            <v>0</v>
          </cell>
          <cell r="AC799">
            <v>46037</v>
          </cell>
          <cell r="AD799">
            <v>20</v>
          </cell>
          <cell r="AE799">
            <v>46387</v>
          </cell>
          <cell r="AF799">
            <v>109</v>
          </cell>
          <cell r="AG799">
            <v>0</v>
          </cell>
          <cell r="AH799">
            <v>109</v>
          </cell>
          <cell r="AI799">
            <v>112.26299999999999</v>
          </cell>
          <cell r="AJ799">
            <v>0</v>
          </cell>
          <cell r="AK799">
            <v>0</v>
          </cell>
          <cell r="AL799">
            <v>3.262999999999991</v>
          </cell>
          <cell r="AM799">
            <v>0</v>
          </cell>
          <cell r="AN799">
            <v>3.262999999999991</v>
          </cell>
          <cell r="AO799">
            <v>0</v>
          </cell>
          <cell r="AP799">
            <v>3.262999999999991</v>
          </cell>
          <cell r="AQ799" t="str">
            <v>GRI123542</v>
          </cell>
          <cell r="AR799">
            <v>0</v>
          </cell>
          <cell r="AS799">
            <v>152</v>
          </cell>
          <cell r="AU799">
            <v>152</v>
          </cell>
          <cell r="AV799">
            <v>0</v>
          </cell>
          <cell r="AW799">
            <v>495.97599999999863</v>
          </cell>
          <cell r="AX799">
            <v>495.97599999999863</v>
          </cell>
          <cell r="AY799">
            <v>0</v>
          </cell>
          <cell r="AZ799">
            <v>495.97599999999863</v>
          </cell>
          <cell r="BA799">
            <v>495.97599999999863</v>
          </cell>
          <cell r="BB799">
            <v>495.97599999999863</v>
          </cell>
          <cell r="BC799">
            <v>0</v>
          </cell>
          <cell r="BD799">
            <v>0</v>
          </cell>
          <cell r="BE799">
            <v>0</v>
          </cell>
          <cell r="BG799">
            <v>495.97599999999863</v>
          </cell>
          <cell r="BI799">
            <v>495.97599999999863</v>
          </cell>
          <cell r="BJ799">
            <v>17480</v>
          </cell>
          <cell r="BK799">
            <v>17063.975999999999</v>
          </cell>
          <cell r="BL799">
            <v>16568</v>
          </cell>
          <cell r="BM799">
            <v>0</v>
          </cell>
          <cell r="BN799">
            <v>0</v>
          </cell>
          <cell r="BO799">
            <v>0</v>
          </cell>
          <cell r="BP799">
            <v>16568</v>
          </cell>
          <cell r="BQ799">
            <v>0</v>
          </cell>
          <cell r="BR799">
            <v>495.97599999999875</v>
          </cell>
          <cell r="BS799" t="str">
            <v>Y</v>
          </cell>
          <cell r="BT799">
            <v>1</v>
          </cell>
          <cell r="BU799">
            <v>1</v>
          </cell>
          <cell r="BV799" t="str">
            <v>Y</v>
          </cell>
          <cell r="BW799">
            <v>0</v>
          </cell>
          <cell r="BX799">
            <v>0</v>
          </cell>
          <cell r="BY799">
            <v>2026</v>
          </cell>
          <cell r="BZ799" t="str">
            <v>-</v>
          </cell>
          <cell r="CA799" t="str">
            <v>-</v>
          </cell>
        </row>
        <row r="800">
          <cell r="A800" t="str">
            <v>Lucknow</v>
          </cell>
          <cell r="B800" t="str">
            <v>Mavericks</v>
          </cell>
          <cell r="C800" t="str">
            <v>Mid Level</v>
          </cell>
          <cell r="D800" t="str">
            <v>Kashif Nabi</v>
          </cell>
          <cell r="E800" t="str">
            <v>-</v>
          </cell>
          <cell r="F800" t="str">
            <v>Non-MSP</v>
          </cell>
          <cell r="H800" t="str">
            <v>Ritik Arya</v>
          </cell>
          <cell r="L800" t="str">
            <v>New</v>
          </cell>
          <cell r="M800">
            <v>46027</v>
          </cell>
          <cell r="N800">
            <v>175</v>
          </cell>
          <cell r="O800">
            <v>46079</v>
          </cell>
          <cell r="P800">
            <v>46392</v>
          </cell>
          <cell r="Q800" t="str">
            <v>PLC-4630</v>
          </cell>
          <cell r="R800" t="str">
            <v>Venkata Sai Gokul Gadamsetty</v>
          </cell>
          <cell r="S800" t="str">
            <v>Individual</v>
          </cell>
          <cell r="T800" t="str">
            <v>C2C</v>
          </cell>
          <cell r="U800" t="str">
            <v>GRI</v>
          </cell>
          <cell r="V800">
            <v>109</v>
          </cell>
          <cell r="W800">
            <v>0</v>
          </cell>
          <cell r="X800" t="str">
            <v>USD</v>
          </cell>
          <cell r="Y800">
            <v>115</v>
          </cell>
          <cell r="Z800">
            <v>0</v>
          </cell>
          <cell r="AA800">
            <v>0</v>
          </cell>
          <cell r="AB800">
            <v>0</v>
          </cell>
          <cell r="AC800">
            <v>46068</v>
          </cell>
          <cell r="AD800">
            <v>20</v>
          </cell>
          <cell r="AE800">
            <v>46387</v>
          </cell>
          <cell r="AF800">
            <v>109</v>
          </cell>
          <cell r="AG800">
            <v>0</v>
          </cell>
          <cell r="AH800">
            <v>109</v>
          </cell>
          <cell r="AI800">
            <v>112.26299999999999</v>
          </cell>
          <cell r="AJ800">
            <v>0</v>
          </cell>
          <cell r="AK800">
            <v>0</v>
          </cell>
          <cell r="AL800">
            <v>3.262999999999991</v>
          </cell>
          <cell r="AM800">
            <v>0</v>
          </cell>
          <cell r="AN800">
            <v>3.262999999999991</v>
          </cell>
          <cell r="AO800">
            <v>0</v>
          </cell>
          <cell r="AP800">
            <v>3.262999999999991</v>
          </cell>
          <cell r="AQ800" t="str">
            <v>GRI123543</v>
          </cell>
          <cell r="AR800">
            <v>0</v>
          </cell>
          <cell r="AS800">
            <v>152</v>
          </cell>
          <cell r="AU800">
            <v>152</v>
          </cell>
          <cell r="AV800">
            <v>0</v>
          </cell>
          <cell r="AW800">
            <v>495.97599999999863</v>
          </cell>
          <cell r="AX800">
            <v>495.97599999999863</v>
          </cell>
          <cell r="AY800">
            <v>0</v>
          </cell>
          <cell r="AZ800">
            <v>495.97599999999863</v>
          </cell>
          <cell r="BA800">
            <v>495.97599999999863</v>
          </cell>
          <cell r="BB800">
            <v>495.97599999999863</v>
          </cell>
          <cell r="BC800">
            <v>0</v>
          </cell>
          <cell r="BD800">
            <v>0</v>
          </cell>
          <cell r="BE800">
            <v>0</v>
          </cell>
          <cell r="BG800">
            <v>495.97599999999863</v>
          </cell>
          <cell r="BI800">
            <v>495.97599999999863</v>
          </cell>
          <cell r="BJ800">
            <v>17480</v>
          </cell>
          <cell r="BK800">
            <v>17063.975999999999</v>
          </cell>
          <cell r="BL800">
            <v>16568</v>
          </cell>
          <cell r="BM800">
            <v>0</v>
          </cell>
          <cell r="BN800">
            <v>0</v>
          </cell>
          <cell r="BO800">
            <v>0</v>
          </cell>
          <cell r="BP800">
            <v>16568</v>
          </cell>
          <cell r="BQ800">
            <v>0</v>
          </cell>
          <cell r="BR800">
            <v>495.97599999999875</v>
          </cell>
          <cell r="BS800" t="str">
            <v>Y</v>
          </cell>
          <cell r="BT800">
            <v>1</v>
          </cell>
          <cell r="BU800">
            <v>1</v>
          </cell>
          <cell r="BV800" t="str">
            <v>Y</v>
          </cell>
          <cell r="BW800">
            <v>0</v>
          </cell>
          <cell r="BX800">
            <v>0</v>
          </cell>
          <cell r="BY800">
            <v>2026</v>
          </cell>
          <cell r="BZ800" t="str">
            <v>-</v>
          </cell>
          <cell r="CA800" t="str">
            <v>-</v>
          </cell>
        </row>
        <row r="801">
          <cell r="A801" t="str">
            <v>Lucknow</v>
          </cell>
          <cell r="B801" t="str">
            <v>Mavericks</v>
          </cell>
          <cell r="C801" t="str">
            <v>Mid Level</v>
          </cell>
          <cell r="D801" t="str">
            <v>Kashif Nabi</v>
          </cell>
          <cell r="E801" t="str">
            <v>-</v>
          </cell>
          <cell r="F801" t="str">
            <v>Non-MSP</v>
          </cell>
          <cell r="H801" t="str">
            <v>Ritik Arya</v>
          </cell>
          <cell r="L801" t="str">
            <v>New</v>
          </cell>
          <cell r="M801">
            <v>46027</v>
          </cell>
          <cell r="N801">
            <v>175</v>
          </cell>
          <cell r="O801">
            <v>46079</v>
          </cell>
          <cell r="P801">
            <v>46392</v>
          </cell>
          <cell r="Q801" t="str">
            <v>PLC-4630</v>
          </cell>
          <cell r="R801" t="str">
            <v>Venkata Sai Gokul Gadamsetty</v>
          </cell>
          <cell r="S801" t="str">
            <v>Individual</v>
          </cell>
          <cell r="T801" t="str">
            <v>C2C</v>
          </cell>
          <cell r="U801" t="str">
            <v>GRI</v>
          </cell>
          <cell r="V801">
            <v>109</v>
          </cell>
          <cell r="W801">
            <v>0</v>
          </cell>
          <cell r="X801" t="str">
            <v>USD</v>
          </cell>
          <cell r="Y801">
            <v>115</v>
          </cell>
          <cell r="Z801">
            <v>0</v>
          </cell>
          <cell r="AA801">
            <v>0</v>
          </cell>
          <cell r="AB801">
            <v>0</v>
          </cell>
          <cell r="AC801">
            <v>46096</v>
          </cell>
          <cell r="AD801">
            <v>20</v>
          </cell>
          <cell r="AE801">
            <v>46387</v>
          </cell>
          <cell r="AF801">
            <v>109</v>
          </cell>
          <cell r="AG801">
            <v>0</v>
          </cell>
          <cell r="AH801">
            <v>109</v>
          </cell>
          <cell r="AI801">
            <v>112.26299999999999</v>
          </cell>
          <cell r="AJ801">
            <v>0</v>
          </cell>
          <cell r="AK801">
            <v>0</v>
          </cell>
          <cell r="AL801">
            <v>3.262999999999991</v>
          </cell>
          <cell r="AM801">
            <v>0</v>
          </cell>
          <cell r="AN801">
            <v>3.262999999999991</v>
          </cell>
          <cell r="AO801">
            <v>0</v>
          </cell>
          <cell r="AP801">
            <v>3.262999999999991</v>
          </cell>
          <cell r="AQ801" t="str">
            <v>GRI123544</v>
          </cell>
          <cell r="AR801">
            <v>0</v>
          </cell>
          <cell r="AS801">
            <v>32</v>
          </cell>
          <cell r="AU801">
            <v>32</v>
          </cell>
          <cell r="AV801">
            <v>0</v>
          </cell>
          <cell r="AW801">
            <v>104.41599999999971</v>
          </cell>
          <cell r="AX801">
            <v>104.41599999999971</v>
          </cell>
          <cell r="AY801">
            <v>0</v>
          </cell>
          <cell r="AZ801">
            <v>104.41599999999971</v>
          </cell>
          <cell r="BA801">
            <v>104.41599999999971</v>
          </cell>
          <cell r="BB801">
            <v>104.41599999999971</v>
          </cell>
          <cell r="BC801">
            <v>0</v>
          </cell>
          <cell r="BD801">
            <v>0</v>
          </cell>
          <cell r="BE801">
            <v>0</v>
          </cell>
          <cell r="BG801">
            <v>104.41599999999971</v>
          </cell>
          <cell r="BI801">
            <v>104.41599999999971</v>
          </cell>
          <cell r="BJ801">
            <v>3680</v>
          </cell>
          <cell r="BK801">
            <v>3592.4159999999997</v>
          </cell>
          <cell r="BL801">
            <v>3488</v>
          </cell>
          <cell r="BM801">
            <v>0</v>
          </cell>
          <cell r="BN801">
            <v>0</v>
          </cell>
          <cell r="BO801">
            <v>0</v>
          </cell>
          <cell r="BP801">
            <v>3488</v>
          </cell>
          <cell r="BQ801">
            <v>0</v>
          </cell>
          <cell r="BR801">
            <v>104.41599999999971</v>
          </cell>
          <cell r="BS801" t="str">
            <v>Y</v>
          </cell>
          <cell r="BT801">
            <v>1</v>
          </cell>
          <cell r="BU801">
            <v>1</v>
          </cell>
          <cell r="BV801" t="str">
            <v>Y</v>
          </cell>
          <cell r="BW801">
            <v>0</v>
          </cell>
          <cell r="BX801">
            <v>0</v>
          </cell>
          <cell r="BY801">
            <v>2026</v>
          </cell>
          <cell r="BZ801" t="str">
            <v>-</v>
          </cell>
          <cell r="CA801" t="str">
            <v>-</v>
          </cell>
        </row>
        <row r="802">
          <cell r="A802" t="str">
            <v>Lucknow</v>
          </cell>
          <cell r="B802" t="str">
            <v>Vantedge</v>
          </cell>
          <cell r="C802" t="str">
            <v>Senior</v>
          </cell>
          <cell r="D802" t="str">
            <v>Anshul Kumar</v>
          </cell>
          <cell r="F802" t="str">
            <v>Non-MSP</v>
          </cell>
          <cell r="H802" t="str">
            <v>Priyansh Khare</v>
          </cell>
          <cell r="L802" t="str">
            <v>New</v>
          </cell>
          <cell r="M802">
            <v>46153</v>
          </cell>
          <cell r="N802">
            <v>49</v>
          </cell>
          <cell r="P802">
            <v>46518</v>
          </cell>
          <cell r="R802" t="str">
            <v>Venkata Suresh Kalluri</v>
          </cell>
          <cell r="S802" t="str">
            <v>Individual</v>
          </cell>
          <cell r="T802" t="str">
            <v>FTE</v>
          </cell>
          <cell r="U802" t="str">
            <v>Wipro</v>
          </cell>
          <cell r="V802">
            <v>0</v>
          </cell>
          <cell r="W802">
            <v>0</v>
          </cell>
          <cell r="X802" t="str">
            <v>USD</v>
          </cell>
          <cell r="Y802">
            <v>34500</v>
          </cell>
          <cell r="Z802">
            <v>0</v>
          </cell>
          <cell r="AA802">
            <v>0</v>
          </cell>
          <cell r="AB802">
            <v>0</v>
          </cell>
          <cell r="AC802">
            <v>46157</v>
          </cell>
          <cell r="AD802">
            <v>1</v>
          </cell>
          <cell r="AE802">
            <v>46387</v>
          </cell>
          <cell r="AF802">
            <v>0</v>
          </cell>
          <cell r="AG802">
            <v>0</v>
          </cell>
          <cell r="AH802">
            <v>0</v>
          </cell>
          <cell r="AI802">
            <v>34500</v>
          </cell>
          <cell r="AJ802">
            <v>0</v>
          </cell>
          <cell r="AK802">
            <v>0</v>
          </cell>
          <cell r="AL802">
            <v>34500</v>
          </cell>
          <cell r="AM802">
            <v>0</v>
          </cell>
          <cell r="AN802">
            <v>34500</v>
          </cell>
          <cell r="AO802">
            <v>0</v>
          </cell>
          <cell r="AP802">
            <v>34500</v>
          </cell>
          <cell r="AQ802" t="str">
            <v>US_27681</v>
          </cell>
          <cell r="AR802">
            <v>0</v>
          </cell>
          <cell r="AS802">
            <v>1</v>
          </cell>
          <cell r="AU802">
            <v>1</v>
          </cell>
          <cell r="AV802">
            <v>0</v>
          </cell>
          <cell r="AW802">
            <v>34500</v>
          </cell>
          <cell r="AX802">
            <v>34500</v>
          </cell>
          <cell r="AY802">
            <v>0</v>
          </cell>
          <cell r="AZ802">
            <v>34500</v>
          </cell>
          <cell r="BA802">
            <v>34500</v>
          </cell>
          <cell r="BB802">
            <v>34500</v>
          </cell>
          <cell r="BC802">
            <v>87.1</v>
          </cell>
          <cell r="BD802">
            <v>56925</v>
          </cell>
          <cell r="BE802">
            <v>56925</v>
          </cell>
          <cell r="BG802">
            <v>34500</v>
          </cell>
          <cell r="BI802">
            <v>0</v>
          </cell>
          <cell r="BJ802">
            <v>34500</v>
          </cell>
          <cell r="BK802">
            <v>34500</v>
          </cell>
          <cell r="BL802">
            <v>0</v>
          </cell>
          <cell r="BM802">
            <v>0</v>
          </cell>
          <cell r="BN802">
            <v>0</v>
          </cell>
          <cell r="BO802">
            <v>0</v>
          </cell>
          <cell r="BP802">
            <v>0</v>
          </cell>
          <cell r="BQ802">
            <v>0</v>
          </cell>
          <cell r="BR802">
            <v>34500</v>
          </cell>
          <cell r="BT802">
            <v>2</v>
          </cell>
          <cell r="BU802">
            <v>2</v>
          </cell>
          <cell r="BV802" t="str">
            <v>Y</v>
          </cell>
          <cell r="BW802">
            <v>113850</v>
          </cell>
          <cell r="BX802">
            <v>113850</v>
          </cell>
          <cell r="BY802">
            <v>2026</v>
          </cell>
          <cell r="BZ802" t="str">
            <v>-</v>
          </cell>
          <cell r="CA802" t="str">
            <v>-</v>
          </cell>
        </row>
        <row r="803">
          <cell r="A803" t="str">
            <v>Lucknow</v>
          </cell>
          <cell r="B803" t="str">
            <v>Mavericks</v>
          </cell>
          <cell r="C803" t="str">
            <v>Mid Level</v>
          </cell>
          <cell r="D803" t="str">
            <v>Mohammad Fakhrul</v>
          </cell>
          <cell r="E803" t="str">
            <v>-</v>
          </cell>
          <cell r="F803" t="str">
            <v>MSP</v>
          </cell>
          <cell r="H803" t="str">
            <v>Pass Through/MSP</v>
          </cell>
          <cell r="J803" t="str">
            <v>ACH</v>
          </cell>
          <cell r="L803" t="str">
            <v>New</v>
          </cell>
          <cell r="M803">
            <v>46125</v>
          </cell>
          <cell r="N803">
            <v>77</v>
          </cell>
          <cell r="P803">
            <v>46490</v>
          </cell>
          <cell r="Q803" t="str">
            <v>PLC-Passthrough</v>
          </cell>
          <cell r="R803" t="str">
            <v>Venkata Syam Naga Pavan Sajja</v>
          </cell>
          <cell r="S803" t="str">
            <v>Individual</v>
          </cell>
          <cell r="T803" t="str">
            <v>C2C</v>
          </cell>
          <cell r="U803" t="str">
            <v>CoForge</v>
          </cell>
          <cell r="V803">
            <v>85</v>
          </cell>
          <cell r="W803">
            <v>0</v>
          </cell>
          <cell r="X803" t="str">
            <v>USD</v>
          </cell>
          <cell r="Y803">
            <v>86</v>
          </cell>
          <cell r="Z803">
            <v>0</v>
          </cell>
          <cell r="AA803">
            <v>0</v>
          </cell>
          <cell r="AB803">
            <v>0</v>
          </cell>
          <cell r="AC803">
            <v>46127</v>
          </cell>
          <cell r="AD803">
            <v>14</v>
          </cell>
          <cell r="AE803">
            <v>46387</v>
          </cell>
          <cell r="AF803">
            <v>85</v>
          </cell>
          <cell r="AG803">
            <v>0</v>
          </cell>
          <cell r="AH803">
            <v>85</v>
          </cell>
          <cell r="AI803">
            <v>86</v>
          </cell>
          <cell r="AJ803">
            <v>0</v>
          </cell>
          <cell r="AK803">
            <v>0</v>
          </cell>
          <cell r="AL803">
            <v>1</v>
          </cell>
          <cell r="AM803">
            <v>0</v>
          </cell>
          <cell r="AN803">
            <v>1</v>
          </cell>
          <cell r="AO803">
            <v>0</v>
          </cell>
          <cell r="AP803">
            <v>1</v>
          </cell>
          <cell r="AQ803" t="str">
            <v>US_CMSP_00734</v>
          </cell>
          <cell r="AR803">
            <v>0</v>
          </cell>
          <cell r="AS803">
            <v>104</v>
          </cell>
          <cell r="AU803">
            <v>104</v>
          </cell>
          <cell r="AV803">
            <v>0</v>
          </cell>
          <cell r="AW803">
            <v>104</v>
          </cell>
          <cell r="AX803">
            <v>102.96</v>
          </cell>
          <cell r="AY803">
            <v>0</v>
          </cell>
          <cell r="AZ803">
            <v>104</v>
          </cell>
          <cell r="BA803">
            <v>102.96</v>
          </cell>
          <cell r="BB803">
            <v>104</v>
          </cell>
          <cell r="BC803">
            <v>0</v>
          </cell>
          <cell r="BD803">
            <v>0</v>
          </cell>
          <cell r="BE803">
            <v>0</v>
          </cell>
          <cell r="BG803">
            <v>102.96</v>
          </cell>
          <cell r="BI803">
            <v>0</v>
          </cell>
          <cell r="BJ803">
            <v>8944</v>
          </cell>
          <cell r="BK803">
            <v>8944</v>
          </cell>
          <cell r="BL803">
            <v>8840</v>
          </cell>
          <cell r="BM803">
            <v>0</v>
          </cell>
          <cell r="BN803">
            <v>0</v>
          </cell>
          <cell r="BO803">
            <v>0</v>
          </cell>
          <cell r="BP803">
            <v>8840</v>
          </cell>
          <cell r="BQ803">
            <v>0</v>
          </cell>
          <cell r="BR803">
            <v>104</v>
          </cell>
          <cell r="BT803">
            <v>2</v>
          </cell>
          <cell r="BU803">
            <v>2</v>
          </cell>
          <cell r="BV803" t="str">
            <v>N</v>
          </cell>
          <cell r="BW803">
            <v>0</v>
          </cell>
          <cell r="BX803">
            <v>0</v>
          </cell>
          <cell r="BY803">
            <v>2026</v>
          </cell>
          <cell r="BZ803" t="str">
            <v>-</v>
          </cell>
          <cell r="CA803" t="str">
            <v>-</v>
          </cell>
        </row>
        <row r="804">
          <cell r="A804" t="str">
            <v>Lucknow</v>
          </cell>
          <cell r="B804" t="str">
            <v>Mavericks</v>
          </cell>
          <cell r="C804" t="str">
            <v>Mid Level</v>
          </cell>
          <cell r="D804" t="str">
            <v>Mohammad Fakhrul</v>
          </cell>
          <cell r="E804" t="str">
            <v>-</v>
          </cell>
          <cell r="F804" t="str">
            <v>MSP</v>
          </cell>
          <cell r="H804" t="str">
            <v>Pass Through/MSP</v>
          </cell>
          <cell r="J804" t="str">
            <v>ACH</v>
          </cell>
          <cell r="L804" t="str">
            <v>New</v>
          </cell>
          <cell r="M804">
            <v>46125</v>
          </cell>
          <cell r="N804">
            <v>77</v>
          </cell>
          <cell r="P804">
            <v>46490</v>
          </cell>
          <cell r="Q804" t="str">
            <v>PLC-Passthrough</v>
          </cell>
          <cell r="R804" t="str">
            <v>Venkata Syam Naga Pavan Sajja</v>
          </cell>
          <cell r="S804" t="str">
            <v>Individual</v>
          </cell>
          <cell r="T804" t="str">
            <v>C2C</v>
          </cell>
          <cell r="U804" t="str">
            <v>CoForge</v>
          </cell>
          <cell r="V804">
            <v>85</v>
          </cell>
          <cell r="W804">
            <v>0</v>
          </cell>
          <cell r="X804" t="str">
            <v>USD</v>
          </cell>
          <cell r="Y804">
            <v>86</v>
          </cell>
          <cell r="Z804">
            <v>0</v>
          </cell>
          <cell r="AA804">
            <v>0</v>
          </cell>
          <cell r="AB804">
            <v>0</v>
          </cell>
          <cell r="AC804">
            <v>46157</v>
          </cell>
          <cell r="AD804">
            <v>14</v>
          </cell>
          <cell r="AE804">
            <v>46387</v>
          </cell>
          <cell r="AF804">
            <v>85</v>
          </cell>
          <cell r="AG804">
            <v>0</v>
          </cell>
          <cell r="AH804">
            <v>85</v>
          </cell>
          <cell r="AI804">
            <v>86</v>
          </cell>
          <cell r="AJ804">
            <v>0</v>
          </cell>
          <cell r="AK804">
            <v>0</v>
          </cell>
          <cell r="AL804">
            <v>1</v>
          </cell>
          <cell r="AM804">
            <v>0</v>
          </cell>
          <cell r="AN804">
            <v>1</v>
          </cell>
          <cell r="AO804">
            <v>0</v>
          </cell>
          <cell r="AP804">
            <v>1</v>
          </cell>
          <cell r="AQ804" t="str">
            <v>US_CMSP_00876</v>
          </cell>
          <cell r="AR804">
            <v>0</v>
          </cell>
          <cell r="AS804">
            <v>160</v>
          </cell>
          <cell r="AU804">
            <v>160</v>
          </cell>
          <cell r="AV804">
            <v>0</v>
          </cell>
          <cell r="AW804">
            <v>160</v>
          </cell>
          <cell r="AX804">
            <v>158.4</v>
          </cell>
          <cell r="AY804">
            <v>0</v>
          </cell>
          <cell r="AZ804">
            <v>160</v>
          </cell>
          <cell r="BA804">
            <v>158.4</v>
          </cell>
          <cell r="BB804">
            <v>160</v>
          </cell>
          <cell r="BC804">
            <v>0</v>
          </cell>
          <cell r="BD804">
            <v>0</v>
          </cell>
          <cell r="BE804">
            <v>0</v>
          </cell>
          <cell r="BG804">
            <v>158.4</v>
          </cell>
          <cell r="BI804">
            <v>0</v>
          </cell>
          <cell r="BJ804">
            <v>13760</v>
          </cell>
          <cell r="BK804">
            <v>13760</v>
          </cell>
          <cell r="BL804">
            <v>13600</v>
          </cell>
          <cell r="BM804">
            <v>0</v>
          </cell>
          <cell r="BN804">
            <v>0</v>
          </cell>
          <cell r="BO804">
            <v>0</v>
          </cell>
          <cell r="BP804">
            <v>13600</v>
          </cell>
          <cell r="BQ804">
            <v>0</v>
          </cell>
          <cell r="BR804">
            <v>160</v>
          </cell>
          <cell r="BT804">
            <v>2</v>
          </cell>
          <cell r="BU804">
            <v>2</v>
          </cell>
          <cell r="BV804" t="str">
            <v>N</v>
          </cell>
          <cell r="BW804">
            <v>0</v>
          </cell>
          <cell r="BX804">
            <v>0</v>
          </cell>
          <cell r="BY804">
            <v>2026</v>
          </cell>
          <cell r="BZ804" t="str">
            <v>-</v>
          </cell>
          <cell r="CA804" t="str">
            <v>-</v>
          </cell>
        </row>
        <row r="805">
          <cell r="A805" t="str">
            <v>Lucknow</v>
          </cell>
          <cell r="B805" t="str">
            <v>Chennai</v>
          </cell>
          <cell r="C805" t="str">
            <v>Mid Level</v>
          </cell>
          <cell r="D805" t="str">
            <v>Vinoth L</v>
          </cell>
          <cell r="E805" t="str">
            <v>-</v>
          </cell>
          <cell r="F805" t="str">
            <v>Non-MSP</v>
          </cell>
          <cell r="H805" t="str">
            <v>M Harinath</v>
          </cell>
          <cell r="L805" t="str">
            <v>New</v>
          </cell>
          <cell r="M805">
            <v>46072</v>
          </cell>
          <cell r="N805">
            <v>130</v>
          </cell>
          <cell r="P805">
            <v>46437</v>
          </cell>
          <cell r="Q805" t="str">
            <v>PLC-4735</v>
          </cell>
          <cell r="R805" t="str">
            <v>Venkateswara Rao Sanaboina</v>
          </cell>
          <cell r="S805" t="str">
            <v>Individual</v>
          </cell>
          <cell r="T805" t="str">
            <v>C2C</v>
          </cell>
          <cell r="U805" t="str">
            <v>Exavalu</v>
          </cell>
          <cell r="V805">
            <v>95</v>
          </cell>
          <cell r="W805">
            <v>0</v>
          </cell>
          <cell r="X805" t="str">
            <v>USD</v>
          </cell>
          <cell r="Y805">
            <v>105</v>
          </cell>
          <cell r="Z805">
            <v>0</v>
          </cell>
          <cell r="AA805">
            <v>0</v>
          </cell>
          <cell r="AB805">
            <v>0</v>
          </cell>
          <cell r="AC805">
            <v>46068</v>
          </cell>
          <cell r="AD805">
            <v>7</v>
          </cell>
          <cell r="AE805">
            <v>46387</v>
          </cell>
          <cell r="AF805">
            <v>95</v>
          </cell>
          <cell r="AG805">
            <v>0</v>
          </cell>
          <cell r="AH805">
            <v>95</v>
          </cell>
          <cell r="AI805">
            <v>105</v>
          </cell>
          <cell r="AJ805">
            <v>0</v>
          </cell>
          <cell r="AK805">
            <v>0</v>
          </cell>
          <cell r="AL805">
            <v>10</v>
          </cell>
          <cell r="AM805">
            <v>0</v>
          </cell>
          <cell r="AN805">
            <v>10</v>
          </cell>
          <cell r="AO805">
            <v>0</v>
          </cell>
          <cell r="AP805">
            <v>10</v>
          </cell>
          <cell r="AQ805" t="str">
            <v>US_27193</v>
          </cell>
          <cell r="AR805">
            <v>0</v>
          </cell>
          <cell r="AS805">
            <v>56</v>
          </cell>
          <cell r="AU805">
            <v>56</v>
          </cell>
          <cell r="AV805">
            <v>0</v>
          </cell>
          <cell r="AW805">
            <v>560</v>
          </cell>
          <cell r="AX805">
            <v>560</v>
          </cell>
          <cell r="AY805">
            <v>0</v>
          </cell>
          <cell r="AZ805">
            <v>560</v>
          </cell>
          <cell r="BA805">
            <v>560</v>
          </cell>
          <cell r="BB805">
            <v>560</v>
          </cell>
          <cell r="BC805">
            <v>0</v>
          </cell>
          <cell r="BD805">
            <v>0</v>
          </cell>
          <cell r="BE805">
            <v>0</v>
          </cell>
          <cell r="BG805">
            <v>560</v>
          </cell>
          <cell r="BI805">
            <v>560</v>
          </cell>
          <cell r="BJ805">
            <v>5880</v>
          </cell>
          <cell r="BK805">
            <v>5880</v>
          </cell>
          <cell r="BL805">
            <v>5320</v>
          </cell>
          <cell r="BM805">
            <v>0</v>
          </cell>
          <cell r="BN805">
            <v>0</v>
          </cell>
          <cell r="BO805">
            <v>0</v>
          </cell>
          <cell r="BP805">
            <v>5320</v>
          </cell>
          <cell r="BQ805">
            <v>0</v>
          </cell>
          <cell r="BR805">
            <v>560</v>
          </cell>
          <cell r="BS805" t="str">
            <v>Y</v>
          </cell>
          <cell r="BT805">
            <v>1</v>
          </cell>
          <cell r="BU805">
            <v>1</v>
          </cell>
          <cell r="BV805" t="str">
            <v>Y</v>
          </cell>
          <cell r="BW805">
            <v>0</v>
          </cell>
          <cell r="BX805">
            <v>0</v>
          </cell>
          <cell r="BY805">
            <v>2026</v>
          </cell>
          <cell r="BZ805" t="str">
            <v>-</v>
          </cell>
          <cell r="CA805" t="str">
            <v>-</v>
          </cell>
        </row>
        <row r="806">
          <cell r="A806" t="str">
            <v>Lucknow</v>
          </cell>
          <cell r="B806" t="str">
            <v>Chennai</v>
          </cell>
          <cell r="C806" t="str">
            <v>Mid Level</v>
          </cell>
          <cell r="D806" t="str">
            <v>Vinoth L</v>
          </cell>
          <cell r="E806" t="str">
            <v>-</v>
          </cell>
          <cell r="F806" t="str">
            <v>Non-MSP</v>
          </cell>
          <cell r="H806" t="str">
            <v>M Harinath</v>
          </cell>
          <cell r="L806" t="str">
            <v>New</v>
          </cell>
          <cell r="M806">
            <v>46072</v>
          </cell>
          <cell r="N806">
            <v>130</v>
          </cell>
          <cell r="P806">
            <v>46437</v>
          </cell>
          <cell r="Q806" t="str">
            <v>PLC-4735</v>
          </cell>
          <cell r="R806" t="str">
            <v>Venkateswara Rao Sanaboina</v>
          </cell>
          <cell r="S806" t="str">
            <v>Individual</v>
          </cell>
          <cell r="T806" t="str">
            <v>C2C</v>
          </cell>
          <cell r="U806" t="str">
            <v>Exavalu</v>
          </cell>
          <cell r="V806">
            <v>95</v>
          </cell>
          <cell r="W806">
            <v>0</v>
          </cell>
          <cell r="X806" t="str">
            <v>USD</v>
          </cell>
          <cell r="Y806">
            <v>105</v>
          </cell>
          <cell r="Z806">
            <v>0</v>
          </cell>
          <cell r="AA806">
            <v>0</v>
          </cell>
          <cell r="AB806">
            <v>0</v>
          </cell>
          <cell r="AC806">
            <v>46096</v>
          </cell>
          <cell r="AD806">
            <v>22</v>
          </cell>
          <cell r="AE806">
            <v>46387</v>
          </cell>
          <cell r="AF806">
            <v>95</v>
          </cell>
          <cell r="AG806">
            <v>0</v>
          </cell>
          <cell r="AH806">
            <v>95</v>
          </cell>
          <cell r="AI806">
            <v>105</v>
          </cell>
          <cell r="AJ806">
            <v>0</v>
          </cell>
          <cell r="AK806">
            <v>0</v>
          </cell>
          <cell r="AL806">
            <v>10</v>
          </cell>
          <cell r="AM806">
            <v>0</v>
          </cell>
          <cell r="AN806">
            <v>10</v>
          </cell>
          <cell r="AO806">
            <v>0</v>
          </cell>
          <cell r="AP806">
            <v>10</v>
          </cell>
          <cell r="AQ806" t="str">
            <v>US_27406</v>
          </cell>
          <cell r="AR806">
            <v>0</v>
          </cell>
          <cell r="AS806">
            <v>168</v>
          </cell>
          <cell r="AU806">
            <v>168</v>
          </cell>
          <cell r="AV806">
            <v>0</v>
          </cell>
          <cell r="AW806">
            <v>1680</v>
          </cell>
          <cell r="AX806">
            <v>1680</v>
          </cell>
          <cell r="AY806">
            <v>0</v>
          </cell>
          <cell r="AZ806">
            <v>1680</v>
          </cell>
          <cell r="BA806">
            <v>1680</v>
          </cell>
          <cell r="BB806">
            <v>1680</v>
          </cell>
          <cell r="BC806">
            <v>0</v>
          </cell>
          <cell r="BD806">
            <v>0</v>
          </cell>
          <cell r="BE806">
            <v>0</v>
          </cell>
          <cell r="BG806">
            <v>1680</v>
          </cell>
          <cell r="BI806">
            <v>1680</v>
          </cell>
          <cell r="BJ806">
            <v>17640</v>
          </cell>
          <cell r="BK806">
            <v>17640</v>
          </cell>
          <cell r="BL806">
            <v>15960</v>
          </cell>
          <cell r="BM806">
            <v>0</v>
          </cell>
          <cell r="BN806">
            <v>0</v>
          </cell>
          <cell r="BO806">
            <v>0</v>
          </cell>
          <cell r="BP806">
            <v>15960</v>
          </cell>
          <cell r="BQ806">
            <v>0</v>
          </cell>
          <cell r="BR806">
            <v>1680</v>
          </cell>
          <cell r="BS806" t="str">
            <v>Y</v>
          </cell>
          <cell r="BT806">
            <v>1</v>
          </cell>
          <cell r="BU806">
            <v>1</v>
          </cell>
          <cell r="BV806" t="str">
            <v>Y</v>
          </cell>
          <cell r="BW806">
            <v>0</v>
          </cell>
          <cell r="BX806">
            <v>0</v>
          </cell>
          <cell r="BY806">
            <v>2026</v>
          </cell>
          <cell r="BZ806" t="str">
            <v>-</v>
          </cell>
          <cell r="CA806" t="str">
            <v>-</v>
          </cell>
        </row>
        <row r="807">
          <cell r="A807" t="str">
            <v>Lucknow</v>
          </cell>
          <cell r="B807" t="str">
            <v>Chennai</v>
          </cell>
          <cell r="C807" t="str">
            <v>Mid Level</v>
          </cell>
          <cell r="D807" t="str">
            <v>Vinoth L</v>
          </cell>
          <cell r="E807" t="str">
            <v>-</v>
          </cell>
          <cell r="F807" t="str">
            <v>Non-MSP</v>
          </cell>
          <cell r="H807" t="str">
            <v>M Harinath</v>
          </cell>
          <cell r="J807" t="str">
            <v>ACH</v>
          </cell>
          <cell r="L807" t="str">
            <v>New</v>
          </cell>
          <cell r="M807">
            <v>46072</v>
          </cell>
          <cell r="N807">
            <v>130</v>
          </cell>
          <cell r="P807">
            <v>46437</v>
          </cell>
          <cell r="Q807" t="str">
            <v>PLC-4735</v>
          </cell>
          <cell r="R807" t="str">
            <v>Venkateswara Rao Sanaboina</v>
          </cell>
          <cell r="S807" t="str">
            <v>Individual</v>
          </cell>
          <cell r="T807" t="str">
            <v>C2C</v>
          </cell>
          <cell r="U807" t="str">
            <v>Exavalu</v>
          </cell>
          <cell r="V807">
            <v>95</v>
          </cell>
          <cell r="W807">
            <v>0</v>
          </cell>
          <cell r="X807" t="str">
            <v>USD</v>
          </cell>
          <cell r="Y807">
            <v>105</v>
          </cell>
          <cell r="Z807">
            <v>0</v>
          </cell>
          <cell r="AA807">
            <v>0</v>
          </cell>
          <cell r="AB807">
            <v>0</v>
          </cell>
          <cell r="AC807">
            <v>46127</v>
          </cell>
          <cell r="AD807">
            <v>22</v>
          </cell>
          <cell r="AE807">
            <v>46387</v>
          </cell>
          <cell r="AF807">
            <v>95</v>
          </cell>
          <cell r="AG807">
            <v>0</v>
          </cell>
          <cell r="AH807">
            <v>95</v>
          </cell>
          <cell r="AI807">
            <v>105</v>
          </cell>
          <cell r="AJ807">
            <v>0</v>
          </cell>
          <cell r="AK807">
            <v>0</v>
          </cell>
          <cell r="AL807">
            <v>10</v>
          </cell>
          <cell r="AM807">
            <v>0</v>
          </cell>
          <cell r="AN807">
            <v>10</v>
          </cell>
          <cell r="AO807">
            <v>0</v>
          </cell>
          <cell r="AP807">
            <v>10</v>
          </cell>
          <cell r="AQ807" t="str">
            <v>US_27639</v>
          </cell>
          <cell r="AR807">
            <v>0</v>
          </cell>
          <cell r="AS807">
            <v>165</v>
          </cell>
          <cell r="AU807">
            <v>165</v>
          </cell>
          <cell r="AV807">
            <v>0</v>
          </cell>
          <cell r="AW807">
            <v>1650</v>
          </cell>
          <cell r="AX807">
            <v>1633.5</v>
          </cell>
          <cell r="AY807">
            <v>0</v>
          </cell>
          <cell r="AZ807">
            <v>1650</v>
          </cell>
          <cell r="BA807">
            <v>1633.5</v>
          </cell>
          <cell r="BB807">
            <v>1650</v>
          </cell>
          <cell r="BC807">
            <v>0</v>
          </cell>
          <cell r="BD807">
            <v>0</v>
          </cell>
          <cell r="BE807">
            <v>0</v>
          </cell>
          <cell r="BG807">
            <v>1633.5</v>
          </cell>
          <cell r="BI807">
            <v>1633.5</v>
          </cell>
          <cell r="BJ807">
            <v>17325</v>
          </cell>
          <cell r="BK807">
            <v>17325</v>
          </cell>
          <cell r="BL807">
            <v>15675</v>
          </cell>
          <cell r="BM807">
            <v>0</v>
          </cell>
          <cell r="BN807">
            <v>0</v>
          </cell>
          <cell r="BO807">
            <v>0</v>
          </cell>
          <cell r="BP807">
            <v>15675</v>
          </cell>
          <cell r="BQ807">
            <v>0</v>
          </cell>
          <cell r="BR807">
            <v>1650</v>
          </cell>
          <cell r="BT807">
            <v>2</v>
          </cell>
          <cell r="BU807">
            <v>1</v>
          </cell>
          <cell r="BV807" t="str">
            <v>Y</v>
          </cell>
          <cell r="BW807">
            <v>0</v>
          </cell>
          <cell r="BX807">
            <v>0</v>
          </cell>
          <cell r="BY807">
            <v>2026</v>
          </cell>
          <cell r="BZ807" t="str">
            <v>-</v>
          </cell>
          <cell r="CA807" t="str">
            <v>-</v>
          </cell>
        </row>
        <row r="808">
          <cell r="A808" t="str">
            <v>Lucknow</v>
          </cell>
          <cell r="B808" t="str">
            <v>Chennai</v>
          </cell>
          <cell r="C808" t="str">
            <v>Mid Level</v>
          </cell>
          <cell r="D808" t="str">
            <v>Vinoth L</v>
          </cell>
          <cell r="E808" t="str">
            <v>-</v>
          </cell>
          <cell r="F808" t="str">
            <v>Non-MSP</v>
          </cell>
          <cell r="H808" t="str">
            <v>M Harinath</v>
          </cell>
          <cell r="J808" t="str">
            <v>ACH</v>
          </cell>
          <cell r="L808" t="str">
            <v>New</v>
          </cell>
          <cell r="M808">
            <v>46072</v>
          </cell>
          <cell r="N808">
            <v>130</v>
          </cell>
          <cell r="P808">
            <v>46437</v>
          </cell>
          <cell r="Q808" t="str">
            <v>PLC-4735</v>
          </cell>
          <cell r="R808" t="str">
            <v>Venkateswara Rao Sanaboina</v>
          </cell>
          <cell r="S808" t="str">
            <v>Individual</v>
          </cell>
          <cell r="T808" t="str">
            <v>C2C</v>
          </cell>
          <cell r="U808" t="str">
            <v>Exavalu</v>
          </cell>
          <cell r="V808">
            <v>95</v>
          </cell>
          <cell r="W808">
            <v>0</v>
          </cell>
          <cell r="X808" t="str">
            <v>USD</v>
          </cell>
          <cell r="Y808">
            <v>105</v>
          </cell>
          <cell r="Z808">
            <v>0</v>
          </cell>
          <cell r="AA808">
            <v>0</v>
          </cell>
          <cell r="AB808">
            <v>0</v>
          </cell>
          <cell r="AC808">
            <v>46157</v>
          </cell>
          <cell r="AD808">
            <v>22</v>
          </cell>
          <cell r="AE808">
            <v>46387</v>
          </cell>
          <cell r="AF808">
            <v>95</v>
          </cell>
          <cell r="AG808">
            <v>0</v>
          </cell>
          <cell r="AH808">
            <v>95</v>
          </cell>
          <cell r="AI808">
            <v>105</v>
          </cell>
          <cell r="AJ808">
            <v>0</v>
          </cell>
          <cell r="AK808">
            <v>0</v>
          </cell>
          <cell r="AL808">
            <v>10</v>
          </cell>
          <cell r="AM808">
            <v>0</v>
          </cell>
          <cell r="AN808">
            <v>10</v>
          </cell>
          <cell r="AO808">
            <v>0</v>
          </cell>
          <cell r="AP808">
            <v>10</v>
          </cell>
          <cell r="AQ808" t="str">
            <v>US_27924</v>
          </cell>
          <cell r="AR808">
            <v>0</v>
          </cell>
          <cell r="AS808">
            <v>156</v>
          </cell>
          <cell r="AU808">
            <v>156</v>
          </cell>
          <cell r="AV808">
            <v>0</v>
          </cell>
          <cell r="AW808">
            <v>1560</v>
          </cell>
          <cell r="AX808">
            <v>1544.4</v>
          </cell>
          <cell r="AY808">
            <v>0</v>
          </cell>
          <cell r="AZ808">
            <v>1560</v>
          </cell>
          <cell r="BA808">
            <v>1544.4</v>
          </cell>
          <cell r="BB808">
            <v>1560</v>
          </cell>
          <cell r="BC808">
            <v>0</v>
          </cell>
          <cell r="BD808">
            <v>0</v>
          </cell>
          <cell r="BE808">
            <v>0</v>
          </cell>
          <cell r="BG808">
            <v>1544.4</v>
          </cell>
          <cell r="BI808">
            <v>1544.4</v>
          </cell>
          <cell r="BJ808">
            <v>16380</v>
          </cell>
          <cell r="BK808">
            <v>16380</v>
          </cell>
          <cell r="BL808">
            <v>14820</v>
          </cell>
          <cell r="BM808">
            <v>0</v>
          </cell>
          <cell r="BN808">
            <v>0</v>
          </cell>
          <cell r="BO808">
            <v>0</v>
          </cell>
          <cell r="BP808">
            <v>14820</v>
          </cell>
          <cell r="BQ808">
            <v>0</v>
          </cell>
          <cell r="BR808">
            <v>1560</v>
          </cell>
          <cell r="BT808">
            <v>2</v>
          </cell>
          <cell r="BU808">
            <v>1</v>
          </cell>
          <cell r="BV808" t="str">
            <v>Y</v>
          </cell>
          <cell r="BW808">
            <v>0</v>
          </cell>
          <cell r="BX808">
            <v>0</v>
          </cell>
          <cell r="BY808">
            <v>2026</v>
          </cell>
          <cell r="BZ808" t="str">
            <v>-</v>
          </cell>
          <cell r="CA808" t="str">
            <v>-</v>
          </cell>
        </row>
        <row r="809">
          <cell r="A809" t="str">
            <v>Lucknow</v>
          </cell>
          <cell r="B809" t="str">
            <v>Mavericks</v>
          </cell>
          <cell r="C809" t="str">
            <v>Mid Level</v>
          </cell>
          <cell r="D809" t="str">
            <v>Mohammad Fakhrul</v>
          </cell>
          <cell r="E809" t="str">
            <v>-</v>
          </cell>
          <cell r="F809" t="str">
            <v>MSP</v>
          </cell>
          <cell r="H809" t="str">
            <v>Pass Through/MSP</v>
          </cell>
          <cell r="J809" t="str">
            <v>ACH</v>
          </cell>
          <cell r="L809" t="str">
            <v>New</v>
          </cell>
          <cell r="M809">
            <v>46082</v>
          </cell>
          <cell r="N809">
            <v>120</v>
          </cell>
          <cell r="P809">
            <v>46447</v>
          </cell>
          <cell r="Q809" t="str">
            <v>PLC-Passthrough</v>
          </cell>
          <cell r="R809" t="str">
            <v>Venu Gopal Goud Tirumandas</v>
          </cell>
          <cell r="S809" t="str">
            <v>Individual</v>
          </cell>
          <cell r="T809" t="str">
            <v>C2C</v>
          </cell>
          <cell r="U809" t="str">
            <v>Cigniti</v>
          </cell>
          <cell r="V809">
            <v>73</v>
          </cell>
          <cell r="W809">
            <v>0</v>
          </cell>
          <cell r="X809" t="str">
            <v>USD</v>
          </cell>
          <cell r="Y809">
            <v>73</v>
          </cell>
          <cell r="Z809">
            <v>0</v>
          </cell>
          <cell r="AA809">
            <v>0</v>
          </cell>
          <cell r="AB809">
            <v>0</v>
          </cell>
          <cell r="AC809">
            <v>46127</v>
          </cell>
          <cell r="AD809">
            <v>22</v>
          </cell>
          <cell r="AE809">
            <v>46387</v>
          </cell>
          <cell r="AF809">
            <v>73</v>
          </cell>
          <cell r="AG809">
            <v>0</v>
          </cell>
          <cell r="AH809">
            <v>73</v>
          </cell>
          <cell r="AI809">
            <v>73</v>
          </cell>
          <cell r="AJ809">
            <v>0</v>
          </cell>
          <cell r="AK809">
            <v>0</v>
          </cell>
          <cell r="AL809">
            <v>0</v>
          </cell>
          <cell r="AM809">
            <v>0</v>
          </cell>
          <cell r="AN809">
            <v>0</v>
          </cell>
          <cell r="AO809">
            <v>0</v>
          </cell>
          <cell r="AP809">
            <v>0</v>
          </cell>
          <cell r="AQ809" t="str">
            <v>US_CMSP_00699</v>
          </cell>
          <cell r="AR809">
            <v>0</v>
          </cell>
          <cell r="AS809">
            <v>176</v>
          </cell>
          <cell r="AU809">
            <v>176</v>
          </cell>
          <cell r="AV809">
            <v>0</v>
          </cell>
          <cell r="AW809">
            <v>0</v>
          </cell>
          <cell r="AX809">
            <v>0</v>
          </cell>
          <cell r="AY809">
            <v>0</v>
          </cell>
          <cell r="AZ809">
            <v>0</v>
          </cell>
          <cell r="BA809">
            <v>0</v>
          </cell>
          <cell r="BB809">
            <v>0</v>
          </cell>
          <cell r="BC809">
            <v>0</v>
          </cell>
          <cell r="BD809">
            <v>0</v>
          </cell>
          <cell r="BE809">
            <v>0</v>
          </cell>
          <cell r="BG809">
            <v>0</v>
          </cell>
          <cell r="BI809">
            <v>0</v>
          </cell>
          <cell r="BJ809">
            <v>12848</v>
          </cell>
          <cell r="BK809">
            <v>12848</v>
          </cell>
          <cell r="BL809">
            <v>12848</v>
          </cell>
          <cell r="BM809">
            <v>0</v>
          </cell>
          <cell r="BN809">
            <v>0</v>
          </cell>
          <cell r="BO809">
            <v>0</v>
          </cell>
          <cell r="BP809">
            <v>12848</v>
          </cell>
          <cell r="BQ809">
            <v>0</v>
          </cell>
          <cell r="BR809">
            <v>0</v>
          </cell>
          <cell r="BT809">
            <v>2</v>
          </cell>
          <cell r="BU809">
            <v>1</v>
          </cell>
          <cell r="BV809" t="str">
            <v>N</v>
          </cell>
          <cell r="BW809">
            <v>0</v>
          </cell>
          <cell r="BX809">
            <v>0</v>
          </cell>
          <cell r="BY809">
            <v>2026</v>
          </cell>
          <cell r="BZ809" t="str">
            <v>-</v>
          </cell>
          <cell r="CA809" t="str">
            <v>-</v>
          </cell>
        </row>
        <row r="810">
          <cell r="A810" t="str">
            <v>Lucknow</v>
          </cell>
          <cell r="B810" t="str">
            <v>Mavericks</v>
          </cell>
          <cell r="C810" t="str">
            <v>Mid Level</v>
          </cell>
          <cell r="D810" t="str">
            <v>Mohammad Fakhrul</v>
          </cell>
          <cell r="E810" t="str">
            <v>-</v>
          </cell>
          <cell r="F810" t="str">
            <v>MSP</v>
          </cell>
          <cell r="H810" t="str">
            <v>Pass Through/MSP</v>
          </cell>
          <cell r="L810" t="str">
            <v>New</v>
          </cell>
          <cell r="M810">
            <v>46082</v>
          </cell>
          <cell r="N810">
            <v>120</v>
          </cell>
          <cell r="P810">
            <v>46447</v>
          </cell>
          <cell r="Q810" t="str">
            <v>PLC-Passthrough</v>
          </cell>
          <cell r="R810" t="str">
            <v>Venu Gopal Goud Tirumandas</v>
          </cell>
          <cell r="S810" t="str">
            <v>Individual</v>
          </cell>
          <cell r="T810" t="str">
            <v>C2C</v>
          </cell>
          <cell r="U810" t="str">
            <v>Cigniti</v>
          </cell>
          <cell r="V810">
            <v>73</v>
          </cell>
          <cell r="W810">
            <v>0</v>
          </cell>
          <cell r="X810" t="str">
            <v>USD</v>
          </cell>
          <cell r="Y810">
            <v>73</v>
          </cell>
          <cell r="Z810">
            <v>0</v>
          </cell>
          <cell r="AA810">
            <v>0</v>
          </cell>
          <cell r="AB810">
            <v>0</v>
          </cell>
          <cell r="AC810">
            <v>46096</v>
          </cell>
          <cell r="AD810">
            <v>22</v>
          </cell>
          <cell r="AE810">
            <v>46387</v>
          </cell>
          <cell r="AF810">
            <v>73</v>
          </cell>
          <cell r="AG810">
            <v>0</v>
          </cell>
          <cell r="AH810">
            <v>73</v>
          </cell>
          <cell r="AI810">
            <v>73</v>
          </cell>
          <cell r="AJ810">
            <v>0</v>
          </cell>
          <cell r="AK810">
            <v>0</v>
          </cell>
          <cell r="AL810">
            <v>0</v>
          </cell>
          <cell r="AM810">
            <v>0</v>
          </cell>
          <cell r="AN810">
            <v>0</v>
          </cell>
          <cell r="AO810">
            <v>0</v>
          </cell>
          <cell r="AP810">
            <v>0</v>
          </cell>
          <cell r="AU810">
            <v>176</v>
          </cell>
          <cell r="BB810">
            <v>0</v>
          </cell>
          <cell r="BC810">
            <v>0</v>
          </cell>
          <cell r="BD810">
            <v>0</v>
          </cell>
          <cell r="BE810">
            <v>0</v>
          </cell>
          <cell r="BK810">
            <v>12848</v>
          </cell>
          <cell r="BL810">
            <v>12848</v>
          </cell>
          <cell r="BM810">
            <v>0</v>
          </cell>
          <cell r="BN810">
            <v>0</v>
          </cell>
          <cell r="BO810">
            <v>0</v>
          </cell>
          <cell r="BP810">
            <v>12848</v>
          </cell>
          <cell r="BQ810">
            <v>0</v>
          </cell>
          <cell r="BR810">
            <v>0</v>
          </cell>
          <cell r="BT810">
            <v>1</v>
          </cell>
          <cell r="BU810">
            <v>1</v>
          </cell>
          <cell r="BV810" t="str">
            <v>N</v>
          </cell>
          <cell r="BW810">
            <v>0</v>
          </cell>
          <cell r="BX810">
            <v>0</v>
          </cell>
          <cell r="BY810">
            <v>2026</v>
          </cell>
          <cell r="BZ810" t="str">
            <v>-</v>
          </cell>
          <cell r="CA810" t="str">
            <v>-</v>
          </cell>
        </row>
        <row r="811">
          <cell r="A811" t="str">
            <v>Lucknow</v>
          </cell>
          <cell r="B811" t="str">
            <v>Mavericks</v>
          </cell>
          <cell r="C811" t="str">
            <v>Mid Level</v>
          </cell>
          <cell r="D811" t="str">
            <v>Mohammad Fakhrul</v>
          </cell>
          <cell r="E811" t="str">
            <v>-</v>
          </cell>
          <cell r="F811" t="str">
            <v>MSP</v>
          </cell>
          <cell r="H811" t="str">
            <v>Pass Through/MSP</v>
          </cell>
          <cell r="J811" t="str">
            <v>ACH</v>
          </cell>
          <cell r="L811" t="str">
            <v>New</v>
          </cell>
          <cell r="M811">
            <v>46082</v>
          </cell>
          <cell r="N811">
            <v>120</v>
          </cell>
          <cell r="P811">
            <v>46447</v>
          </cell>
          <cell r="Q811" t="str">
            <v>PLC-Passthrough</v>
          </cell>
          <cell r="R811" t="str">
            <v>Venu Gopal Goud Tirumandas</v>
          </cell>
          <cell r="S811" t="str">
            <v>Individual</v>
          </cell>
          <cell r="T811" t="str">
            <v>C2C</v>
          </cell>
          <cell r="U811" t="str">
            <v>Cigniti</v>
          </cell>
          <cell r="V811">
            <v>73</v>
          </cell>
          <cell r="W811">
            <v>0</v>
          </cell>
          <cell r="X811" t="str">
            <v>USD</v>
          </cell>
          <cell r="Y811">
            <v>73</v>
          </cell>
          <cell r="Z811">
            <v>0</v>
          </cell>
          <cell r="AA811">
            <v>0</v>
          </cell>
          <cell r="AB811">
            <v>0</v>
          </cell>
          <cell r="AC811">
            <v>46157</v>
          </cell>
          <cell r="AD811">
            <v>22</v>
          </cell>
          <cell r="AE811">
            <v>46387</v>
          </cell>
          <cell r="AF811">
            <v>73</v>
          </cell>
          <cell r="AG811">
            <v>0</v>
          </cell>
          <cell r="AH811">
            <v>73</v>
          </cell>
          <cell r="AI811">
            <v>73</v>
          </cell>
          <cell r="AJ811">
            <v>0</v>
          </cell>
          <cell r="AK811">
            <v>0</v>
          </cell>
          <cell r="AL811">
            <v>0</v>
          </cell>
          <cell r="AM811">
            <v>0</v>
          </cell>
          <cell r="AN811">
            <v>0</v>
          </cell>
          <cell r="AO811">
            <v>0</v>
          </cell>
          <cell r="AP811">
            <v>0</v>
          </cell>
          <cell r="AQ811" t="str">
            <v>US_CMSP_00859</v>
          </cell>
          <cell r="AR811">
            <v>0</v>
          </cell>
          <cell r="AS811">
            <v>160</v>
          </cell>
          <cell r="AU811">
            <v>160</v>
          </cell>
          <cell r="AV811">
            <v>0</v>
          </cell>
          <cell r="AW811">
            <v>0</v>
          </cell>
          <cell r="AX811">
            <v>0</v>
          </cell>
          <cell r="AY811">
            <v>0</v>
          </cell>
          <cell r="AZ811">
            <v>0</v>
          </cell>
          <cell r="BA811">
            <v>0</v>
          </cell>
          <cell r="BB811">
            <v>0</v>
          </cell>
          <cell r="BC811">
            <v>0</v>
          </cell>
          <cell r="BD811">
            <v>0</v>
          </cell>
          <cell r="BE811">
            <v>0</v>
          </cell>
          <cell r="BG811">
            <v>0</v>
          </cell>
          <cell r="BI811">
            <v>0</v>
          </cell>
          <cell r="BJ811">
            <v>11680</v>
          </cell>
          <cell r="BK811">
            <v>11680</v>
          </cell>
          <cell r="BL811">
            <v>11680</v>
          </cell>
          <cell r="BM811">
            <v>0</v>
          </cell>
          <cell r="BN811">
            <v>0</v>
          </cell>
          <cell r="BO811">
            <v>0</v>
          </cell>
          <cell r="BP811">
            <v>11680</v>
          </cell>
          <cell r="BQ811">
            <v>0</v>
          </cell>
          <cell r="BR811">
            <v>0</v>
          </cell>
          <cell r="BT811">
            <v>2</v>
          </cell>
          <cell r="BU811">
            <v>1</v>
          </cell>
          <cell r="BV811" t="str">
            <v>N</v>
          </cell>
          <cell r="BW811">
            <v>0</v>
          </cell>
          <cell r="BX811">
            <v>0</v>
          </cell>
          <cell r="BY811">
            <v>2026</v>
          </cell>
          <cell r="BZ811" t="str">
            <v>-</v>
          </cell>
          <cell r="CA811" t="str">
            <v>-</v>
          </cell>
        </row>
        <row r="812">
          <cell r="A812" t="str">
            <v>Lucknow</v>
          </cell>
          <cell r="B812" t="str">
            <v>Mavericks</v>
          </cell>
          <cell r="C812" t="str">
            <v>Mid Level</v>
          </cell>
          <cell r="D812" t="str">
            <v>Mohammad Fakhrul</v>
          </cell>
          <cell r="E812" t="str">
            <v>-</v>
          </cell>
          <cell r="F812" t="str">
            <v>MSP</v>
          </cell>
          <cell r="H812" t="str">
            <v>Pass Through/MSP</v>
          </cell>
          <cell r="L812" t="str">
            <v>New</v>
          </cell>
          <cell r="M812">
            <v>46078</v>
          </cell>
          <cell r="N812">
            <v>124</v>
          </cell>
          <cell r="P812">
            <v>46443</v>
          </cell>
          <cell r="Q812" t="str">
            <v>PLC-Passthrough</v>
          </cell>
          <cell r="R812" t="str">
            <v>Venugopal Reddy Kusam</v>
          </cell>
          <cell r="S812" t="str">
            <v>Individual</v>
          </cell>
          <cell r="T812" t="str">
            <v>C2C</v>
          </cell>
          <cell r="U812" t="str">
            <v>CoForge</v>
          </cell>
          <cell r="V812">
            <v>79</v>
          </cell>
          <cell r="W812">
            <v>0</v>
          </cell>
          <cell r="X812" t="str">
            <v>USD</v>
          </cell>
          <cell r="Y812">
            <v>80</v>
          </cell>
          <cell r="Z812">
            <v>0</v>
          </cell>
          <cell r="AA812">
            <v>0</v>
          </cell>
          <cell r="AB812">
            <v>0</v>
          </cell>
          <cell r="AC812">
            <v>46068</v>
          </cell>
          <cell r="AD812">
            <v>3</v>
          </cell>
          <cell r="AE812">
            <v>46387</v>
          </cell>
          <cell r="AF812">
            <v>79</v>
          </cell>
          <cell r="AG812">
            <v>0</v>
          </cell>
          <cell r="AH812">
            <v>79</v>
          </cell>
          <cell r="AI812">
            <v>80</v>
          </cell>
          <cell r="AJ812">
            <v>0</v>
          </cell>
          <cell r="AK812">
            <v>0</v>
          </cell>
          <cell r="AL812">
            <v>1</v>
          </cell>
          <cell r="AM812">
            <v>0</v>
          </cell>
          <cell r="AN812">
            <v>1</v>
          </cell>
          <cell r="AO812">
            <v>0</v>
          </cell>
          <cell r="AP812">
            <v>1</v>
          </cell>
          <cell r="AQ812" t="str">
            <v>US_CMSP_00440</v>
          </cell>
          <cell r="AR812">
            <v>0</v>
          </cell>
          <cell r="AS812">
            <v>24</v>
          </cell>
          <cell r="AU812">
            <v>24</v>
          </cell>
          <cell r="AV812">
            <v>0</v>
          </cell>
          <cell r="AW812">
            <v>24</v>
          </cell>
          <cell r="AX812">
            <v>24</v>
          </cell>
          <cell r="AY812">
            <v>0</v>
          </cell>
          <cell r="AZ812">
            <v>24</v>
          </cell>
          <cell r="BA812">
            <v>24</v>
          </cell>
          <cell r="BB812">
            <v>24</v>
          </cell>
          <cell r="BC812">
            <v>0</v>
          </cell>
          <cell r="BD812">
            <v>0</v>
          </cell>
          <cell r="BE812">
            <v>0</v>
          </cell>
          <cell r="BG812">
            <v>24</v>
          </cell>
          <cell r="BI812">
            <v>24</v>
          </cell>
          <cell r="BJ812">
            <v>1920</v>
          </cell>
          <cell r="BK812">
            <v>1920</v>
          </cell>
          <cell r="BL812">
            <v>1896</v>
          </cell>
          <cell r="BM812">
            <v>0</v>
          </cell>
          <cell r="BN812">
            <v>0</v>
          </cell>
          <cell r="BO812">
            <v>0</v>
          </cell>
          <cell r="BP812">
            <v>1896</v>
          </cell>
          <cell r="BQ812">
            <v>0</v>
          </cell>
          <cell r="BR812">
            <v>24</v>
          </cell>
          <cell r="BS812" t="str">
            <v>Y</v>
          </cell>
          <cell r="BT812">
            <v>1</v>
          </cell>
          <cell r="BU812">
            <v>1</v>
          </cell>
          <cell r="BV812" t="str">
            <v>N</v>
          </cell>
          <cell r="BW812">
            <v>0</v>
          </cell>
          <cell r="BX812">
            <v>0</v>
          </cell>
          <cell r="BY812">
            <v>2026</v>
          </cell>
          <cell r="BZ812" t="str">
            <v>-</v>
          </cell>
          <cell r="CA812" t="str">
            <v>-</v>
          </cell>
        </row>
        <row r="813">
          <cell r="A813" t="str">
            <v>Lucknow</v>
          </cell>
          <cell r="B813" t="str">
            <v>Mavericks</v>
          </cell>
          <cell r="C813" t="str">
            <v>Mid Level</v>
          </cell>
          <cell r="D813" t="str">
            <v>Mohammad Fakhrul</v>
          </cell>
          <cell r="E813" t="str">
            <v>-</v>
          </cell>
          <cell r="F813" t="str">
            <v>MSP</v>
          </cell>
          <cell r="H813" t="str">
            <v>Pass Through/MSP</v>
          </cell>
          <cell r="L813" t="str">
            <v>New</v>
          </cell>
          <cell r="M813">
            <v>46078</v>
          </cell>
          <cell r="N813">
            <v>124</v>
          </cell>
          <cell r="P813">
            <v>46443</v>
          </cell>
          <cell r="Q813" t="str">
            <v>PLC-Passthrough</v>
          </cell>
          <cell r="R813" t="str">
            <v>Venugopal Reddy Kusam</v>
          </cell>
          <cell r="S813" t="str">
            <v>Individual</v>
          </cell>
          <cell r="T813" t="str">
            <v>C2C</v>
          </cell>
          <cell r="U813" t="str">
            <v>CoForge</v>
          </cell>
          <cell r="V813">
            <v>79</v>
          </cell>
          <cell r="W813">
            <v>0</v>
          </cell>
          <cell r="X813" t="str">
            <v>USD</v>
          </cell>
          <cell r="Y813">
            <v>80</v>
          </cell>
          <cell r="Z813">
            <v>0</v>
          </cell>
          <cell r="AA813">
            <v>0</v>
          </cell>
          <cell r="AB813">
            <v>0</v>
          </cell>
          <cell r="AC813">
            <v>46096</v>
          </cell>
          <cell r="AD813">
            <v>22</v>
          </cell>
          <cell r="AE813">
            <v>46387</v>
          </cell>
          <cell r="AF813">
            <v>79</v>
          </cell>
          <cell r="AG813">
            <v>0</v>
          </cell>
          <cell r="AH813">
            <v>79</v>
          </cell>
          <cell r="AI813">
            <v>80</v>
          </cell>
          <cell r="AJ813">
            <v>0</v>
          </cell>
          <cell r="AK813">
            <v>0</v>
          </cell>
          <cell r="AL813">
            <v>1</v>
          </cell>
          <cell r="AM813">
            <v>0</v>
          </cell>
          <cell r="AN813">
            <v>1</v>
          </cell>
          <cell r="AO813">
            <v>0</v>
          </cell>
          <cell r="AP813">
            <v>1</v>
          </cell>
          <cell r="AQ813" t="str">
            <v>US_CMSP_00548</v>
          </cell>
          <cell r="AR813">
            <v>0</v>
          </cell>
          <cell r="AS813">
            <v>176</v>
          </cell>
          <cell r="AU813">
            <v>176</v>
          </cell>
          <cell r="AV813">
            <v>0</v>
          </cell>
          <cell r="AW813">
            <v>176</v>
          </cell>
          <cell r="AX813">
            <v>176</v>
          </cell>
          <cell r="AY813">
            <v>0</v>
          </cell>
          <cell r="AZ813">
            <v>176</v>
          </cell>
          <cell r="BA813">
            <v>176</v>
          </cell>
          <cell r="BB813">
            <v>176</v>
          </cell>
          <cell r="BC813">
            <v>0</v>
          </cell>
          <cell r="BD813">
            <v>0</v>
          </cell>
          <cell r="BE813">
            <v>0</v>
          </cell>
          <cell r="BG813">
            <v>176</v>
          </cell>
          <cell r="BI813">
            <v>176</v>
          </cell>
          <cell r="BJ813">
            <v>14080</v>
          </cell>
          <cell r="BK813">
            <v>14080</v>
          </cell>
          <cell r="BL813">
            <v>13904</v>
          </cell>
          <cell r="BM813">
            <v>0</v>
          </cell>
          <cell r="BN813">
            <v>0</v>
          </cell>
          <cell r="BO813">
            <v>0</v>
          </cell>
          <cell r="BP813">
            <v>13904</v>
          </cell>
          <cell r="BQ813">
            <v>0</v>
          </cell>
          <cell r="BR813">
            <v>176</v>
          </cell>
          <cell r="BS813" t="str">
            <v>Y</v>
          </cell>
          <cell r="BT813">
            <v>1</v>
          </cell>
          <cell r="BU813">
            <v>1</v>
          </cell>
          <cell r="BV813" t="str">
            <v>N</v>
          </cell>
          <cell r="BW813">
            <v>0</v>
          </cell>
          <cell r="BX813">
            <v>0</v>
          </cell>
          <cell r="BY813">
            <v>2026</v>
          </cell>
          <cell r="BZ813" t="str">
            <v>-</v>
          </cell>
          <cell r="CA813" t="str">
            <v>-</v>
          </cell>
        </row>
        <row r="814">
          <cell r="A814" t="str">
            <v>Lucknow</v>
          </cell>
          <cell r="B814" t="str">
            <v>Mavericks</v>
          </cell>
          <cell r="C814" t="str">
            <v>Mid Level</v>
          </cell>
          <cell r="D814" t="str">
            <v>Mohammad Fakhrul</v>
          </cell>
          <cell r="E814" t="str">
            <v>-</v>
          </cell>
          <cell r="F814" t="str">
            <v>MSP</v>
          </cell>
          <cell r="H814" t="str">
            <v>Pass Through/MSP</v>
          </cell>
          <cell r="J814" t="str">
            <v>ACH</v>
          </cell>
          <cell r="L814" t="str">
            <v>New</v>
          </cell>
          <cell r="M814">
            <v>46078</v>
          </cell>
          <cell r="N814">
            <v>124</v>
          </cell>
          <cell r="P814">
            <v>46443</v>
          </cell>
          <cell r="Q814" t="str">
            <v>PLC-Passthrough</v>
          </cell>
          <cell r="R814" t="str">
            <v>Venugopal Reddy Kusam</v>
          </cell>
          <cell r="S814" t="str">
            <v>Individual</v>
          </cell>
          <cell r="T814" t="str">
            <v>C2C</v>
          </cell>
          <cell r="U814" t="str">
            <v>CoForge</v>
          </cell>
          <cell r="V814">
            <v>79</v>
          </cell>
          <cell r="W814">
            <v>0</v>
          </cell>
          <cell r="X814" t="str">
            <v>USD</v>
          </cell>
          <cell r="Y814">
            <v>80</v>
          </cell>
          <cell r="Z814">
            <v>0</v>
          </cell>
          <cell r="AA814">
            <v>0</v>
          </cell>
          <cell r="AB814">
            <v>0</v>
          </cell>
          <cell r="AC814">
            <v>46127</v>
          </cell>
          <cell r="AD814">
            <v>22</v>
          </cell>
          <cell r="AE814">
            <v>46387</v>
          </cell>
          <cell r="AF814">
            <v>79</v>
          </cell>
          <cell r="AG814">
            <v>0</v>
          </cell>
          <cell r="AH814">
            <v>79</v>
          </cell>
          <cell r="AI814">
            <v>80</v>
          </cell>
          <cell r="AJ814">
            <v>0</v>
          </cell>
          <cell r="AK814">
            <v>0</v>
          </cell>
          <cell r="AL814">
            <v>1</v>
          </cell>
          <cell r="AM814">
            <v>0</v>
          </cell>
          <cell r="AN814">
            <v>1</v>
          </cell>
          <cell r="AO814">
            <v>0</v>
          </cell>
          <cell r="AP814">
            <v>1</v>
          </cell>
          <cell r="AQ814" t="str">
            <v>US_CMSP_00695</v>
          </cell>
          <cell r="AR814">
            <v>0</v>
          </cell>
          <cell r="AS814">
            <v>168</v>
          </cell>
          <cell r="AU814">
            <v>168</v>
          </cell>
          <cell r="AV814">
            <v>0</v>
          </cell>
          <cell r="AW814">
            <v>168</v>
          </cell>
          <cell r="AX814">
            <v>166.32</v>
          </cell>
          <cell r="AY814">
            <v>0</v>
          </cell>
          <cell r="AZ814">
            <v>168</v>
          </cell>
          <cell r="BA814">
            <v>166.32</v>
          </cell>
          <cell r="BB814">
            <v>168</v>
          </cell>
          <cell r="BC814">
            <v>0</v>
          </cell>
          <cell r="BD814">
            <v>0</v>
          </cell>
          <cell r="BE814">
            <v>0</v>
          </cell>
          <cell r="BG814">
            <v>166.32</v>
          </cell>
          <cell r="BI814">
            <v>166.32</v>
          </cell>
          <cell r="BJ814">
            <v>13440</v>
          </cell>
          <cell r="BK814">
            <v>13440</v>
          </cell>
          <cell r="BL814">
            <v>13272</v>
          </cell>
          <cell r="BM814">
            <v>0</v>
          </cell>
          <cell r="BN814">
            <v>0</v>
          </cell>
          <cell r="BO814">
            <v>0</v>
          </cell>
          <cell r="BP814">
            <v>13272</v>
          </cell>
          <cell r="BQ814">
            <v>0</v>
          </cell>
          <cell r="BR814">
            <v>168</v>
          </cell>
          <cell r="BS814" t="str">
            <v>Y</v>
          </cell>
          <cell r="BT814">
            <v>2</v>
          </cell>
          <cell r="BU814">
            <v>1</v>
          </cell>
          <cell r="BV814" t="str">
            <v>N</v>
          </cell>
          <cell r="BW814">
            <v>0</v>
          </cell>
          <cell r="BX814">
            <v>0</v>
          </cell>
          <cell r="BY814">
            <v>2026</v>
          </cell>
          <cell r="BZ814" t="str">
            <v>-</v>
          </cell>
          <cell r="CA814" t="str">
            <v>-</v>
          </cell>
        </row>
        <row r="815">
          <cell r="A815" t="str">
            <v>Lucknow</v>
          </cell>
          <cell r="B815" t="str">
            <v>Mavericks</v>
          </cell>
          <cell r="C815" t="str">
            <v>Mid Level</v>
          </cell>
          <cell r="D815" t="str">
            <v>Mohammad Fakhrul</v>
          </cell>
          <cell r="E815" t="str">
            <v>-</v>
          </cell>
          <cell r="F815" t="str">
            <v>MSP</v>
          </cell>
          <cell r="H815" t="str">
            <v>Pass Through/MSP</v>
          </cell>
          <cell r="J815" t="str">
            <v>ACH</v>
          </cell>
          <cell r="L815" t="str">
            <v>New</v>
          </cell>
          <cell r="M815">
            <v>46078</v>
          </cell>
          <cell r="N815">
            <v>124</v>
          </cell>
          <cell r="P815">
            <v>46443</v>
          </cell>
          <cell r="Q815" t="str">
            <v>PLC-Passthrough</v>
          </cell>
          <cell r="R815" t="str">
            <v>Venugopal Reddy Kusam</v>
          </cell>
          <cell r="S815" t="str">
            <v>Individual</v>
          </cell>
          <cell r="T815" t="str">
            <v>C2C</v>
          </cell>
          <cell r="U815" t="str">
            <v>CoForge</v>
          </cell>
          <cell r="V815">
            <v>79</v>
          </cell>
          <cell r="W815">
            <v>0</v>
          </cell>
          <cell r="X815" t="str">
            <v>USD</v>
          </cell>
          <cell r="Y815">
            <v>80</v>
          </cell>
          <cell r="Z815">
            <v>0</v>
          </cell>
          <cell r="AA815">
            <v>0</v>
          </cell>
          <cell r="AB815">
            <v>0</v>
          </cell>
          <cell r="AC815">
            <v>46157</v>
          </cell>
          <cell r="AD815">
            <v>22</v>
          </cell>
          <cell r="AE815">
            <v>46387</v>
          </cell>
          <cell r="AF815">
            <v>79</v>
          </cell>
          <cell r="AG815">
            <v>0</v>
          </cell>
          <cell r="AH815">
            <v>79</v>
          </cell>
          <cell r="AI815">
            <v>80</v>
          </cell>
          <cell r="AJ815">
            <v>0</v>
          </cell>
          <cell r="AK815">
            <v>0</v>
          </cell>
          <cell r="AL815">
            <v>1</v>
          </cell>
          <cell r="AM815">
            <v>0</v>
          </cell>
          <cell r="AN815">
            <v>1</v>
          </cell>
          <cell r="AO815">
            <v>0</v>
          </cell>
          <cell r="AP815">
            <v>1</v>
          </cell>
          <cell r="AQ815" t="str">
            <v>US_CMSP_00855</v>
          </cell>
          <cell r="AR815">
            <v>0</v>
          </cell>
          <cell r="AS815">
            <v>144</v>
          </cell>
          <cell r="AU815">
            <v>144</v>
          </cell>
          <cell r="AV815">
            <v>0</v>
          </cell>
          <cell r="AW815">
            <v>144</v>
          </cell>
          <cell r="AX815">
            <v>142.56</v>
          </cell>
          <cell r="AY815">
            <v>0</v>
          </cell>
          <cell r="AZ815">
            <v>144</v>
          </cell>
          <cell r="BA815">
            <v>142.56</v>
          </cell>
          <cell r="BB815">
            <v>144</v>
          </cell>
          <cell r="BC815">
            <v>0</v>
          </cell>
          <cell r="BD815">
            <v>0</v>
          </cell>
          <cell r="BE815">
            <v>0</v>
          </cell>
          <cell r="BG815">
            <v>142.56</v>
          </cell>
          <cell r="BI815">
            <v>142.56</v>
          </cell>
          <cell r="BJ815">
            <v>11520</v>
          </cell>
          <cell r="BK815">
            <v>11520</v>
          </cell>
          <cell r="BL815">
            <v>11376</v>
          </cell>
          <cell r="BM815">
            <v>0</v>
          </cell>
          <cell r="BN815">
            <v>0</v>
          </cell>
          <cell r="BO815">
            <v>0</v>
          </cell>
          <cell r="BP815">
            <v>11376</v>
          </cell>
          <cell r="BQ815">
            <v>0</v>
          </cell>
          <cell r="BR815">
            <v>144</v>
          </cell>
          <cell r="BT815">
            <v>2</v>
          </cell>
          <cell r="BU815">
            <v>1</v>
          </cell>
          <cell r="BV815" t="str">
            <v>N</v>
          </cell>
          <cell r="BW815">
            <v>0</v>
          </cell>
          <cell r="BX815">
            <v>0</v>
          </cell>
          <cell r="BY815">
            <v>2026</v>
          </cell>
          <cell r="BZ815" t="str">
            <v>-</v>
          </cell>
          <cell r="CA815" t="str">
            <v>-</v>
          </cell>
        </row>
        <row r="816">
          <cell r="A816" t="str">
            <v>Lucknow</v>
          </cell>
          <cell r="B816" t="str">
            <v>Mavericks</v>
          </cell>
          <cell r="C816" t="str">
            <v>Mid Level</v>
          </cell>
          <cell r="D816" t="str">
            <v>Kashif Nabi</v>
          </cell>
          <cell r="E816" t="str">
            <v>-</v>
          </cell>
          <cell r="F816" t="str">
            <v>Non-MSP</v>
          </cell>
          <cell r="H816" t="str">
            <v>Pass Through</v>
          </cell>
          <cell r="L816" t="str">
            <v>New</v>
          </cell>
          <cell r="M816">
            <v>46048</v>
          </cell>
          <cell r="N816">
            <v>154</v>
          </cell>
          <cell r="P816">
            <v>46413</v>
          </cell>
          <cell r="Q816" t="str">
            <v>PLC-Passthrough</v>
          </cell>
          <cell r="R816" t="str">
            <v>Vidhya Rethish</v>
          </cell>
          <cell r="S816" t="str">
            <v>Individual</v>
          </cell>
          <cell r="T816">
            <v>1099</v>
          </cell>
          <cell r="U816" t="str">
            <v>GRI</v>
          </cell>
          <cell r="V816">
            <v>25</v>
          </cell>
          <cell r="W816">
            <v>0</v>
          </cell>
          <cell r="X816" t="str">
            <v>USD</v>
          </cell>
          <cell r="Y816">
            <v>29</v>
          </cell>
          <cell r="Z816">
            <v>0</v>
          </cell>
          <cell r="AA816">
            <v>0</v>
          </cell>
          <cell r="AB816">
            <v>0</v>
          </cell>
          <cell r="AC816">
            <v>46037</v>
          </cell>
          <cell r="AD816">
            <v>5</v>
          </cell>
          <cell r="AE816">
            <v>46387</v>
          </cell>
          <cell r="AF816">
            <v>26.75</v>
          </cell>
          <cell r="AG816">
            <v>0</v>
          </cell>
          <cell r="AH816">
            <v>26.75</v>
          </cell>
          <cell r="AI816">
            <v>28.309799999999999</v>
          </cell>
          <cell r="AJ816">
            <v>0</v>
          </cell>
          <cell r="AK816">
            <v>0</v>
          </cell>
          <cell r="AL816">
            <v>1.5597999999999992</v>
          </cell>
          <cell r="AM816">
            <v>0</v>
          </cell>
          <cell r="AN816">
            <v>1.5597999999999992</v>
          </cell>
          <cell r="AO816">
            <v>0</v>
          </cell>
          <cell r="AP816">
            <v>1.5597999999999992</v>
          </cell>
          <cell r="AQ816" t="str">
            <v>GRI123545</v>
          </cell>
          <cell r="AR816">
            <v>0</v>
          </cell>
          <cell r="AS816">
            <v>80</v>
          </cell>
          <cell r="AU816">
            <v>80</v>
          </cell>
          <cell r="AV816">
            <v>0</v>
          </cell>
          <cell r="AW816">
            <v>124.78399999999993</v>
          </cell>
          <cell r="AX816">
            <v>124.78399999999993</v>
          </cell>
          <cell r="AY816">
            <v>0</v>
          </cell>
          <cell r="AZ816">
            <v>124.78399999999993</v>
          </cell>
          <cell r="BA816">
            <v>124.78399999999993</v>
          </cell>
          <cell r="BB816">
            <v>124.78399999999993</v>
          </cell>
          <cell r="BC816">
            <v>0</v>
          </cell>
          <cell r="BD816">
            <v>0</v>
          </cell>
          <cell r="BE816">
            <v>0</v>
          </cell>
          <cell r="BG816">
            <v>124.78399999999993</v>
          </cell>
          <cell r="BI816">
            <v>124.78399999999993</v>
          </cell>
          <cell r="BJ816">
            <v>2320</v>
          </cell>
          <cell r="BK816">
            <v>2264.7840000000001</v>
          </cell>
          <cell r="BL816">
            <v>2000</v>
          </cell>
          <cell r="BM816">
            <v>1.7500000000000002</v>
          </cell>
          <cell r="BN816">
            <v>0</v>
          </cell>
          <cell r="BO816">
            <v>140.00000000000003</v>
          </cell>
          <cell r="BP816">
            <v>2140</v>
          </cell>
          <cell r="BQ816">
            <v>1.7500000000000002</v>
          </cell>
          <cell r="BR816">
            <v>124.78400000000008</v>
          </cell>
          <cell r="BS816" t="str">
            <v>Y</v>
          </cell>
          <cell r="BT816">
            <v>1</v>
          </cell>
          <cell r="BU816">
            <v>1</v>
          </cell>
          <cell r="BV816" t="str">
            <v>Y</v>
          </cell>
          <cell r="BW816">
            <v>0</v>
          </cell>
          <cell r="BX816">
            <v>0</v>
          </cell>
          <cell r="BY816">
            <v>2026</v>
          </cell>
          <cell r="BZ816" t="str">
            <v>-</v>
          </cell>
          <cell r="CA816" t="str">
            <v>-</v>
          </cell>
        </row>
        <row r="817">
          <cell r="A817" t="str">
            <v>Lucknow</v>
          </cell>
          <cell r="B817" t="str">
            <v>Mavericks</v>
          </cell>
          <cell r="C817" t="str">
            <v>Mid Level</v>
          </cell>
          <cell r="D817" t="str">
            <v>Kashif Nabi</v>
          </cell>
          <cell r="E817" t="str">
            <v>-</v>
          </cell>
          <cell r="F817" t="str">
            <v>Non-MSP</v>
          </cell>
          <cell r="H817" t="str">
            <v>Pass Through</v>
          </cell>
          <cell r="L817" t="str">
            <v>New</v>
          </cell>
          <cell r="M817">
            <v>46048</v>
          </cell>
          <cell r="N817">
            <v>154</v>
          </cell>
          <cell r="P817">
            <v>46413</v>
          </cell>
          <cell r="Q817" t="str">
            <v>PLC-Passthrough</v>
          </cell>
          <cell r="R817" t="str">
            <v>Vidhya Rethish</v>
          </cell>
          <cell r="S817" t="str">
            <v>Individual</v>
          </cell>
          <cell r="T817">
            <v>1099</v>
          </cell>
          <cell r="U817" t="str">
            <v>GRI</v>
          </cell>
          <cell r="V817">
            <v>25</v>
          </cell>
          <cell r="W817">
            <v>0</v>
          </cell>
          <cell r="X817" t="str">
            <v>USD</v>
          </cell>
          <cell r="Y817">
            <v>29</v>
          </cell>
          <cell r="Z817">
            <v>0</v>
          </cell>
          <cell r="AA817">
            <v>0</v>
          </cell>
          <cell r="AB817">
            <v>0</v>
          </cell>
          <cell r="AC817">
            <v>46068</v>
          </cell>
          <cell r="AD817">
            <v>20</v>
          </cell>
          <cell r="AE817">
            <v>46387</v>
          </cell>
          <cell r="AF817">
            <v>26.75</v>
          </cell>
          <cell r="AG817">
            <v>0</v>
          </cell>
          <cell r="AH817">
            <v>26.75</v>
          </cell>
          <cell r="AI817">
            <v>28.309799999999999</v>
          </cell>
          <cell r="AJ817">
            <v>0</v>
          </cell>
          <cell r="AK817">
            <v>0</v>
          </cell>
          <cell r="AL817">
            <v>1.5597999999999992</v>
          </cell>
          <cell r="AM817">
            <v>0</v>
          </cell>
          <cell r="AN817">
            <v>1.5597999999999992</v>
          </cell>
          <cell r="AO817">
            <v>0</v>
          </cell>
          <cell r="AP817">
            <v>1.5597999999999992</v>
          </cell>
          <cell r="AQ817" t="str">
            <v>GRI123546</v>
          </cell>
          <cell r="AR817">
            <v>0</v>
          </cell>
          <cell r="AS817">
            <v>160</v>
          </cell>
          <cell r="AU817">
            <v>160</v>
          </cell>
          <cell r="AV817">
            <v>0</v>
          </cell>
          <cell r="AW817">
            <v>249.56799999999987</v>
          </cell>
          <cell r="AX817">
            <v>249.56799999999987</v>
          </cell>
          <cell r="AY817">
            <v>0</v>
          </cell>
          <cell r="AZ817">
            <v>249.56799999999987</v>
          </cell>
          <cell r="BA817">
            <v>249.56799999999987</v>
          </cell>
          <cell r="BB817">
            <v>249.56799999999987</v>
          </cell>
          <cell r="BC817">
            <v>0</v>
          </cell>
          <cell r="BD817">
            <v>0</v>
          </cell>
          <cell r="BE817">
            <v>0</v>
          </cell>
          <cell r="BG817">
            <v>249.56799999999987</v>
          </cell>
          <cell r="BI817">
            <v>249.56799999999987</v>
          </cell>
          <cell r="BJ817">
            <v>4640</v>
          </cell>
          <cell r="BK817">
            <v>4529.5680000000002</v>
          </cell>
          <cell r="BL817">
            <v>4000</v>
          </cell>
          <cell r="BM817">
            <v>1.7500000000000002</v>
          </cell>
          <cell r="BN817">
            <v>0</v>
          </cell>
          <cell r="BO817">
            <v>280.00000000000006</v>
          </cell>
          <cell r="BP817">
            <v>4280</v>
          </cell>
          <cell r="BQ817">
            <v>1.7500000000000002</v>
          </cell>
          <cell r="BR817">
            <v>249.56800000000015</v>
          </cell>
          <cell r="BS817" t="str">
            <v>Y</v>
          </cell>
          <cell r="BT817">
            <v>1</v>
          </cell>
          <cell r="BU817">
            <v>1</v>
          </cell>
          <cell r="BV817" t="str">
            <v>Y</v>
          </cell>
          <cell r="BW817">
            <v>0</v>
          </cell>
          <cell r="BX817">
            <v>0</v>
          </cell>
          <cell r="BY817">
            <v>2026</v>
          </cell>
          <cell r="BZ817" t="str">
            <v>-</v>
          </cell>
          <cell r="CA817" t="str">
            <v>-</v>
          </cell>
        </row>
        <row r="818">
          <cell r="A818" t="str">
            <v>Lucknow</v>
          </cell>
          <cell r="B818" t="str">
            <v>Mavericks</v>
          </cell>
          <cell r="C818" t="str">
            <v>Mid Level</v>
          </cell>
          <cell r="D818" t="str">
            <v>Kashif Nabi</v>
          </cell>
          <cell r="E818" t="str">
            <v>-</v>
          </cell>
          <cell r="F818" t="str">
            <v>Non-MSP</v>
          </cell>
          <cell r="H818" t="str">
            <v>Pass Through</v>
          </cell>
          <cell r="J818" t="str">
            <v>ACH</v>
          </cell>
          <cell r="L818" t="str">
            <v>New</v>
          </cell>
          <cell r="M818">
            <v>46048</v>
          </cell>
          <cell r="N818">
            <v>154</v>
          </cell>
          <cell r="P818">
            <v>46413</v>
          </cell>
          <cell r="Q818" t="str">
            <v>PLC-Passthrough</v>
          </cell>
          <cell r="R818" t="str">
            <v>Vidhya Rethish</v>
          </cell>
          <cell r="S818" t="str">
            <v>Individual</v>
          </cell>
          <cell r="T818">
            <v>1099</v>
          </cell>
          <cell r="U818" t="str">
            <v>GRI</v>
          </cell>
          <cell r="V818">
            <v>25</v>
          </cell>
          <cell r="W818">
            <v>0</v>
          </cell>
          <cell r="X818" t="str">
            <v>USD</v>
          </cell>
          <cell r="Y818">
            <v>29</v>
          </cell>
          <cell r="Z818">
            <v>0</v>
          </cell>
          <cell r="AA818">
            <v>0</v>
          </cell>
          <cell r="AB818">
            <v>0</v>
          </cell>
          <cell r="AC818">
            <v>46096</v>
          </cell>
          <cell r="AD818">
            <v>22</v>
          </cell>
          <cell r="AE818">
            <v>46387</v>
          </cell>
          <cell r="AF818">
            <v>26.75</v>
          </cell>
          <cell r="AG818">
            <v>0</v>
          </cell>
          <cell r="AH818">
            <v>26.75</v>
          </cell>
          <cell r="AI818">
            <v>28.309799999999999</v>
          </cell>
          <cell r="AJ818">
            <v>0</v>
          </cell>
          <cell r="AK818">
            <v>0</v>
          </cell>
          <cell r="AL818">
            <v>1.5597999999999992</v>
          </cell>
          <cell r="AM818">
            <v>0</v>
          </cell>
          <cell r="AN818">
            <v>1.5597999999999992</v>
          </cell>
          <cell r="AO818">
            <v>0</v>
          </cell>
          <cell r="AP818">
            <v>1.5597999999999992</v>
          </cell>
          <cell r="AQ818" t="str">
            <v>GRI123547</v>
          </cell>
          <cell r="AR818">
            <v>0</v>
          </cell>
          <cell r="AS818">
            <v>200</v>
          </cell>
          <cell r="AU818">
            <v>200</v>
          </cell>
          <cell r="AV818">
            <v>0</v>
          </cell>
          <cell r="AW818">
            <v>311.95999999999981</v>
          </cell>
          <cell r="AX818">
            <v>308.84039999999982</v>
          </cell>
          <cell r="AY818">
            <v>0</v>
          </cell>
          <cell r="AZ818">
            <v>311.95999999999981</v>
          </cell>
          <cell r="BA818">
            <v>308.84039999999982</v>
          </cell>
          <cell r="BB818">
            <v>311.95999999999981</v>
          </cell>
          <cell r="BC818">
            <v>0</v>
          </cell>
          <cell r="BD818">
            <v>0</v>
          </cell>
          <cell r="BE818">
            <v>0</v>
          </cell>
          <cell r="BG818">
            <v>308.84039999999982</v>
          </cell>
          <cell r="BI818">
            <v>308.84039999999982</v>
          </cell>
          <cell r="BJ818">
            <v>5800</v>
          </cell>
          <cell r="BK818">
            <v>5661.96</v>
          </cell>
          <cell r="BL818">
            <v>5000</v>
          </cell>
          <cell r="BM818">
            <v>1.7500000000000002</v>
          </cell>
          <cell r="BN818">
            <v>0</v>
          </cell>
          <cell r="BO818">
            <v>350.00000000000006</v>
          </cell>
          <cell r="BP818">
            <v>5350</v>
          </cell>
          <cell r="BQ818">
            <v>1.7500000000000002</v>
          </cell>
          <cell r="BR818">
            <v>311.95999999999998</v>
          </cell>
          <cell r="BS818" t="str">
            <v>Y</v>
          </cell>
          <cell r="BT818">
            <v>1</v>
          </cell>
          <cell r="BU818">
            <v>1</v>
          </cell>
          <cell r="BV818" t="str">
            <v>Y</v>
          </cell>
          <cell r="BW818">
            <v>0</v>
          </cell>
          <cell r="BX818">
            <v>0</v>
          </cell>
          <cell r="BY818">
            <v>2026</v>
          </cell>
          <cell r="BZ818" t="str">
            <v>-</v>
          </cell>
          <cell r="CA818" t="str">
            <v>-</v>
          </cell>
        </row>
        <row r="819">
          <cell r="A819" t="str">
            <v>Lucknow</v>
          </cell>
          <cell r="B819" t="str">
            <v>Mavericks</v>
          </cell>
          <cell r="C819" t="str">
            <v>Mid Level</v>
          </cell>
          <cell r="D819" t="str">
            <v>Kashif Nabi</v>
          </cell>
          <cell r="E819" t="str">
            <v>-</v>
          </cell>
          <cell r="F819" t="str">
            <v>Non-MSP</v>
          </cell>
          <cell r="H819" t="str">
            <v>Pass Through</v>
          </cell>
          <cell r="J819" t="str">
            <v>ACH</v>
          </cell>
          <cell r="L819" t="str">
            <v>New</v>
          </cell>
          <cell r="M819">
            <v>46048</v>
          </cell>
          <cell r="N819">
            <v>154</v>
          </cell>
          <cell r="P819">
            <v>46413</v>
          </cell>
          <cell r="Q819" t="str">
            <v>PLC-Passthrough</v>
          </cell>
          <cell r="R819" t="str">
            <v>Vidhya Rethish</v>
          </cell>
          <cell r="S819" t="str">
            <v>Individual</v>
          </cell>
          <cell r="T819">
            <v>1099</v>
          </cell>
          <cell r="U819" t="str">
            <v>GRI</v>
          </cell>
          <cell r="V819">
            <v>25</v>
          </cell>
          <cell r="W819">
            <v>0</v>
          </cell>
          <cell r="X819" t="str">
            <v>USD</v>
          </cell>
          <cell r="Y819">
            <v>29</v>
          </cell>
          <cell r="Z819">
            <v>0</v>
          </cell>
          <cell r="AA819">
            <v>0</v>
          </cell>
          <cell r="AB819">
            <v>0</v>
          </cell>
          <cell r="AC819">
            <v>46127</v>
          </cell>
          <cell r="AD819">
            <v>22</v>
          </cell>
          <cell r="AE819">
            <v>46387</v>
          </cell>
          <cell r="AF819">
            <v>26.75</v>
          </cell>
          <cell r="AG819">
            <v>0</v>
          </cell>
          <cell r="AH819">
            <v>26.75</v>
          </cell>
          <cell r="AI819">
            <v>28.309799999999999</v>
          </cell>
          <cell r="AJ819">
            <v>0</v>
          </cell>
          <cell r="AK819">
            <v>0</v>
          </cell>
          <cell r="AL819">
            <v>1.5597999999999992</v>
          </cell>
          <cell r="AM819">
            <v>0</v>
          </cell>
          <cell r="AN819">
            <v>1.5597999999999992</v>
          </cell>
          <cell r="AO819">
            <v>0</v>
          </cell>
          <cell r="AP819">
            <v>1.5597999999999992</v>
          </cell>
          <cell r="AQ819" t="str">
            <v>GRI123548</v>
          </cell>
          <cell r="AR819">
            <v>0</v>
          </cell>
          <cell r="AS819">
            <v>160</v>
          </cell>
          <cell r="AU819">
            <v>160</v>
          </cell>
          <cell r="AV819">
            <v>0</v>
          </cell>
          <cell r="AW819">
            <v>249.56799999999987</v>
          </cell>
          <cell r="AX819">
            <v>247.07231999999988</v>
          </cell>
          <cell r="AY819">
            <v>0</v>
          </cell>
          <cell r="AZ819">
            <v>249.56799999999987</v>
          </cell>
          <cell r="BA819">
            <v>247.07231999999988</v>
          </cell>
          <cell r="BB819">
            <v>249.56799999999987</v>
          </cell>
          <cell r="BC819">
            <v>0</v>
          </cell>
          <cell r="BD819">
            <v>0</v>
          </cell>
          <cell r="BE819">
            <v>0</v>
          </cell>
          <cell r="BG819">
            <v>247.07231999999988</v>
          </cell>
          <cell r="BI819">
            <v>247.07231999999988</v>
          </cell>
          <cell r="BJ819">
            <v>4640</v>
          </cell>
          <cell r="BK819">
            <v>4529.5680000000002</v>
          </cell>
          <cell r="BL819">
            <v>4000</v>
          </cell>
          <cell r="BM819">
            <v>1.7500000000000002</v>
          </cell>
          <cell r="BN819">
            <v>0</v>
          </cell>
          <cell r="BO819">
            <v>280.00000000000006</v>
          </cell>
          <cell r="BP819">
            <v>4280</v>
          </cell>
          <cell r="BQ819">
            <v>1.7500000000000002</v>
          </cell>
          <cell r="BR819">
            <v>249.56800000000015</v>
          </cell>
          <cell r="BS819" t="str">
            <v>Y</v>
          </cell>
          <cell r="BT819">
            <v>2</v>
          </cell>
          <cell r="BU819">
            <v>1</v>
          </cell>
          <cell r="BV819" t="str">
            <v>Y</v>
          </cell>
          <cell r="BW819">
            <v>0</v>
          </cell>
          <cell r="BX819">
            <v>0</v>
          </cell>
          <cell r="BY819">
            <v>2026</v>
          </cell>
          <cell r="BZ819" t="str">
            <v>-</v>
          </cell>
          <cell r="CA819" t="str">
            <v>-</v>
          </cell>
        </row>
        <row r="820">
          <cell r="A820" t="str">
            <v>Lucknow</v>
          </cell>
          <cell r="B820" t="str">
            <v>Mavericks</v>
          </cell>
          <cell r="C820" t="str">
            <v>Mid Level</v>
          </cell>
          <cell r="D820" t="str">
            <v>Kashif Nabi</v>
          </cell>
          <cell r="E820" t="str">
            <v>-</v>
          </cell>
          <cell r="F820" t="str">
            <v>Non-MSP</v>
          </cell>
          <cell r="H820" t="str">
            <v>Pass Through</v>
          </cell>
          <cell r="J820" t="str">
            <v>ACH</v>
          </cell>
          <cell r="L820" t="str">
            <v>New</v>
          </cell>
          <cell r="M820">
            <v>46048</v>
          </cell>
          <cell r="N820">
            <v>154</v>
          </cell>
          <cell r="P820">
            <v>46413</v>
          </cell>
          <cell r="Q820" t="str">
            <v>PLC-Passthrough</v>
          </cell>
          <cell r="R820" t="str">
            <v>Vidhya Rethish</v>
          </cell>
          <cell r="S820" t="str">
            <v>Individual</v>
          </cell>
          <cell r="T820">
            <v>1099</v>
          </cell>
          <cell r="U820" t="str">
            <v>GRI</v>
          </cell>
          <cell r="V820">
            <v>25</v>
          </cell>
          <cell r="W820">
            <v>0</v>
          </cell>
          <cell r="X820" t="str">
            <v>USD</v>
          </cell>
          <cell r="Y820">
            <v>29</v>
          </cell>
          <cell r="Z820">
            <v>0</v>
          </cell>
          <cell r="AA820">
            <v>0</v>
          </cell>
          <cell r="AB820">
            <v>0</v>
          </cell>
          <cell r="AC820">
            <v>46157</v>
          </cell>
          <cell r="AD820">
            <v>22</v>
          </cell>
          <cell r="AE820">
            <v>46387</v>
          </cell>
          <cell r="AF820">
            <v>26.75</v>
          </cell>
          <cell r="AG820">
            <v>0</v>
          </cell>
          <cell r="AH820">
            <v>26.75</v>
          </cell>
          <cell r="AI820">
            <v>28.309799999999999</v>
          </cell>
          <cell r="AJ820">
            <v>0</v>
          </cell>
          <cell r="AK820">
            <v>0</v>
          </cell>
          <cell r="AL820">
            <v>1.5597999999999992</v>
          </cell>
          <cell r="AM820">
            <v>0</v>
          </cell>
          <cell r="AN820">
            <v>1.5597999999999992</v>
          </cell>
          <cell r="AO820">
            <v>0</v>
          </cell>
          <cell r="AP820">
            <v>1.5597999999999992</v>
          </cell>
          <cell r="AQ820" t="str">
            <v>GRI123549</v>
          </cell>
          <cell r="AR820">
            <v>0</v>
          </cell>
          <cell r="AS820">
            <v>24</v>
          </cell>
          <cell r="AU820">
            <v>24</v>
          </cell>
          <cell r="AV820">
            <v>0</v>
          </cell>
          <cell r="AW820">
            <v>37.43519999999998</v>
          </cell>
          <cell r="AX820">
            <v>37.060847999999979</v>
          </cell>
          <cell r="AY820">
            <v>0</v>
          </cell>
          <cell r="AZ820">
            <v>37.43519999999998</v>
          </cell>
          <cell r="BA820">
            <v>37.060847999999979</v>
          </cell>
          <cell r="BB820">
            <v>37.43519999999998</v>
          </cell>
          <cell r="BC820">
            <v>0</v>
          </cell>
          <cell r="BD820">
            <v>0</v>
          </cell>
          <cell r="BE820">
            <v>0</v>
          </cell>
          <cell r="BG820">
            <v>37.060847999999979</v>
          </cell>
          <cell r="BI820">
            <v>37.060847999999979</v>
          </cell>
          <cell r="BJ820">
            <v>696</v>
          </cell>
          <cell r="BK820">
            <v>679.43520000000001</v>
          </cell>
          <cell r="BL820">
            <v>600</v>
          </cell>
          <cell r="BM820">
            <v>1.7500000000000002</v>
          </cell>
          <cell r="BN820">
            <v>0</v>
          </cell>
          <cell r="BO820">
            <v>42.000000000000007</v>
          </cell>
          <cell r="BP820">
            <v>642</v>
          </cell>
          <cell r="BQ820">
            <v>1.7500000000000002</v>
          </cell>
          <cell r="BR820">
            <v>37.435200000000002</v>
          </cell>
          <cell r="BS820" t="str">
            <v>Y</v>
          </cell>
          <cell r="BT820">
            <v>2</v>
          </cell>
          <cell r="BU820">
            <v>1</v>
          </cell>
          <cell r="BV820" t="str">
            <v>Y</v>
          </cell>
          <cell r="BW820">
            <v>0</v>
          </cell>
          <cell r="BX820">
            <v>0</v>
          </cell>
          <cell r="BY820">
            <v>2026</v>
          </cell>
          <cell r="BZ820" t="str">
            <v>-</v>
          </cell>
          <cell r="CA820" t="str">
            <v>-</v>
          </cell>
        </row>
        <row r="821">
          <cell r="A821" t="str">
            <v>Lucknow</v>
          </cell>
          <cell r="B821" t="str">
            <v>Pioneer</v>
          </cell>
          <cell r="C821" t="str">
            <v>Mid Level</v>
          </cell>
          <cell r="D821" t="str">
            <v>Lucky Jain</v>
          </cell>
          <cell r="F821" t="str">
            <v>Non-MSP</v>
          </cell>
          <cell r="H821" t="str">
            <v>Amrit Srivastav</v>
          </cell>
          <cell r="L821" t="str">
            <v>New</v>
          </cell>
          <cell r="M821">
            <v>46153</v>
          </cell>
          <cell r="N821">
            <v>49</v>
          </cell>
          <cell r="P821">
            <v>46518</v>
          </cell>
          <cell r="Q821" t="str">
            <v>PLC-4812</v>
          </cell>
          <cell r="R821" t="str">
            <v>Vihana Kewalramani</v>
          </cell>
          <cell r="S821" t="str">
            <v>Individual</v>
          </cell>
          <cell r="T821" t="str">
            <v>FTE</v>
          </cell>
          <cell r="U821" t="str">
            <v>Maveric System</v>
          </cell>
          <cell r="V821">
            <v>0</v>
          </cell>
          <cell r="W821">
            <v>0</v>
          </cell>
          <cell r="X821" t="str">
            <v>USD</v>
          </cell>
          <cell r="Y821">
            <v>10234.737800000001</v>
          </cell>
          <cell r="Z821">
            <v>0</v>
          </cell>
          <cell r="AA821">
            <v>0</v>
          </cell>
          <cell r="AB821">
            <v>0</v>
          </cell>
          <cell r="AC821">
            <v>46157</v>
          </cell>
          <cell r="AD821">
            <v>1</v>
          </cell>
          <cell r="AE821">
            <v>46387</v>
          </cell>
          <cell r="AF821">
            <v>0</v>
          </cell>
          <cell r="AG821">
            <v>0</v>
          </cell>
          <cell r="AH821">
            <v>0</v>
          </cell>
          <cell r="AI821">
            <v>10234.737800000001</v>
          </cell>
          <cell r="AJ821">
            <v>0</v>
          </cell>
          <cell r="AK821">
            <v>0</v>
          </cell>
          <cell r="AL821">
            <v>10234.737800000001</v>
          </cell>
          <cell r="AM821">
            <v>0</v>
          </cell>
          <cell r="AN821">
            <v>10234.737800000001</v>
          </cell>
          <cell r="AO821">
            <v>0</v>
          </cell>
          <cell r="AP821">
            <v>10234.737800000001</v>
          </cell>
          <cell r="AU821">
            <v>1</v>
          </cell>
          <cell r="BB821">
            <v>10234.737800000001</v>
          </cell>
          <cell r="BC821">
            <v>0</v>
          </cell>
          <cell r="BD821">
            <v>0</v>
          </cell>
          <cell r="BE821">
            <v>0</v>
          </cell>
          <cell r="BI821">
            <v>0</v>
          </cell>
          <cell r="BK821">
            <v>10234.737800000001</v>
          </cell>
          <cell r="BL821">
            <v>0</v>
          </cell>
          <cell r="BM821">
            <v>0</v>
          </cell>
          <cell r="BN821">
            <v>0</v>
          </cell>
          <cell r="BO821">
            <v>0</v>
          </cell>
          <cell r="BP821">
            <v>0</v>
          </cell>
          <cell r="BQ821">
            <v>0</v>
          </cell>
          <cell r="BR821">
            <v>10234.737800000001</v>
          </cell>
          <cell r="BT821">
            <v>2</v>
          </cell>
          <cell r="BU821">
            <v>2</v>
          </cell>
          <cell r="BV821" t="str">
            <v>N</v>
          </cell>
          <cell r="BW821">
            <v>0</v>
          </cell>
          <cell r="BX821">
            <v>0</v>
          </cell>
          <cell r="BY821">
            <v>2026</v>
          </cell>
          <cell r="BZ821" t="str">
            <v>-</v>
          </cell>
          <cell r="CA821" t="str">
            <v>-</v>
          </cell>
        </row>
        <row r="822">
          <cell r="A822" t="str">
            <v>Lucknow</v>
          </cell>
          <cell r="B822" t="str">
            <v>Mavericks</v>
          </cell>
          <cell r="C822" t="str">
            <v>Mid Level</v>
          </cell>
          <cell r="D822" t="str">
            <v>Mohammad Fakhrul</v>
          </cell>
          <cell r="E822" t="str">
            <v>-</v>
          </cell>
          <cell r="F822" t="str">
            <v>MSP</v>
          </cell>
          <cell r="H822" t="str">
            <v>Pass Through/MSP</v>
          </cell>
          <cell r="L822" t="str">
            <v>New</v>
          </cell>
          <cell r="M822">
            <v>46112</v>
          </cell>
          <cell r="N822">
            <v>90</v>
          </cell>
          <cell r="P822">
            <v>46477</v>
          </cell>
          <cell r="Q822" t="str">
            <v>PLC-Passthrough</v>
          </cell>
          <cell r="R822" t="str">
            <v>Vijayalakshmi Bhavana</v>
          </cell>
          <cell r="S822" t="str">
            <v>Individual</v>
          </cell>
          <cell r="T822" t="str">
            <v>C2C</v>
          </cell>
          <cell r="U822" t="str">
            <v>CoForge</v>
          </cell>
          <cell r="V822">
            <v>77</v>
          </cell>
          <cell r="W822">
            <v>0</v>
          </cell>
          <cell r="X822" t="str">
            <v>USD</v>
          </cell>
          <cell r="Y822">
            <v>78</v>
          </cell>
          <cell r="Z822">
            <v>0</v>
          </cell>
          <cell r="AA822">
            <v>0</v>
          </cell>
          <cell r="AB822">
            <v>0</v>
          </cell>
          <cell r="AC822">
            <v>46096</v>
          </cell>
          <cell r="AD822">
            <v>1</v>
          </cell>
          <cell r="AE822">
            <v>46387</v>
          </cell>
          <cell r="AF822">
            <v>77</v>
          </cell>
          <cell r="AG822">
            <v>0</v>
          </cell>
          <cell r="AH822">
            <v>77</v>
          </cell>
          <cell r="AI822">
            <v>78</v>
          </cell>
          <cell r="AJ822">
            <v>0</v>
          </cell>
          <cell r="AK822">
            <v>0</v>
          </cell>
          <cell r="AL822">
            <v>1</v>
          </cell>
          <cell r="AM822">
            <v>0</v>
          </cell>
          <cell r="AN822">
            <v>1</v>
          </cell>
          <cell r="AO822">
            <v>0</v>
          </cell>
          <cell r="AP822">
            <v>1</v>
          </cell>
          <cell r="AQ822" t="str">
            <v>US_CMSP_00581</v>
          </cell>
          <cell r="AR822">
            <v>0</v>
          </cell>
          <cell r="AS822">
            <v>8</v>
          </cell>
          <cell r="AU822">
            <v>8</v>
          </cell>
          <cell r="AV822">
            <v>0</v>
          </cell>
          <cell r="AW822">
            <v>8</v>
          </cell>
          <cell r="AX822">
            <v>8</v>
          </cell>
          <cell r="AY822">
            <v>0</v>
          </cell>
          <cell r="AZ822">
            <v>8</v>
          </cell>
          <cell r="BA822">
            <v>8</v>
          </cell>
          <cell r="BB822">
            <v>8</v>
          </cell>
          <cell r="BC822">
            <v>0</v>
          </cell>
          <cell r="BD822">
            <v>0</v>
          </cell>
          <cell r="BE822">
            <v>0</v>
          </cell>
          <cell r="BG822">
            <v>8</v>
          </cell>
          <cell r="BI822">
            <v>0</v>
          </cell>
          <cell r="BJ822">
            <v>624</v>
          </cell>
          <cell r="BK822">
            <v>624</v>
          </cell>
          <cell r="BL822">
            <v>616</v>
          </cell>
          <cell r="BM822">
            <v>0</v>
          </cell>
          <cell r="BN822">
            <v>0</v>
          </cell>
          <cell r="BO822">
            <v>0</v>
          </cell>
          <cell r="BP822">
            <v>616</v>
          </cell>
          <cell r="BQ822">
            <v>0</v>
          </cell>
          <cell r="BR822">
            <v>8</v>
          </cell>
          <cell r="BS822" t="str">
            <v>Y</v>
          </cell>
          <cell r="BT822">
            <v>1</v>
          </cell>
          <cell r="BU822">
            <v>1</v>
          </cell>
          <cell r="BV822" t="str">
            <v>N</v>
          </cell>
          <cell r="BW822">
            <v>0</v>
          </cell>
          <cell r="BX822">
            <v>0</v>
          </cell>
          <cell r="BY822">
            <v>2026</v>
          </cell>
          <cell r="BZ822" t="str">
            <v>-</v>
          </cell>
          <cell r="CA822" t="str">
            <v>-</v>
          </cell>
        </row>
        <row r="823">
          <cell r="A823" t="str">
            <v>Lucknow</v>
          </cell>
          <cell r="B823" t="str">
            <v>Mavericks</v>
          </cell>
          <cell r="C823" t="str">
            <v>Mid Level</v>
          </cell>
          <cell r="D823" t="str">
            <v>Mohammad Fakhrul</v>
          </cell>
          <cell r="E823" t="str">
            <v>-</v>
          </cell>
          <cell r="F823" t="str">
            <v>MSP</v>
          </cell>
          <cell r="H823" t="str">
            <v>Pass Through/MSP</v>
          </cell>
          <cell r="J823" t="str">
            <v>ACH</v>
          </cell>
          <cell r="L823" t="str">
            <v>New</v>
          </cell>
          <cell r="M823">
            <v>46112</v>
          </cell>
          <cell r="N823">
            <v>90</v>
          </cell>
          <cell r="P823">
            <v>46477</v>
          </cell>
          <cell r="Q823" t="str">
            <v>PLC-Passthrough</v>
          </cell>
          <cell r="R823" t="str">
            <v>Vijayalakshmi Bhavana</v>
          </cell>
          <cell r="S823" t="str">
            <v>Individual</v>
          </cell>
          <cell r="T823" t="str">
            <v>C2C</v>
          </cell>
          <cell r="U823" t="str">
            <v>CoForge</v>
          </cell>
          <cell r="V823">
            <v>77</v>
          </cell>
          <cell r="W823">
            <v>0</v>
          </cell>
          <cell r="X823" t="str">
            <v>USD</v>
          </cell>
          <cell r="Y823">
            <v>78</v>
          </cell>
          <cell r="Z823">
            <v>0</v>
          </cell>
          <cell r="AA823">
            <v>0</v>
          </cell>
          <cell r="AB823">
            <v>0</v>
          </cell>
          <cell r="AC823">
            <v>46127</v>
          </cell>
          <cell r="AD823">
            <v>22</v>
          </cell>
          <cell r="AE823">
            <v>46387</v>
          </cell>
          <cell r="AF823">
            <v>77</v>
          </cell>
          <cell r="AG823">
            <v>0</v>
          </cell>
          <cell r="AH823">
            <v>77</v>
          </cell>
          <cell r="AI823">
            <v>78</v>
          </cell>
          <cell r="AJ823">
            <v>0</v>
          </cell>
          <cell r="AK823">
            <v>0</v>
          </cell>
          <cell r="AL823">
            <v>1</v>
          </cell>
          <cell r="AM823">
            <v>0</v>
          </cell>
          <cell r="AN823">
            <v>1</v>
          </cell>
          <cell r="AO823">
            <v>0</v>
          </cell>
          <cell r="AP823">
            <v>1</v>
          </cell>
          <cell r="AQ823" t="str">
            <v>US_CMSP_00722</v>
          </cell>
          <cell r="AR823">
            <v>0</v>
          </cell>
          <cell r="AS823">
            <v>168</v>
          </cell>
          <cell r="AU823">
            <v>168</v>
          </cell>
          <cell r="AV823">
            <v>0</v>
          </cell>
          <cell r="AW823">
            <v>168</v>
          </cell>
          <cell r="AX823">
            <v>166.32</v>
          </cell>
          <cell r="AY823">
            <v>0</v>
          </cell>
          <cell r="AZ823">
            <v>168</v>
          </cell>
          <cell r="BA823">
            <v>166.32</v>
          </cell>
          <cell r="BB823">
            <v>168</v>
          </cell>
          <cell r="BC823">
            <v>0</v>
          </cell>
          <cell r="BD823">
            <v>0</v>
          </cell>
          <cell r="BE823">
            <v>0</v>
          </cell>
          <cell r="BG823">
            <v>166.32</v>
          </cell>
          <cell r="BI823">
            <v>0</v>
          </cell>
          <cell r="BJ823">
            <v>13104</v>
          </cell>
          <cell r="BK823">
            <v>13104</v>
          </cell>
          <cell r="BL823">
            <v>12936</v>
          </cell>
          <cell r="BM823">
            <v>0</v>
          </cell>
          <cell r="BN823">
            <v>0</v>
          </cell>
          <cell r="BO823">
            <v>0</v>
          </cell>
          <cell r="BP823">
            <v>12936</v>
          </cell>
          <cell r="BQ823">
            <v>0</v>
          </cell>
          <cell r="BR823">
            <v>168</v>
          </cell>
          <cell r="BS823" t="str">
            <v>Y</v>
          </cell>
          <cell r="BT823">
            <v>2</v>
          </cell>
          <cell r="BU823">
            <v>1</v>
          </cell>
          <cell r="BV823" t="str">
            <v>N</v>
          </cell>
          <cell r="BW823">
            <v>0</v>
          </cell>
          <cell r="BX823">
            <v>0</v>
          </cell>
          <cell r="BY823">
            <v>2026</v>
          </cell>
          <cell r="BZ823" t="str">
            <v>-</v>
          </cell>
          <cell r="CA823" t="str">
            <v>-</v>
          </cell>
        </row>
        <row r="824">
          <cell r="A824" t="str">
            <v>Lucknow</v>
          </cell>
          <cell r="B824" t="str">
            <v>Mavericks</v>
          </cell>
          <cell r="C824" t="str">
            <v>Mid Level</v>
          </cell>
          <cell r="D824" t="str">
            <v>Mohammad Fakhrul</v>
          </cell>
          <cell r="E824" t="str">
            <v>-</v>
          </cell>
          <cell r="F824" t="str">
            <v>MSP</v>
          </cell>
          <cell r="H824" t="str">
            <v>Pass Through/MSP</v>
          </cell>
          <cell r="J824" t="str">
            <v>ACH</v>
          </cell>
          <cell r="L824" t="str">
            <v>New</v>
          </cell>
          <cell r="M824">
            <v>46112</v>
          </cell>
          <cell r="N824">
            <v>90</v>
          </cell>
          <cell r="P824">
            <v>46477</v>
          </cell>
          <cell r="Q824" t="str">
            <v>PLC-Passthrough</v>
          </cell>
          <cell r="R824" t="str">
            <v>Vijayalakshmi Bhavana</v>
          </cell>
          <cell r="S824" t="str">
            <v>Individual</v>
          </cell>
          <cell r="T824" t="str">
            <v>C2C</v>
          </cell>
          <cell r="U824" t="str">
            <v>CoForge</v>
          </cell>
          <cell r="V824">
            <v>77</v>
          </cell>
          <cell r="W824">
            <v>0</v>
          </cell>
          <cell r="X824" t="str">
            <v>USD</v>
          </cell>
          <cell r="Y824">
            <v>78</v>
          </cell>
          <cell r="Z824">
            <v>0</v>
          </cell>
          <cell r="AA824">
            <v>0</v>
          </cell>
          <cell r="AB824">
            <v>0</v>
          </cell>
          <cell r="AC824">
            <v>46157</v>
          </cell>
          <cell r="AD824">
            <v>22</v>
          </cell>
          <cell r="AE824">
            <v>46387</v>
          </cell>
          <cell r="AF824">
            <v>77</v>
          </cell>
          <cell r="AG824">
            <v>0</v>
          </cell>
          <cell r="AH824">
            <v>77</v>
          </cell>
          <cell r="AI824">
            <v>78</v>
          </cell>
          <cell r="AJ824">
            <v>0</v>
          </cell>
          <cell r="AK824">
            <v>0</v>
          </cell>
          <cell r="AL824">
            <v>1</v>
          </cell>
          <cell r="AM824">
            <v>0</v>
          </cell>
          <cell r="AN824">
            <v>1</v>
          </cell>
          <cell r="AO824">
            <v>0</v>
          </cell>
          <cell r="AP824">
            <v>1</v>
          </cell>
          <cell r="AQ824" t="str">
            <v>US_CMSP_00762</v>
          </cell>
          <cell r="AR824">
            <v>0</v>
          </cell>
          <cell r="AS824">
            <v>160</v>
          </cell>
          <cell r="AU824">
            <v>160</v>
          </cell>
          <cell r="AV824">
            <v>0</v>
          </cell>
          <cell r="AW824">
            <v>160</v>
          </cell>
          <cell r="AX824">
            <v>158.4</v>
          </cell>
          <cell r="AY824">
            <v>0</v>
          </cell>
          <cell r="AZ824">
            <v>160</v>
          </cell>
          <cell r="BA824">
            <v>158.4</v>
          </cell>
          <cell r="BB824">
            <v>160</v>
          </cell>
          <cell r="BC824">
            <v>0</v>
          </cell>
          <cell r="BD824">
            <v>0</v>
          </cell>
          <cell r="BE824">
            <v>0</v>
          </cell>
          <cell r="BG824">
            <v>158.4</v>
          </cell>
          <cell r="BI824">
            <v>0</v>
          </cell>
          <cell r="BJ824">
            <v>12480</v>
          </cell>
          <cell r="BK824">
            <v>12480</v>
          </cell>
          <cell r="BL824">
            <v>12320</v>
          </cell>
          <cell r="BM824">
            <v>0</v>
          </cell>
          <cell r="BN824">
            <v>0</v>
          </cell>
          <cell r="BO824">
            <v>0</v>
          </cell>
          <cell r="BP824">
            <v>12320</v>
          </cell>
          <cell r="BQ824">
            <v>0</v>
          </cell>
          <cell r="BR824">
            <v>160</v>
          </cell>
          <cell r="BT824">
            <v>2</v>
          </cell>
          <cell r="BU824">
            <v>1</v>
          </cell>
          <cell r="BV824" t="str">
            <v>N</v>
          </cell>
          <cell r="BW824">
            <v>0</v>
          </cell>
          <cell r="BX824">
            <v>0</v>
          </cell>
          <cell r="BY824">
            <v>2026</v>
          </cell>
          <cell r="BZ824" t="str">
            <v>-</v>
          </cell>
          <cell r="CA824" t="str">
            <v>-</v>
          </cell>
        </row>
        <row r="825">
          <cell r="A825" t="str">
            <v>Lucknow</v>
          </cell>
          <cell r="B825" t="str">
            <v>Mavericks</v>
          </cell>
          <cell r="C825" t="str">
            <v>Mid Level</v>
          </cell>
          <cell r="D825" t="str">
            <v>Mohammad Fakhrul</v>
          </cell>
          <cell r="E825" t="str">
            <v>-</v>
          </cell>
          <cell r="F825" t="str">
            <v>MSP</v>
          </cell>
          <cell r="H825" t="str">
            <v>Pass Through/MSP</v>
          </cell>
          <cell r="L825" t="str">
            <v>New</v>
          </cell>
          <cell r="M825">
            <v>46090</v>
          </cell>
          <cell r="N825">
            <v>112</v>
          </cell>
          <cell r="O825">
            <v>46127</v>
          </cell>
          <cell r="P825">
            <v>46455</v>
          </cell>
          <cell r="Q825" t="str">
            <v>PLC-Passthrough</v>
          </cell>
          <cell r="R825" t="str">
            <v>Vijaykumar Andugula</v>
          </cell>
          <cell r="S825" t="str">
            <v>Individual</v>
          </cell>
          <cell r="T825" t="str">
            <v>C2C</v>
          </cell>
          <cell r="U825" t="str">
            <v>CoForge</v>
          </cell>
          <cell r="V825">
            <v>81</v>
          </cell>
          <cell r="W825">
            <v>0</v>
          </cell>
          <cell r="X825" t="str">
            <v>USD</v>
          </cell>
          <cell r="Y825">
            <v>82</v>
          </cell>
          <cell r="Z825">
            <v>0</v>
          </cell>
          <cell r="AA825">
            <v>0</v>
          </cell>
          <cell r="AB825">
            <v>0</v>
          </cell>
          <cell r="AC825">
            <v>46096</v>
          </cell>
          <cell r="AD825">
            <v>17</v>
          </cell>
          <cell r="AE825">
            <v>46387</v>
          </cell>
          <cell r="AF825">
            <v>81</v>
          </cell>
          <cell r="AG825">
            <v>0</v>
          </cell>
          <cell r="AH825">
            <v>81</v>
          </cell>
          <cell r="AI825">
            <v>82</v>
          </cell>
          <cell r="AJ825">
            <v>0</v>
          </cell>
          <cell r="AK825">
            <v>0</v>
          </cell>
          <cell r="AL825">
            <v>1</v>
          </cell>
          <cell r="AM825">
            <v>0</v>
          </cell>
          <cell r="AN825">
            <v>1</v>
          </cell>
          <cell r="AO825">
            <v>0</v>
          </cell>
          <cell r="AP825">
            <v>1</v>
          </cell>
          <cell r="AQ825" t="str">
            <v>US_CMSP_00560</v>
          </cell>
          <cell r="AR825">
            <v>0</v>
          </cell>
          <cell r="AS825">
            <v>136</v>
          </cell>
          <cell r="AU825">
            <v>136</v>
          </cell>
          <cell r="AV825">
            <v>0</v>
          </cell>
          <cell r="AW825">
            <v>136</v>
          </cell>
          <cell r="AX825">
            <v>136</v>
          </cell>
          <cell r="AY825">
            <v>0</v>
          </cell>
          <cell r="AZ825">
            <v>136</v>
          </cell>
          <cell r="BA825">
            <v>136</v>
          </cell>
          <cell r="BB825">
            <v>136</v>
          </cell>
          <cell r="BC825">
            <v>0</v>
          </cell>
          <cell r="BD825">
            <v>0</v>
          </cell>
          <cell r="BE825">
            <v>0</v>
          </cell>
          <cell r="BG825">
            <v>136</v>
          </cell>
          <cell r="BI825">
            <v>136</v>
          </cell>
          <cell r="BJ825">
            <v>11152</v>
          </cell>
          <cell r="BK825">
            <v>11152</v>
          </cell>
          <cell r="BL825">
            <v>11016</v>
          </cell>
          <cell r="BM825">
            <v>0</v>
          </cell>
          <cell r="BN825">
            <v>0</v>
          </cell>
          <cell r="BO825">
            <v>0</v>
          </cell>
          <cell r="BP825">
            <v>11016</v>
          </cell>
          <cell r="BQ825">
            <v>0</v>
          </cell>
          <cell r="BR825">
            <v>136</v>
          </cell>
          <cell r="BS825" t="str">
            <v>Y</v>
          </cell>
          <cell r="BT825">
            <v>1</v>
          </cell>
          <cell r="BU825">
            <v>1</v>
          </cell>
          <cell r="BV825" t="str">
            <v>N</v>
          </cell>
          <cell r="BW825">
            <v>0</v>
          </cell>
          <cell r="BX825">
            <v>0</v>
          </cell>
          <cell r="BY825">
            <v>2026</v>
          </cell>
          <cell r="BZ825" t="str">
            <v>-</v>
          </cell>
          <cell r="CA825" t="str">
            <v>-</v>
          </cell>
        </row>
        <row r="826">
          <cell r="A826" t="str">
            <v>Lucknow</v>
          </cell>
          <cell r="B826" t="str">
            <v>Mavericks</v>
          </cell>
          <cell r="C826" t="str">
            <v>Mid Level</v>
          </cell>
          <cell r="D826" t="str">
            <v>Mohammad Fakhrul</v>
          </cell>
          <cell r="E826" t="str">
            <v>-</v>
          </cell>
          <cell r="F826" t="str">
            <v>MSP</v>
          </cell>
          <cell r="H826" t="str">
            <v>Pass Through/MSP</v>
          </cell>
          <cell r="J826" t="str">
            <v>ACH</v>
          </cell>
          <cell r="L826" t="str">
            <v>New</v>
          </cell>
          <cell r="M826">
            <v>46090</v>
          </cell>
          <cell r="N826">
            <v>112</v>
          </cell>
          <cell r="O826">
            <v>46127</v>
          </cell>
          <cell r="P826">
            <v>46455</v>
          </cell>
          <cell r="Q826" t="str">
            <v>PLC-Passthrough</v>
          </cell>
          <cell r="R826" t="str">
            <v>Vijaykumar Andugula</v>
          </cell>
          <cell r="S826" t="str">
            <v>Individual</v>
          </cell>
          <cell r="T826" t="str">
            <v>C2C</v>
          </cell>
          <cell r="U826" t="str">
            <v>CoForge</v>
          </cell>
          <cell r="V826">
            <v>81</v>
          </cell>
          <cell r="W826">
            <v>0</v>
          </cell>
          <cell r="X826" t="str">
            <v>USD</v>
          </cell>
          <cell r="Y826">
            <v>82</v>
          </cell>
          <cell r="Z826">
            <v>0</v>
          </cell>
          <cell r="AA826">
            <v>0</v>
          </cell>
          <cell r="AB826">
            <v>0</v>
          </cell>
          <cell r="AC826">
            <v>46127</v>
          </cell>
          <cell r="AD826">
            <v>22</v>
          </cell>
          <cell r="AE826">
            <v>46387</v>
          </cell>
          <cell r="AF826">
            <v>81</v>
          </cell>
          <cell r="AG826">
            <v>0</v>
          </cell>
          <cell r="AH826">
            <v>81</v>
          </cell>
          <cell r="AI826">
            <v>82</v>
          </cell>
          <cell r="AJ826">
            <v>0</v>
          </cell>
          <cell r="AK826">
            <v>0</v>
          </cell>
          <cell r="AL826">
            <v>1</v>
          </cell>
          <cell r="AM826">
            <v>0</v>
          </cell>
          <cell r="AN826">
            <v>1</v>
          </cell>
          <cell r="AO826">
            <v>0</v>
          </cell>
          <cell r="AP826">
            <v>1</v>
          </cell>
          <cell r="AQ826" t="str">
            <v>US_CMSP_00705</v>
          </cell>
          <cell r="AR826">
            <v>0</v>
          </cell>
          <cell r="AS826">
            <v>80</v>
          </cell>
          <cell r="AU826">
            <v>80</v>
          </cell>
          <cell r="AV826">
            <v>0</v>
          </cell>
          <cell r="AW826">
            <v>80</v>
          </cell>
          <cell r="AX826">
            <v>79.2</v>
          </cell>
          <cell r="AY826">
            <v>0</v>
          </cell>
          <cell r="AZ826">
            <v>80</v>
          </cell>
          <cell r="BA826">
            <v>79.2</v>
          </cell>
          <cell r="BB826">
            <v>80</v>
          </cell>
          <cell r="BC826">
            <v>0</v>
          </cell>
          <cell r="BD826">
            <v>0</v>
          </cell>
          <cell r="BE826">
            <v>0</v>
          </cell>
          <cell r="BG826">
            <v>79.2</v>
          </cell>
          <cell r="BI826">
            <v>79.2</v>
          </cell>
          <cell r="BJ826">
            <v>6560</v>
          </cell>
          <cell r="BK826">
            <v>6560</v>
          </cell>
          <cell r="BL826">
            <v>6480</v>
          </cell>
          <cell r="BM826">
            <v>0</v>
          </cell>
          <cell r="BN826">
            <v>0</v>
          </cell>
          <cell r="BO826">
            <v>0</v>
          </cell>
          <cell r="BP826">
            <v>6480</v>
          </cell>
          <cell r="BQ826">
            <v>0</v>
          </cell>
          <cell r="BR826">
            <v>80</v>
          </cell>
          <cell r="BS826" t="str">
            <v>Y</v>
          </cell>
          <cell r="BT826">
            <v>2</v>
          </cell>
          <cell r="BU826">
            <v>1</v>
          </cell>
          <cell r="BV826" t="str">
            <v>N</v>
          </cell>
          <cell r="BW826">
            <v>0</v>
          </cell>
          <cell r="BX826">
            <v>0</v>
          </cell>
          <cell r="BY826">
            <v>2026</v>
          </cell>
          <cell r="BZ826" t="str">
            <v>-</v>
          </cell>
          <cell r="CA826" t="str">
            <v>-</v>
          </cell>
        </row>
        <row r="827">
          <cell r="A827" t="str">
            <v>Noida</v>
          </cell>
          <cell r="B827" t="str">
            <v>Mavericks</v>
          </cell>
          <cell r="C827" t="str">
            <v>Mid Level</v>
          </cell>
          <cell r="D827" t="str">
            <v>Akash Saxena</v>
          </cell>
          <cell r="F827" t="str">
            <v>Non-MSP</v>
          </cell>
          <cell r="H827" t="str">
            <v>Hema</v>
          </cell>
          <cell r="J827" t="str">
            <v>ACH</v>
          </cell>
          <cell r="L827" t="str">
            <v>New</v>
          </cell>
          <cell r="M827">
            <v>46169</v>
          </cell>
          <cell r="N827">
            <v>33</v>
          </cell>
          <cell r="P827">
            <v>46534</v>
          </cell>
          <cell r="Q827" t="str">
            <v>PLC-4913</v>
          </cell>
          <cell r="R827" t="str">
            <v>Vikas Rathnam</v>
          </cell>
          <cell r="S827" t="str">
            <v>Individual</v>
          </cell>
          <cell r="T827" t="str">
            <v>C2C</v>
          </cell>
          <cell r="U827" t="str">
            <v>Citius Tech</v>
          </cell>
          <cell r="V827">
            <v>57</v>
          </cell>
          <cell r="W827">
            <v>0</v>
          </cell>
          <cell r="X827" t="str">
            <v>USD</v>
          </cell>
          <cell r="Y827">
            <v>70</v>
          </cell>
          <cell r="Z827">
            <v>0</v>
          </cell>
          <cell r="AA827">
            <v>0</v>
          </cell>
          <cell r="AB827">
            <v>3</v>
          </cell>
          <cell r="AC827">
            <v>46157</v>
          </cell>
          <cell r="AD827">
            <v>3</v>
          </cell>
          <cell r="AE827">
            <v>46387</v>
          </cell>
          <cell r="AF827">
            <v>57</v>
          </cell>
          <cell r="AG827">
            <v>0</v>
          </cell>
          <cell r="AH827">
            <v>60</v>
          </cell>
          <cell r="AI827">
            <v>70</v>
          </cell>
          <cell r="AJ827">
            <v>0</v>
          </cell>
          <cell r="AK827">
            <v>0</v>
          </cell>
          <cell r="AL827">
            <v>10</v>
          </cell>
          <cell r="AM827">
            <v>0</v>
          </cell>
          <cell r="AN827">
            <v>10</v>
          </cell>
          <cell r="AO827">
            <v>0</v>
          </cell>
          <cell r="AP827">
            <v>10</v>
          </cell>
          <cell r="AU827">
            <v>24</v>
          </cell>
          <cell r="BB827">
            <v>240</v>
          </cell>
          <cell r="BC827">
            <v>50</v>
          </cell>
          <cell r="BI827">
            <v>0</v>
          </cell>
          <cell r="BK827">
            <v>1680</v>
          </cell>
          <cell r="BL827">
            <v>1368</v>
          </cell>
          <cell r="BM827">
            <v>0</v>
          </cell>
          <cell r="BN827">
            <v>72</v>
          </cell>
          <cell r="BO827">
            <v>0</v>
          </cell>
          <cell r="BP827">
            <v>1440</v>
          </cell>
          <cell r="BQ827">
            <v>3</v>
          </cell>
          <cell r="BR827">
            <v>240</v>
          </cell>
          <cell r="BT827">
            <v>2</v>
          </cell>
          <cell r="BU827">
            <v>2</v>
          </cell>
          <cell r="BV827" t="str">
            <v>N</v>
          </cell>
          <cell r="BY827">
            <v>2026</v>
          </cell>
          <cell r="BZ827" t="str">
            <v>-</v>
          </cell>
          <cell r="CA827" t="str">
            <v>-</v>
          </cell>
        </row>
        <row r="828">
          <cell r="A828" t="str">
            <v>Lucknow</v>
          </cell>
          <cell r="B828" t="str">
            <v>Chennai</v>
          </cell>
          <cell r="C828" t="str">
            <v>Mid Level</v>
          </cell>
          <cell r="D828" t="str">
            <v>Vinoth L</v>
          </cell>
          <cell r="F828" t="str">
            <v>Non-MSP</v>
          </cell>
          <cell r="H828" t="str">
            <v>Lokesh R</v>
          </cell>
          <cell r="J828" t="str">
            <v>ACH</v>
          </cell>
          <cell r="L828" t="str">
            <v>New</v>
          </cell>
          <cell r="M828">
            <v>46142</v>
          </cell>
          <cell r="N828">
            <v>60</v>
          </cell>
          <cell r="O828">
            <v>46154</v>
          </cell>
          <cell r="P828">
            <v>46507</v>
          </cell>
          <cell r="Q828" t="str">
            <v>PLC-4864</v>
          </cell>
          <cell r="R828" t="str">
            <v>Vinay Kumar Gorantla</v>
          </cell>
          <cell r="S828" t="str">
            <v>Individual</v>
          </cell>
          <cell r="T828" t="str">
            <v>C2C</v>
          </cell>
          <cell r="U828" t="str">
            <v>LTM</v>
          </cell>
          <cell r="V828">
            <v>62</v>
          </cell>
          <cell r="W828">
            <v>0</v>
          </cell>
          <cell r="X828" t="str">
            <v>USD</v>
          </cell>
          <cell r="Y828">
            <v>75</v>
          </cell>
          <cell r="Z828">
            <v>0</v>
          </cell>
          <cell r="AA828">
            <v>0</v>
          </cell>
          <cell r="AB828">
            <v>0</v>
          </cell>
          <cell r="AC828">
            <v>46127</v>
          </cell>
          <cell r="AD828">
            <v>1</v>
          </cell>
          <cell r="AE828">
            <v>46387</v>
          </cell>
          <cell r="AF828">
            <v>62</v>
          </cell>
          <cell r="AG828">
            <v>0</v>
          </cell>
          <cell r="AH828">
            <v>62</v>
          </cell>
          <cell r="AI828">
            <v>75</v>
          </cell>
          <cell r="AJ828">
            <v>0</v>
          </cell>
          <cell r="AK828">
            <v>0</v>
          </cell>
          <cell r="AL828">
            <v>13</v>
          </cell>
          <cell r="AM828">
            <v>0</v>
          </cell>
          <cell r="AN828">
            <v>13</v>
          </cell>
          <cell r="AO828">
            <v>0</v>
          </cell>
          <cell r="AP828">
            <v>13</v>
          </cell>
          <cell r="AU828">
            <v>8</v>
          </cell>
          <cell r="BB828">
            <v>104</v>
          </cell>
          <cell r="BC828">
            <v>0</v>
          </cell>
          <cell r="BD828">
            <v>0</v>
          </cell>
          <cell r="BE828">
            <v>0</v>
          </cell>
          <cell r="BI828">
            <v>0</v>
          </cell>
          <cell r="BK828">
            <v>600</v>
          </cell>
          <cell r="BL828">
            <v>496</v>
          </cell>
          <cell r="BM828">
            <v>0</v>
          </cell>
          <cell r="BN828">
            <v>0</v>
          </cell>
          <cell r="BO828">
            <v>0</v>
          </cell>
          <cell r="BP828">
            <v>496</v>
          </cell>
          <cell r="BQ828">
            <v>0</v>
          </cell>
          <cell r="BR828">
            <v>104</v>
          </cell>
          <cell r="BT828">
            <v>2</v>
          </cell>
          <cell r="BU828">
            <v>2</v>
          </cell>
          <cell r="BV828" t="str">
            <v>N</v>
          </cell>
          <cell r="BW828">
            <v>0</v>
          </cell>
          <cell r="BX828">
            <v>0</v>
          </cell>
          <cell r="BY828">
            <v>2026</v>
          </cell>
          <cell r="BZ828" t="str">
            <v>-</v>
          </cell>
          <cell r="CA828" t="str">
            <v>-</v>
          </cell>
        </row>
        <row r="829">
          <cell r="A829" t="str">
            <v>Lucknow</v>
          </cell>
          <cell r="B829" t="str">
            <v>Chennai</v>
          </cell>
          <cell r="C829" t="str">
            <v>Mid Level</v>
          </cell>
          <cell r="D829" t="str">
            <v>Vinoth L</v>
          </cell>
          <cell r="F829" t="str">
            <v>Non-MSP</v>
          </cell>
          <cell r="H829" t="str">
            <v>Lokesh R</v>
          </cell>
          <cell r="J829" t="str">
            <v>ACH</v>
          </cell>
          <cell r="L829" t="str">
            <v>New</v>
          </cell>
          <cell r="M829">
            <v>46142</v>
          </cell>
          <cell r="N829">
            <v>60</v>
          </cell>
          <cell r="O829">
            <v>46154</v>
          </cell>
          <cell r="P829">
            <v>46507</v>
          </cell>
          <cell r="Q829" t="str">
            <v>PLC-4864</v>
          </cell>
          <cell r="R829" t="str">
            <v>Vinay Kumar Gorantla</v>
          </cell>
          <cell r="S829" t="str">
            <v>Individual</v>
          </cell>
          <cell r="T829" t="str">
            <v>C2C</v>
          </cell>
          <cell r="U829" t="str">
            <v>LTM</v>
          </cell>
          <cell r="V829">
            <v>62</v>
          </cell>
          <cell r="W829">
            <v>0</v>
          </cell>
          <cell r="X829" t="str">
            <v>USD</v>
          </cell>
          <cell r="Y829">
            <v>75</v>
          </cell>
          <cell r="Z829">
            <v>0</v>
          </cell>
          <cell r="AA829">
            <v>0</v>
          </cell>
          <cell r="AB829">
            <v>0</v>
          </cell>
          <cell r="AC829">
            <v>46157</v>
          </cell>
          <cell r="AD829">
            <v>1</v>
          </cell>
          <cell r="AE829">
            <v>46387</v>
          </cell>
          <cell r="AF829">
            <v>62</v>
          </cell>
          <cell r="AG829">
            <v>0</v>
          </cell>
          <cell r="AH829">
            <v>62</v>
          </cell>
          <cell r="AI829">
            <v>75</v>
          </cell>
          <cell r="AJ829">
            <v>0</v>
          </cell>
          <cell r="AK829">
            <v>0</v>
          </cell>
          <cell r="AL829">
            <v>13</v>
          </cell>
          <cell r="AM829">
            <v>0</v>
          </cell>
          <cell r="AN829">
            <v>13</v>
          </cell>
          <cell r="AO829">
            <v>0</v>
          </cell>
          <cell r="AP829">
            <v>13</v>
          </cell>
          <cell r="AU829">
            <v>8</v>
          </cell>
          <cell r="BB829">
            <v>104</v>
          </cell>
          <cell r="BC829">
            <v>0</v>
          </cell>
          <cell r="BD829">
            <v>0</v>
          </cell>
          <cell r="BE829">
            <v>0</v>
          </cell>
          <cell r="BI829">
            <v>0</v>
          </cell>
          <cell r="BK829">
            <v>600</v>
          </cell>
          <cell r="BL829">
            <v>496</v>
          </cell>
          <cell r="BM829">
            <v>0</v>
          </cell>
          <cell r="BN829">
            <v>0</v>
          </cell>
          <cell r="BO829">
            <v>0</v>
          </cell>
          <cell r="BP829">
            <v>496</v>
          </cell>
          <cell r="BQ829">
            <v>0</v>
          </cell>
          <cell r="BR829">
            <v>104</v>
          </cell>
          <cell r="BT829">
            <v>2</v>
          </cell>
          <cell r="BU829">
            <v>2</v>
          </cell>
          <cell r="BV829" t="str">
            <v>N</v>
          </cell>
          <cell r="BW829">
            <v>0</v>
          </cell>
          <cell r="BX829">
            <v>0</v>
          </cell>
          <cell r="BY829">
            <v>2026</v>
          </cell>
          <cell r="BZ829" t="str">
            <v>-</v>
          </cell>
          <cell r="CA829" t="str">
            <v>-</v>
          </cell>
        </row>
        <row r="830">
          <cell r="A830" t="str">
            <v>Lucknow</v>
          </cell>
          <cell r="B830" t="str">
            <v>Mavericks</v>
          </cell>
          <cell r="C830" t="str">
            <v>Mid Level</v>
          </cell>
          <cell r="D830" t="str">
            <v>Mohammad Fakhrul</v>
          </cell>
          <cell r="E830" t="str">
            <v>-</v>
          </cell>
          <cell r="F830" t="str">
            <v>MSP</v>
          </cell>
          <cell r="H830" t="str">
            <v>Pass Through/MSP</v>
          </cell>
          <cell r="L830" t="str">
            <v>New</v>
          </cell>
          <cell r="M830">
            <v>46099</v>
          </cell>
          <cell r="N830">
            <v>103</v>
          </cell>
          <cell r="P830">
            <v>46464</v>
          </cell>
          <cell r="Q830" t="str">
            <v>PLC-Passthrough</v>
          </cell>
          <cell r="R830" t="str">
            <v>Vinod Ramkrishna Walse</v>
          </cell>
          <cell r="S830" t="str">
            <v>Individual</v>
          </cell>
          <cell r="T830" t="str">
            <v>C2C</v>
          </cell>
          <cell r="U830" t="str">
            <v>CoForge</v>
          </cell>
          <cell r="V830">
            <v>122</v>
          </cell>
          <cell r="W830">
            <v>0</v>
          </cell>
          <cell r="X830" t="str">
            <v>USD</v>
          </cell>
          <cell r="Y830">
            <v>124</v>
          </cell>
          <cell r="Z830">
            <v>0</v>
          </cell>
          <cell r="AA830">
            <v>0</v>
          </cell>
          <cell r="AB830">
            <v>0</v>
          </cell>
          <cell r="AC830">
            <v>46096</v>
          </cell>
          <cell r="AD830">
            <v>10</v>
          </cell>
          <cell r="AE830">
            <v>46387</v>
          </cell>
          <cell r="AF830">
            <v>122</v>
          </cell>
          <cell r="AG830">
            <v>0</v>
          </cell>
          <cell r="AH830">
            <v>122</v>
          </cell>
          <cell r="AI830">
            <v>124</v>
          </cell>
          <cell r="AJ830">
            <v>0</v>
          </cell>
          <cell r="AK830">
            <v>0</v>
          </cell>
          <cell r="AL830">
            <v>2</v>
          </cell>
          <cell r="AM830">
            <v>0</v>
          </cell>
          <cell r="AN830">
            <v>2</v>
          </cell>
          <cell r="AO830">
            <v>0</v>
          </cell>
          <cell r="AP830">
            <v>2</v>
          </cell>
          <cell r="AQ830" t="str">
            <v>US_CMSP_00586</v>
          </cell>
          <cell r="AR830">
            <v>0</v>
          </cell>
          <cell r="AS830">
            <v>80</v>
          </cell>
          <cell r="AU830">
            <v>80</v>
          </cell>
          <cell r="AV830">
            <v>0</v>
          </cell>
          <cell r="AW830">
            <v>160</v>
          </cell>
          <cell r="AX830">
            <v>160</v>
          </cell>
          <cell r="AY830">
            <v>0</v>
          </cell>
          <cell r="AZ830">
            <v>160</v>
          </cell>
          <cell r="BA830">
            <v>160</v>
          </cell>
          <cell r="BB830">
            <v>160</v>
          </cell>
          <cell r="BC830">
            <v>0</v>
          </cell>
          <cell r="BD830">
            <v>0</v>
          </cell>
          <cell r="BE830">
            <v>0</v>
          </cell>
          <cell r="BG830">
            <v>160</v>
          </cell>
          <cell r="BI830">
            <v>160</v>
          </cell>
          <cell r="BJ830">
            <v>9920</v>
          </cell>
          <cell r="BK830">
            <v>9920</v>
          </cell>
          <cell r="BL830">
            <v>9760</v>
          </cell>
          <cell r="BM830">
            <v>0</v>
          </cell>
          <cell r="BN830">
            <v>0</v>
          </cell>
          <cell r="BO830">
            <v>0</v>
          </cell>
          <cell r="BP830">
            <v>9760</v>
          </cell>
          <cell r="BQ830">
            <v>0</v>
          </cell>
          <cell r="BR830">
            <v>160</v>
          </cell>
          <cell r="BT830">
            <v>1</v>
          </cell>
          <cell r="BU830">
            <v>1</v>
          </cell>
          <cell r="BV830" t="str">
            <v>N</v>
          </cell>
          <cell r="BW830">
            <v>0</v>
          </cell>
          <cell r="BX830">
            <v>0</v>
          </cell>
          <cell r="BY830">
            <v>2026</v>
          </cell>
          <cell r="BZ830" t="str">
            <v>-</v>
          </cell>
          <cell r="CA830" t="str">
            <v>-</v>
          </cell>
        </row>
        <row r="831">
          <cell r="A831" t="str">
            <v>Lucknow</v>
          </cell>
          <cell r="B831" t="str">
            <v>Mavericks</v>
          </cell>
          <cell r="C831" t="str">
            <v>Mid Level</v>
          </cell>
          <cell r="D831" t="str">
            <v>Mohammad Fakhrul</v>
          </cell>
          <cell r="E831" t="str">
            <v>-</v>
          </cell>
          <cell r="F831" t="str">
            <v>MSP</v>
          </cell>
          <cell r="H831" t="str">
            <v>Pass Through/MSP</v>
          </cell>
          <cell r="J831" t="str">
            <v>ACH</v>
          </cell>
          <cell r="L831" t="str">
            <v>New</v>
          </cell>
          <cell r="M831">
            <v>46099</v>
          </cell>
          <cell r="N831">
            <v>103</v>
          </cell>
          <cell r="P831">
            <v>46464</v>
          </cell>
          <cell r="Q831" t="str">
            <v>PLC-Passthrough</v>
          </cell>
          <cell r="R831" t="str">
            <v>Vinod Ramkrishna Walse</v>
          </cell>
          <cell r="S831" t="str">
            <v>Individual</v>
          </cell>
          <cell r="T831" t="str">
            <v>C2C</v>
          </cell>
          <cell r="U831" t="str">
            <v>CoForge</v>
          </cell>
          <cell r="V831">
            <v>122</v>
          </cell>
          <cell r="W831">
            <v>0</v>
          </cell>
          <cell r="X831" t="str">
            <v>USD</v>
          </cell>
          <cell r="Y831">
            <v>124</v>
          </cell>
          <cell r="Z831">
            <v>0</v>
          </cell>
          <cell r="AA831">
            <v>0</v>
          </cell>
          <cell r="AB831">
            <v>0</v>
          </cell>
          <cell r="AC831">
            <v>46127</v>
          </cell>
          <cell r="AD831">
            <v>22</v>
          </cell>
          <cell r="AE831">
            <v>46387</v>
          </cell>
          <cell r="AF831">
            <v>122</v>
          </cell>
          <cell r="AG831">
            <v>0</v>
          </cell>
          <cell r="AH831">
            <v>122</v>
          </cell>
          <cell r="AI831">
            <v>124</v>
          </cell>
          <cell r="AJ831">
            <v>0</v>
          </cell>
          <cell r="AK831">
            <v>0</v>
          </cell>
          <cell r="AL831">
            <v>2</v>
          </cell>
          <cell r="AM831">
            <v>0</v>
          </cell>
          <cell r="AN831">
            <v>2</v>
          </cell>
          <cell r="AO831">
            <v>0</v>
          </cell>
          <cell r="AP831">
            <v>2</v>
          </cell>
          <cell r="AQ831" t="str">
            <v>US_CMSP_00727</v>
          </cell>
          <cell r="AR831">
            <v>0</v>
          </cell>
          <cell r="AS831">
            <v>168</v>
          </cell>
          <cell r="AU831">
            <v>168</v>
          </cell>
          <cell r="AV831">
            <v>0</v>
          </cell>
          <cell r="AW831">
            <v>336</v>
          </cell>
          <cell r="AX831">
            <v>332.64</v>
          </cell>
          <cell r="AY831">
            <v>0</v>
          </cell>
          <cell r="AZ831">
            <v>336</v>
          </cell>
          <cell r="BA831">
            <v>332.64</v>
          </cell>
          <cell r="BB831">
            <v>336</v>
          </cell>
          <cell r="BC831">
            <v>0</v>
          </cell>
          <cell r="BD831">
            <v>0</v>
          </cell>
          <cell r="BE831">
            <v>0</v>
          </cell>
          <cell r="BG831">
            <v>332.64</v>
          </cell>
          <cell r="BI831">
            <v>332.64</v>
          </cell>
          <cell r="BJ831">
            <v>20832</v>
          </cell>
          <cell r="BK831">
            <v>20832</v>
          </cell>
          <cell r="BL831">
            <v>20496</v>
          </cell>
          <cell r="BM831">
            <v>0</v>
          </cell>
          <cell r="BN831">
            <v>0</v>
          </cell>
          <cell r="BO831">
            <v>0</v>
          </cell>
          <cell r="BP831">
            <v>20496</v>
          </cell>
          <cell r="BQ831">
            <v>0</v>
          </cell>
          <cell r="BR831">
            <v>336</v>
          </cell>
          <cell r="BT831">
            <v>2</v>
          </cell>
          <cell r="BU831">
            <v>1</v>
          </cell>
          <cell r="BV831" t="str">
            <v>N</v>
          </cell>
          <cell r="BW831">
            <v>0</v>
          </cell>
          <cell r="BX831">
            <v>0</v>
          </cell>
          <cell r="BY831">
            <v>2026</v>
          </cell>
          <cell r="BZ831" t="str">
            <v>-</v>
          </cell>
          <cell r="CA831" t="str">
            <v>-</v>
          </cell>
        </row>
        <row r="832">
          <cell r="A832" t="str">
            <v>Lucknow</v>
          </cell>
          <cell r="B832" t="str">
            <v>Mavericks</v>
          </cell>
          <cell r="C832" t="str">
            <v>Mid Level</v>
          </cell>
          <cell r="D832" t="str">
            <v>Mohammad Fakhrul</v>
          </cell>
          <cell r="E832" t="str">
            <v>-</v>
          </cell>
          <cell r="F832" t="str">
            <v>MSP</v>
          </cell>
          <cell r="H832" t="str">
            <v>Pass Through/MSP</v>
          </cell>
          <cell r="J832" t="str">
            <v>ACH</v>
          </cell>
          <cell r="L832" t="str">
            <v>New</v>
          </cell>
          <cell r="M832">
            <v>46099</v>
          </cell>
          <cell r="N832">
            <v>103</v>
          </cell>
          <cell r="P832">
            <v>46464</v>
          </cell>
          <cell r="Q832" t="str">
            <v>PLC-Passthrough</v>
          </cell>
          <cell r="R832" t="str">
            <v>Vinod Ramkrishna Walse</v>
          </cell>
          <cell r="S832" t="str">
            <v>Individual</v>
          </cell>
          <cell r="T832" t="str">
            <v>C2C</v>
          </cell>
          <cell r="U832" t="str">
            <v>CoForge</v>
          </cell>
          <cell r="V832">
            <v>122</v>
          </cell>
          <cell r="W832">
            <v>0</v>
          </cell>
          <cell r="X832" t="str">
            <v>USD</v>
          </cell>
          <cell r="Y832">
            <v>124</v>
          </cell>
          <cell r="Z832">
            <v>0</v>
          </cell>
          <cell r="AA832">
            <v>0</v>
          </cell>
          <cell r="AB832">
            <v>0</v>
          </cell>
          <cell r="AC832">
            <v>46157</v>
          </cell>
          <cell r="AD832">
            <v>22</v>
          </cell>
          <cell r="AE832">
            <v>46387</v>
          </cell>
          <cell r="AF832">
            <v>122</v>
          </cell>
          <cell r="AG832">
            <v>0</v>
          </cell>
          <cell r="AH832">
            <v>122</v>
          </cell>
          <cell r="AI832">
            <v>124</v>
          </cell>
          <cell r="AJ832">
            <v>0</v>
          </cell>
          <cell r="AK832">
            <v>0</v>
          </cell>
          <cell r="AL832">
            <v>2</v>
          </cell>
          <cell r="AM832">
            <v>0</v>
          </cell>
          <cell r="AN832">
            <v>2</v>
          </cell>
          <cell r="AO832">
            <v>0</v>
          </cell>
          <cell r="AP832">
            <v>2</v>
          </cell>
          <cell r="AQ832" t="str">
            <v>US_CMSP_00777</v>
          </cell>
          <cell r="AR832">
            <v>0</v>
          </cell>
          <cell r="AS832">
            <v>168</v>
          </cell>
          <cell r="AU832">
            <v>168</v>
          </cell>
          <cell r="AV832">
            <v>0</v>
          </cell>
          <cell r="AW832">
            <v>336</v>
          </cell>
          <cell r="AX832">
            <v>332.64</v>
          </cell>
          <cell r="AY832">
            <v>0</v>
          </cell>
          <cell r="AZ832">
            <v>336</v>
          </cell>
          <cell r="BA832">
            <v>332.64</v>
          </cell>
          <cell r="BB832">
            <v>336</v>
          </cell>
          <cell r="BC832">
            <v>0</v>
          </cell>
          <cell r="BD832">
            <v>0</v>
          </cell>
          <cell r="BE832">
            <v>0</v>
          </cell>
          <cell r="BG832">
            <v>332.64</v>
          </cell>
          <cell r="BI832">
            <v>332.64</v>
          </cell>
          <cell r="BJ832">
            <v>20832</v>
          </cell>
          <cell r="BK832">
            <v>20832</v>
          </cell>
          <cell r="BL832">
            <v>20496</v>
          </cell>
          <cell r="BM832">
            <v>0</v>
          </cell>
          <cell r="BN832">
            <v>0</v>
          </cell>
          <cell r="BO832">
            <v>0</v>
          </cell>
          <cell r="BP832">
            <v>20496</v>
          </cell>
          <cell r="BQ832">
            <v>0</v>
          </cell>
          <cell r="BR832">
            <v>336</v>
          </cell>
          <cell r="BT832">
            <v>2</v>
          </cell>
          <cell r="BU832">
            <v>1</v>
          </cell>
          <cell r="BV832" t="str">
            <v>N</v>
          </cell>
          <cell r="BW832">
            <v>0</v>
          </cell>
          <cell r="BX832">
            <v>0</v>
          </cell>
          <cell r="BY832">
            <v>2026</v>
          </cell>
          <cell r="BZ832" t="str">
            <v>-</v>
          </cell>
          <cell r="CA832" t="str">
            <v>-</v>
          </cell>
        </row>
        <row r="833">
          <cell r="A833" t="str">
            <v>Noida</v>
          </cell>
          <cell r="B833" t="str">
            <v>Trust</v>
          </cell>
          <cell r="C833" t="str">
            <v>Mid Level</v>
          </cell>
          <cell r="D833" t="str">
            <v>Abdul Rahman</v>
          </cell>
          <cell r="F833" t="str">
            <v>Non-MSP</v>
          </cell>
          <cell r="H833" t="str">
            <v>Mohd Ateeq</v>
          </cell>
          <cell r="J833" t="str">
            <v>ACH</v>
          </cell>
          <cell r="L833" t="str">
            <v>New</v>
          </cell>
          <cell r="M833">
            <v>46146</v>
          </cell>
          <cell r="N833">
            <v>56</v>
          </cell>
          <cell r="P833">
            <v>46511</v>
          </cell>
          <cell r="Q833" t="str">
            <v>PLC-4869</v>
          </cell>
          <cell r="R833" t="str">
            <v>Visakha Batchu</v>
          </cell>
          <cell r="S833" t="str">
            <v>Individual</v>
          </cell>
          <cell r="T833" t="str">
            <v>C2C</v>
          </cell>
          <cell r="U833" t="str">
            <v xml:space="preserve">Xebia </v>
          </cell>
          <cell r="V833">
            <v>60</v>
          </cell>
          <cell r="W833">
            <v>0</v>
          </cell>
          <cell r="X833" t="str">
            <v>USD</v>
          </cell>
          <cell r="Y833">
            <v>72</v>
          </cell>
          <cell r="Z833">
            <v>0</v>
          </cell>
          <cell r="AA833">
            <v>0</v>
          </cell>
          <cell r="AB833">
            <v>2</v>
          </cell>
          <cell r="AC833">
            <v>46157</v>
          </cell>
          <cell r="AD833">
            <v>20</v>
          </cell>
          <cell r="AE833">
            <v>46387</v>
          </cell>
          <cell r="AF833">
            <v>60</v>
          </cell>
          <cell r="AG833">
            <v>0</v>
          </cell>
          <cell r="AH833">
            <v>62</v>
          </cell>
          <cell r="AI833">
            <v>72</v>
          </cell>
          <cell r="AJ833">
            <v>0</v>
          </cell>
          <cell r="AK833">
            <v>0</v>
          </cell>
          <cell r="AL833">
            <v>10</v>
          </cell>
          <cell r="AM833">
            <v>0</v>
          </cell>
          <cell r="AN833">
            <v>10</v>
          </cell>
          <cell r="AO833">
            <v>0</v>
          </cell>
          <cell r="AP833">
            <v>10</v>
          </cell>
          <cell r="AU833">
            <v>160</v>
          </cell>
          <cell r="BB833">
            <v>1600</v>
          </cell>
          <cell r="BC833">
            <v>57.142857142857139</v>
          </cell>
          <cell r="BI833">
            <v>0</v>
          </cell>
          <cell r="BK833">
            <v>11520</v>
          </cell>
          <cell r="BL833">
            <v>9600</v>
          </cell>
          <cell r="BM833">
            <v>0</v>
          </cell>
          <cell r="BN833">
            <v>320</v>
          </cell>
          <cell r="BO833">
            <v>0</v>
          </cell>
          <cell r="BP833">
            <v>9920</v>
          </cell>
          <cell r="BQ833">
            <v>2</v>
          </cell>
          <cell r="BR833">
            <v>1600</v>
          </cell>
          <cell r="BT833">
            <v>2</v>
          </cell>
          <cell r="BU833">
            <v>2</v>
          </cell>
          <cell r="BV833" t="str">
            <v>N</v>
          </cell>
          <cell r="BY833">
            <v>2026</v>
          </cell>
          <cell r="BZ833" t="str">
            <v>-</v>
          </cell>
          <cell r="CA833" t="str">
            <v>-</v>
          </cell>
        </row>
        <row r="834">
          <cell r="A834" t="str">
            <v>Lucknow</v>
          </cell>
          <cell r="B834" t="str">
            <v>Mavericks</v>
          </cell>
          <cell r="C834" t="str">
            <v>Mid Level</v>
          </cell>
          <cell r="D834" t="str">
            <v>Mohammad Fakhrul</v>
          </cell>
          <cell r="E834" t="str">
            <v>-</v>
          </cell>
          <cell r="F834" t="str">
            <v>MSP</v>
          </cell>
          <cell r="H834" t="str">
            <v>Pass Through/MSP</v>
          </cell>
          <cell r="J834" t="str">
            <v>ACH</v>
          </cell>
          <cell r="L834" t="str">
            <v>New</v>
          </cell>
          <cell r="M834">
            <v>46125</v>
          </cell>
          <cell r="N834">
            <v>77</v>
          </cell>
          <cell r="P834">
            <v>46490</v>
          </cell>
          <cell r="Q834" t="str">
            <v>PLC-Passthrough</v>
          </cell>
          <cell r="R834" t="str">
            <v>Vishruthi Manne</v>
          </cell>
          <cell r="S834" t="str">
            <v>Individual</v>
          </cell>
          <cell r="T834" t="str">
            <v>C2C</v>
          </cell>
          <cell r="U834" t="str">
            <v>Cigniti</v>
          </cell>
          <cell r="V834">
            <v>59</v>
          </cell>
          <cell r="W834">
            <v>0</v>
          </cell>
          <cell r="X834" t="str">
            <v>USD</v>
          </cell>
          <cell r="Y834">
            <v>61</v>
          </cell>
          <cell r="Z834">
            <v>0</v>
          </cell>
          <cell r="AA834">
            <v>0</v>
          </cell>
          <cell r="AB834">
            <v>0</v>
          </cell>
          <cell r="AC834">
            <v>46127</v>
          </cell>
          <cell r="AD834">
            <v>14</v>
          </cell>
          <cell r="AE834">
            <v>46387</v>
          </cell>
          <cell r="AF834">
            <v>59</v>
          </cell>
          <cell r="AG834">
            <v>0</v>
          </cell>
          <cell r="AH834">
            <v>59</v>
          </cell>
          <cell r="AI834">
            <v>61</v>
          </cell>
          <cell r="AJ834">
            <v>0</v>
          </cell>
          <cell r="AK834">
            <v>0</v>
          </cell>
          <cell r="AL834">
            <v>2</v>
          </cell>
          <cell r="AM834">
            <v>0</v>
          </cell>
          <cell r="AN834">
            <v>2</v>
          </cell>
          <cell r="AO834">
            <v>0</v>
          </cell>
          <cell r="AP834">
            <v>2</v>
          </cell>
          <cell r="AQ834" t="str">
            <v>US_CMSP_00738</v>
          </cell>
          <cell r="AR834">
            <v>0</v>
          </cell>
          <cell r="AS834">
            <v>126</v>
          </cell>
          <cell r="AU834">
            <v>126</v>
          </cell>
          <cell r="AV834">
            <v>0</v>
          </cell>
          <cell r="AW834">
            <v>252</v>
          </cell>
          <cell r="AX834">
            <v>249.48</v>
          </cell>
          <cell r="AY834">
            <v>0</v>
          </cell>
          <cell r="AZ834">
            <v>252</v>
          </cell>
          <cell r="BA834">
            <v>249.48</v>
          </cell>
          <cell r="BB834">
            <v>252</v>
          </cell>
          <cell r="BC834">
            <v>0</v>
          </cell>
          <cell r="BD834">
            <v>0</v>
          </cell>
          <cell r="BE834">
            <v>0</v>
          </cell>
          <cell r="BG834">
            <v>249.48</v>
          </cell>
          <cell r="BI834">
            <v>0</v>
          </cell>
          <cell r="BJ834">
            <v>7686</v>
          </cell>
          <cell r="BK834">
            <v>7686</v>
          </cell>
          <cell r="BL834">
            <v>7434</v>
          </cell>
          <cell r="BM834">
            <v>0</v>
          </cell>
          <cell r="BN834">
            <v>0</v>
          </cell>
          <cell r="BO834">
            <v>0</v>
          </cell>
          <cell r="BP834">
            <v>7434</v>
          </cell>
          <cell r="BQ834">
            <v>0</v>
          </cell>
          <cell r="BR834">
            <v>252</v>
          </cell>
          <cell r="BT834">
            <v>2</v>
          </cell>
          <cell r="BU834">
            <v>2</v>
          </cell>
          <cell r="BV834" t="str">
            <v>N</v>
          </cell>
          <cell r="BW834">
            <v>0</v>
          </cell>
          <cell r="BX834">
            <v>0</v>
          </cell>
          <cell r="BY834">
            <v>2026</v>
          </cell>
          <cell r="BZ834" t="str">
            <v>-</v>
          </cell>
          <cell r="CA834" t="str">
            <v>-</v>
          </cell>
        </row>
        <row r="835">
          <cell r="A835" t="str">
            <v>Lucknow</v>
          </cell>
          <cell r="B835" t="str">
            <v>Mavericks</v>
          </cell>
          <cell r="C835" t="str">
            <v>Mid Level</v>
          </cell>
          <cell r="D835" t="str">
            <v>Mohammad Fakhrul</v>
          </cell>
          <cell r="E835" t="str">
            <v>-</v>
          </cell>
          <cell r="F835" t="str">
            <v>MSP</v>
          </cell>
          <cell r="H835" t="str">
            <v>Pass Through/MSP</v>
          </cell>
          <cell r="J835" t="str">
            <v>ACH</v>
          </cell>
          <cell r="L835" t="str">
            <v>New</v>
          </cell>
          <cell r="M835">
            <v>46125</v>
          </cell>
          <cell r="N835">
            <v>77</v>
          </cell>
          <cell r="P835">
            <v>46490</v>
          </cell>
          <cell r="Q835" t="str">
            <v>PLC-Passthrough</v>
          </cell>
          <cell r="R835" t="str">
            <v>Vishruthi Manne</v>
          </cell>
          <cell r="S835" t="str">
            <v>Individual</v>
          </cell>
          <cell r="T835" t="str">
            <v>C2C</v>
          </cell>
          <cell r="U835" t="str">
            <v>Cigniti</v>
          </cell>
          <cell r="V835">
            <v>59</v>
          </cell>
          <cell r="W835">
            <v>0</v>
          </cell>
          <cell r="X835" t="str">
            <v>USD</v>
          </cell>
          <cell r="Y835">
            <v>61</v>
          </cell>
          <cell r="Z835">
            <v>0</v>
          </cell>
          <cell r="AA835">
            <v>0</v>
          </cell>
          <cell r="AB835">
            <v>0</v>
          </cell>
          <cell r="AC835">
            <v>46157</v>
          </cell>
          <cell r="AD835">
            <v>14</v>
          </cell>
          <cell r="AE835">
            <v>46387</v>
          </cell>
          <cell r="AF835">
            <v>59</v>
          </cell>
          <cell r="AG835">
            <v>0</v>
          </cell>
          <cell r="AH835">
            <v>59</v>
          </cell>
          <cell r="AI835">
            <v>61</v>
          </cell>
          <cell r="AJ835">
            <v>0</v>
          </cell>
          <cell r="AK835">
            <v>0</v>
          </cell>
          <cell r="AL835">
            <v>2</v>
          </cell>
          <cell r="AM835">
            <v>0</v>
          </cell>
          <cell r="AN835">
            <v>2</v>
          </cell>
          <cell r="AO835">
            <v>0</v>
          </cell>
          <cell r="AP835">
            <v>2</v>
          </cell>
          <cell r="AQ835" t="str">
            <v>US_CMSP_00879</v>
          </cell>
          <cell r="AR835">
            <v>0</v>
          </cell>
          <cell r="AS835">
            <v>171</v>
          </cell>
          <cell r="AU835">
            <v>171</v>
          </cell>
          <cell r="AV835">
            <v>0</v>
          </cell>
          <cell r="AW835">
            <v>342</v>
          </cell>
          <cell r="AX835">
            <v>338.58</v>
          </cell>
          <cell r="AY835">
            <v>0</v>
          </cell>
          <cell r="AZ835">
            <v>342</v>
          </cell>
          <cell r="BA835">
            <v>338.58</v>
          </cell>
          <cell r="BB835">
            <v>342</v>
          </cell>
          <cell r="BC835">
            <v>0</v>
          </cell>
          <cell r="BD835">
            <v>0</v>
          </cell>
          <cell r="BE835">
            <v>0</v>
          </cell>
          <cell r="BG835">
            <v>338.58</v>
          </cell>
          <cell r="BI835">
            <v>0</v>
          </cell>
          <cell r="BJ835">
            <v>10431</v>
          </cell>
          <cell r="BK835">
            <v>10431</v>
          </cell>
          <cell r="BL835">
            <v>10089</v>
          </cell>
          <cell r="BM835">
            <v>0</v>
          </cell>
          <cell r="BN835">
            <v>0</v>
          </cell>
          <cell r="BO835">
            <v>0</v>
          </cell>
          <cell r="BP835">
            <v>10089</v>
          </cell>
          <cell r="BQ835">
            <v>0</v>
          </cell>
          <cell r="BR835">
            <v>342</v>
          </cell>
          <cell r="BT835">
            <v>2</v>
          </cell>
          <cell r="BU835">
            <v>2</v>
          </cell>
          <cell r="BV835" t="str">
            <v>N</v>
          </cell>
          <cell r="BW835">
            <v>0</v>
          </cell>
          <cell r="BX835">
            <v>0</v>
          </cell>
          <cell r="BY835">
            <v>2026</v>
          </cell>
          <cell r="BZ835" t="str">
            <v>-</v>
          </cell>
          <cell r="CA835" t="str">
            <v>-</v>
          </cell>
        </row>
        <row r="836">
          <cell r="A836" t="str">
            <v>Lucknow</v>
          </cell>
          <cell r="B836" t="str">
            <v>Titans</v>
          </cell>
          <cell r="C836" t="str">
            <v>Mid Level</v>
          </cell>
          <cell r="D836" t="str">
            <v>Abhishek Yadav</v>
          </cell>
          <cell r="E836" t="str">
            <v>-</v>
          </cell>
          <cell r="F836" t="str">
            <v>Non-MSP</v>
          </cell>
          <cell r="H836" t="str">
            <v>Raj Chaudhary</v>
          </cell>
          <cell r="L836" t="str">
            <v>New</v>
          </cell>
          <cell r="M836">
            <v>46038</v>
          </cell>
          <cell r="N836">
            <v>164</v>
          </cell>
          <cell r="O836">
            <v>46066</v>
          </cell>
          <cell r="P836">
            <v>46403</v>
          </cell>
          <cell r="Q836" t="str">
            <v>PLC-4649</v>
          </cell>
          <cell r="R836" t="str">
            <v>Vladimir Alexandre Kagramanov</v>
          </cell>
          <cell r="S836" t="str">
            <v>Individual</v>
          </cell>
          <cell r="T836" t="str">
            <v>C2C Canada</v>
          </cell>
          <cell r="U836" t="str">
            <v>Genpact</v>
          </cell>
          <cell r="V836">
            <v>50</v>
          </cell>
          <cell r="W836">
            <v>0</v>
          </cell>
          <cell r="X836" t="str">
            <v>CAD</v>
          </cell>
          <cell r="Y836">
            <v>65</v>
          </cell>
          <cell r="Z836">
            <v>0</v>
          </cell>
          <cell r="AA836">
            <v>0</v>
          </cell>
          <cell r="AB836">
            <v>0</v>
          </cell>
          <cell r="AC836">
            <v>46037</v>
          </cell>
          <cell r="AD836">
            <v>11</v>
          </cell>
          <cell r="AE836">
            <v>46387</v>
          </cell>
          <cell r="AF836">
            <v>35.5</v>
          </cell>
          <cell r="AG836">
            <v>0</v>
          </cell>
          <cell r="AH836">
            <v>35.5</v>
          </cell>
          <cell r="AI836">
            <v>46.15</v>
          </cell>
          <cell r="AJ836">
            <v>0</v>
          </cell>
          <cell r="AK836">
            <v>0</v>
          </cell>
          <cell r="AL836">
            <v>10.649999999999999</v>
          </cell>
          <cell r="AM836">
            <v>0</v>
          </cell>
          <cell r="AN836">
            <v>10.649999999999999</v>
          </cell>
          <cell r="AO836">
            <v>0</v>
          </cell>
          <cell r="AP836">
            <v>10.649999999999999</v>
          </cell>
          <cell r="AQ836" t="str">
            <v>CAD_1931</v>
          </cell>
          <cell r="AR836">
            <v>0</v>
          </cell>
          <cell r="AS836">
            <v>82</v>
          </cell>
          <cell r="AU836">
            <v>82</v>
          </cell>
          <cell r="AV836">
            <v>0</v>
          </cell>
          <cell r="AW836">
            <v>873.29999999999984</v>
          </cell>
          <cell r="AX836">
            <v>873.29999999999984</v>
          </cell>
          <cell r="AY836">
            <v>0</v>
          </cell>
          <cell r="AZ836">
            <v>873.29999999999984</v>
          </cell>
          <cell r="BA836">
            <v>873.29999999999984</v>
          </cell>
          <cell r="BB836">
            <v>873.29999999999984</v>
          </cell>
          <cell r="BC836">
            <v>0</v>
          </cell>
          <cell r="BD836">
            <v>0</v>
          </cell>
          <cell r="BE836">
            <v>0</v>
          </cell>
          <cell r="BG836">
            <v>873.29999999999984</v>
          </cell>
          <cell r="BI836">
            <v>873.29999999999984</v>
          </cell>
          <cell r="BJ836">
            <v>5330</v>
          </cell>
          <cell r="BK836">
            <v>3784.2999999999997</v>
          </cell>
          <cell r="BL836">
            <v>3037.69</v>
          </cell>
          <cell r="BM836">
            <v>0</v>
          </cell>
          <cell r="BN836">
            <v>0</v>
          </cell>
          <cell r="BO836">
            <v>0</v>
          </cell>
          <cell r="BP836">
            <v>3037.69</v>
          </cell>
          <cell r="BQ836">
            <v>0</v>
          </cell>
          <cell r="BR836">
            <v>746.60999999999967</v>
          </cell>
          <cell r="BS836" t="str">
            <v>Y</v>
          </cell>
          <cell r="BT836">
            <v>1</v>
          </cell>
          <cell r="BU836">
            <v>1</v>
          </cell>
          <cell r="BV836" t="str">
            <v>N</v>
          </cell>
          <cell r="BW836">
            <v>0</v>
          </cell>
          <cell r="BX836">
            <v>0</v>
          </cell>
          <cell r="BY836">
            <v>2026</v>
          </cell>
          <cell r="BZ836" t="str">
            <v>-</v>
          </cell>
          <cell r="CA836" t="str">
            <v>-</v>
          </cell>
        </row>
        <row r="837">
          <cell r="A837" t="str">
            <v>Lucknow</v>
          </cell>
          <cell r="B837" t="str">
            <v>Titans</v>
          </cell>
          <cell r="C837" t="str">
            <v>Mid Level</v>
          </cell>
          <cell r="D837" t="str">
            <v>Abhishek Yadav</v>
          </cell>
          <cell r="E837" t="str">
            <v>-</v>
          </cell>
          <cell r="F837" t="str">
            <v>Non-MSP</v>
          </cell>
          <cell r="H837" t="str">
            <v>Raj Chaudhary</v>
          </cell>
          <cell r="L837" t="str">
            <v>New</v>
          </cell>
          <cell r="M837">
            <v>46038</v>
          </cell>
          <cell r="N837">
            <v>164</v>
          </cell>
          <cell r="O837">
            <v>46066</v>
          </cell>
          <cell r="P837">
            <v>46403</v>
          </cell>
          <cell r="Q837" t="str">
            <v>PLC-4649</v>
          </cell>
          <cell r="R837" t="str">
            <v>Vladimir Alexandre Kagramanov</v>
          </cell>
          <cell r="S837" t="str">
            <v>Individual</v>
          </cell>
          <cell r="T837" t="str">
            <v>C2C Canada</v>
          </cell>
          <cell r="U837" t="str">
            <v>Genpact</v>
          </cell>
          <cell r="V837">
            <v>50</v>
          </cell>
          <cell r="W837">
            <v>0</v>
          </cell>
          <cell r="X837" t="str">
            <v>CAD</v>
          </cell>
          <cell r="Y837">
            <v>65</v>
          </cell>
          <cell r="Z837">
            <v>0</v>
          </cell>
          <cell r="AA837">
            <v>0</v>
          </cell>
          <cell r="AB837">
            <v>0</v>
          </cell>
          <cell r="AC837">
            <v>46068</v>
          </cell>
          <cell r="AD837">
            <v>20</v>
          </cell>
          <cell r="AE837">
            <v>46387</v>
          </cell>
          <cell r="AF837">
            <v>35.5</v>
          </cell>
          <cell r="AG837">
            <v>0</v>
          </cell>
          <cell r="AH837">
            <v>35.5</v>
          </cell>
          <cell r="AI837">
            <v>46.15</v>
          </cell>
          <cell r="AJ837">
            <v>0</v>
          </cell>
          <cell r="AK837">
            <v>0</v>
          </cell>
          <cell r="AL837">
            <v>10.649999999999999</v>
          </cell>
          <cell r="AM837">
            <v>0</v>
          </cell>
          <cell r="AN837">
            <v>10.649999999999999</v>
          </cell>
          <cell r="AO837">
            <v>0</v>
          </cell>
          <cell r="AP837">
            <v>10.649999999999999</v>
          </cell>
          <cell r="AQ837" t="str">
            <v>CAD_1968</v>
          </cell>
          <cell r="AR837">
            <v>0</v>
          </cell>
          <cell r="AS837">
            <v>80</v>
          </cell>
          <cell r="AU837">
            <v>80</v>
          </cell>
          <cell r="AV837">
            <v>0</v>
          </cell>
          <cell r="AW837">
            <v>851.99999999999989</v>
          </cell>
          <cell r="AX837">
            <v>851.99999999999989</v>
          </cell>
          <cell r="AY837">
            <v>0</v>
          </cell>
          <cell r="AZ837">
            <v>851.99999999999989</v>
          </cell>
          <cell r="BA837">
            <v>851.99999999999989</v>
          </cell>
          <cell r="BB837">
            <v>851.99999999999989</v>
          </cell>
          <cell r="BC837">
            <v>0</v>
          </cell>
          <cell r="BD837">
            <v>0</v>
          </cell>
          <cell r="BE837">
            <v>0</v>
          </cell>
          <cell r="BG837">
            <v>851.99999999999989</v>
          </cell>
          <cell r="BI837">
            <v>851.99999999999989</v>
          </cell>
          <cell r="BJ837">
            <v>5200</v>
          </cell>
          <cell r="BK837">
            <v>3692</v>
          </cell>
          <cell r="BL837">
            <v>2963.6</v>
          </cell>
          <cell r="BM837">
            <v>0</v>
          </cell>
          <cell r="BN837">
            <v>0</v>
          </cell>
          <cell r="BO837">
            <v>0</v>
          </cell>
          <cell r="BP837">
            <v>2963.6</v>
          </cell>
          <cell r="BQ837">
            <v>0</v>
          </cell>
          <cell r="BR837">
            <v>728.40000000000009</v>
          </cell>
          <cell r="BS837" t="str">
            <v>Y</v>
          </cell>
          <cell r="BT837">
            <v>1</v>
          </cell>
          <cell r="BU837">
            <v>1</v>
          </cell>
          <cell r="BV837" t="str">
            <v>N</v>
          </cell>
          <cell r="BW837">
            <v>0</v>
          </cell>
          <cell r="BX837">
            <v>0</v>
          </cell>
          <cell r="BY837">
            <v>2026</v>
          </cell>
          <cell r="BZ837" t="str">
            <v>-</v>
          </cell>
          <cell r="CA837" t="str">
            <v>-</v>
          </cell>
        </row>
        <row r="838">
          <cell r="A838" t="str">
            <v>Noida</v>
          </cell>
          <cell r="B838" t="str">
            <v>Noida IT</v>
          </cell>
          <cell r="C838" t="str">
            <v>Mid Level</v>
          </cell>
          <cell r="D838" t="str">
            <v>Abdul Rahman</v>
          </cell>
          <cell r="E838" t="str">
            <v>-</v>
          </cell>
          <cell r="F838" t="str">
            <v>Non-MSP</v>
          </cell>
          <cell r="H838" t="str">
            <v xml:space="preserve">Yatu Raj Prajee </v>
          </cell>
          <cell r="L838" t="str">
            <v>New</v>
          </cell>
          <cell r="M838">
            <v>46042</v>
          </cell>
          <cell r="N838">
            <v>160</v>
          </cell>
          <cell r="O838">
            <v>46108</v>
          </cell>
          <cell r="P838">
            <v>46407</v>
          </cell>
          <cell r="Q838" t="str">
            <v>PLC-4690</v>
          </cell>
          <cell r="R838" t="str">
            <v>Vyshnavi Routh</v>
          </cell>
          <cell r="S838" t="str">
            <v>Individual</v>
          </cell>
          <cell r="T838" t="str">
            <v>C2C</v>
          </cell>
          <cell r="U838" t="str">
            <v>Xebia</v>
          </cell>
          <cell r="V838">
            <v>34</v>
          </cell>
          <cell r="W838">
            <v>0</v>
          </cell>
          <cell r="X838" t="str">
            <v>USD</v>
          </cell>
          <cell r="Y838">
            <v>48</v>
          </cell>
          <cell r="Z838">
            <v>0</v>
          </cell>
          <cell r="AA838">
            <v>0</v>
          </cell>
          <cell r="AB838">
            <v>2</v>
          </cell>
          <cell r="AC838">
            <v>46037</v>
          </cell>
          <cell r="AD838">
            <v>9</v>
          </cell>
          <cell r="AE838">
            <v>46387</v>
          </cell>
          <cell r="AF838">
            <v>34</v>
          </cell>
          <cell r="AG838">
            <v>0</v>
          </cell>
          <cell r="AH838">
            <v>36</v>
          </cell>
          <cell r="AI838">
            <v>48</v>
          </cell>
          <cell r="AJ838">
            <v>0</v>
          </cell>
          <cell r="AK838">
            <v>0</v>
          </cell>
          <cell r="AL838">
            <v>12</v>
          </cell>
          <cell r="AM838">
            <v>0</v>
          </cell>
          <cell r="AN838">
            <v>12</v>
          </cell>
          <cell r="AO838">
            <v>0</v>
          </cell>
          <cell r="AP838">
            <v>12</v>
          </cell>
          <cell r="AQ838" t="str">
            <v>US_26970</v>
          </cell>
          <cell r="AR838">
            <v>0</v>
          </cell>
          <cell r="AS838">
            <v>56</v>
          </cell>
          <cell r="AU838">
            <v>56</v>
          </cell>
          <cell r="AV838">
            <v>0</v>
          </cell>
          <cell r="AW838">
            <v>672</v>
          </cell>
          <cell r="AX838">
            <v>672</v>
          </cell>
          <cell r="AY838">
            <v>0</v>
          </cell>
          <cell r="AZ838">
            <v>672</v>
          </cell>
          <cell r="BA838">
            <v>672</v>
          </cell>
          <cell r="BB838">
            <v>672</v>
          </cell>
          <cell r="BC838">
            <v>0</v>
          </cell>
          <cell r="BD838">
            <v>0</v>
          </cell>
          <cell r="BE838">
            <v>0</v>
          </cell>
          <cell r="BG838">
            <v>672</v>
          </cell>
          <cell r="BI838">
            <v>672</v>
          </cell>
          <cell r="BJ838">
            <v>2688</v>
          </cell>
          <cell r="BK838">
            <v>2688</v>
          </cell>
          <cell r="BL838">
            <v>1904</v>
          </cell>
          <cell r="BM838">
            <v>0</v>
          </cell>
          <cell r="BN838">
            <v>112</v>
          </cell>
          <cell r="BO838">
            <v>0</v>
          </cell>
          <cell r="BP838">
            <v>2016</v>
          </cell>
          <cell r="BQ838">
            <v>2</v>
          </cell>
          <cell r="BR838">
            <v>672</v>
          </cell>
          <cell r="BS838" t="str">
            <v>Y</v>
          </cell>
          <cell r="BT838">
            <v>1</v>
          </cell>
          <cell r="BU838">
            <v>1</v>
          </cell>
          <cell r="BV838" t="str">
            <v>N</v>
          </cell>
          <cell r="BW838">
            <v>0</v>
          </cell>
          <cell r="BX838">
            <v>0</v>
          </cell>
          <cell r="BY838">
            <v>2026</v>
          </cell>
          <cell r="BZ838" t="str">
            <v>-</v>
          </cell>
          <cell r="CA838" t="str">
            <v>-</v>
          </cell>
        </row>
        <row r="839">
          <cell r="A839" t="str">
            <v>Noida</v>
          </cell>
          <cell r="B839" t="str">
            <v>Noida IT</v>
          </cell>
          <cell r="C839" t="str">
            <v>Mid Level</v>
          </cell>
          <cell r="D839" t="str">
            <v>Abdul Rahman</v>
          </cell>
          <cell r="E839" t="str">
            <v>-</v>
          </cell>
          <cell r="F839" t="str">
            <v>Non-MSP</v>
          </cell>
          <cell r="H839" t="str">
            <v xml:space="preserve">Yatu Raj Prajee </v>
          </cell>
          <cell r="L839" t="str">
            <v>New</v>
          </cell>
          <cell r="M839">
            <v>46042</v>
          </cell>
          <cell r="N839">
            <v>160</v>
          </cell>
          <cell r="O839">
            <v>46108</v>
          </cell>
          <cell r="P839">
            <v>46407</v>
          </cell>
          <cell r="Q839" t="str">
            <v>PLC-4690</v>
          </cell>
          <cell r="R839" t="str">
            <v>Vyshnavi Routh</v>
          </cell>
          <cell r="S839" t="str">
            <v>Individual</v>
          </cell>
          <cell r="T839" t="str">
            <v>C2C</v>
          </cell>
          <cell r="U839" t="str">
            <v>Xebia</v>
          </cell>
          <cell r="V839">
            <v>34</v>
          </cell>
          <cell r="W839">
            <v>0</v>
          </cell>
          <cell r="X839" t="str">
            <v>USD</v>
          </cell>
          <cell r="Y839">
            <v>48</v>
          </cell>
          <cell r="Z839">
            <v>0</v>
          </cell>
          <cell r="AA839">
            <v>0</v>
          </cell>
          <cell r="AB839">
            <v>2</v>
          </cell>
          <cell r="AC839">
            <v>46068</v>
          </cell>
          <cell r="AD839">
            <v>20</v>
          </cell>
          <cell r="AE839">
            <v>46387</v>
          </cell>
          <cell r="AF839">
            <v>34</v>
          </cell>
          <cell r="AG839">
            <v>0</v>
          </cell>
          <cell r="AH839">
            <v>36</v>
          </cell>
          <cell r="AI839">
            <v>48</v>
          </cell>
          <cell r="AJ839">
            <v>0</v>
          </cell>
          <cell r="AK839">
            <v>0</v>
          </cell>
          <cell r="AL839">
            <v>12</v>
          </cell>
          <cell r="AM839">
            <v>0</v>
          </cell>
          <cell r="AN839">
            <v>12</v>
          </cell>
          <cell r="AO839">
            <v>0</v>
          </cell>
          <cell r="AP839">
            <v>12</v>
          </cell>
          <cell r="AQ839" t="str">
            <v>US_27164</v>
          </cell>
          <cell r="AR839">
            <v>0</v>
          </cell>
          <cell r="AS839">
            <v>160</v>
          </cell>
          <cell r="AU839">
            <v>160</v>
          </cell>
          <cell r="AV839">
            <v>0</v>
          </cell>
          <cell r="AW839">
            <v>1920</v>
          </cell>
          <cell r="AX839">
            <v>1920</v>
          </cell>
          <cell r="AY839">
            <v>0</v>
          </cell>
          <cell r="AZ839">
            <v>1920</v>
          </cell>
          <cell r="BA839">
            <v>1920</v>
          </cell>
          <cell r="BB839">
            <v>1920</v>
          </cell>
          <cell r="BC839">
            <v>0</v>
          </cell>
          <cell r="BD839">
            <v>0</v>
          </cell>
          <cell r="BE839">
            <v>0</v>
          </cell>
          <cell r="BG839">
            <v>1920</v>
          </cell>
          <cell r="BI839">
            <v>1920</v>
          </cell>
          <cell r="BJ839">
            <v>7680</v>
          </cell>
          <cell r="BK839">
            <v>7680</v>
          </cell>
          <cell r="BL839">
            <v>5440</v>
          </cell>
          <cell r="BM839">
            <v>0</v>
          </cell>
          <cell r="BN839">
            <v>320</v>
          </cell>
          <cell r="BO839">
            <v>0</v>
          </cell>
          <cell r="BP839">
            <v>5760</v>
          </cell>
          <cell r="BQ839">
            <v>2</v>
          </cell>
          <cell r="BR839">
            <v>1920</v>
          </cell>
          <cell r="BS839" t="str">
            <v>Y</v>
          </cell>
          <cell r="BT839">
            <v>1</v>
          </cell>
          <cell r="BU839">
            <v>1</v>
          </cell>
          <cell r="BV839" t="str">
            <v>N</v>
          </cell>
          <cell r="BW839">
            <v>0</v>
          </cell>
          <cell r="BX839">
            <v>0</v>
          </cell>
          <cell r="BY839">
            <v>2026</v>
          </cell>
          <cell r="BZ839" t="str">
            <v>-</v>
          </cell>
          <cell r="CA839" t="str">
            <v>-</v>
          </cell>
        </row>
        <row r="840">
          <cell r="A840" t="str">
            <v>Noida</v>
          </cell>
          <cell r="B840" t="str">
            <v>Noida IT</v>
          </cell>
          <cell r="C840" t="str">
            <v>Mid Level</v>
          </cell>
          <cell r="D840" t="str">
            <v>Abdul Rahman</v>
          </cell>
          <cell r="E840" t="str">
            <v>-</v>
          </cell>
          <cell r="F840" t="str">
            <v>Non-MSP</v>
          </cell>
          <cell r="H840" t="str">
            <v xml:space="preserve">Yatu Raj Prajee </v>
          </cell>
          <cell r="L840" t="str">
            <v>New</v>
          </cell>
          <cell r="M840">
            <v>46042</v>
          </cell>
          <cell r="N840">
            <v>160</v>
          </cell>
          <cell r="O840">
            <v>46108</v>
          </cell>
          <cell r="P840">
            <v>46407</v>
          </cell>
          <cell r="Q840" t="str">
            <v>PLC-4690</v>
          </cell>
          <cell r="R840" t="str">
            <v>Vyshnavi Routh</v>
          </cell>
          <cell r="S840" t="str">
            <v>Individual</v>
          </cell>
          <cell r="T840" t="str">
            <v>C2C</v>
          </cell>
          <cell r="U840" t="str">
            <v>Xebia</v>
          </cell>
          <cell r="V840">
            <v>34</v>
          </cell>
          <cell r="W840">
            <v>0</v>
          </cell>
          <cell r="X840" t="str">
            <v>USD</v>
          </cell>
          <cell r="Y840">
            <v>48</v>
          </cell>
          <cell r="Z840">
            <v>0</v>
          </cell>
          <cell r="AA840">
            <v>0</v>
          </cell>
          <cell r="AB840">
            <v>2</v>
          </cell>
          <cell r="AC840">
            <v>46096</v>
          </cell>
          <cell r="AD840">
            <v>22</v>
          </cell>
          <cell r="AE840">
            <v>46387</v>
          </cell>
          <cell r="AF840">
            <v>34</v>
          </cell>
          <cell r="AG840">
            <v>0</v>
          </cell>
          <cell r="AH840">
            <v>36</v>
          </cell>
          <cell r="AI840">
            <v>48</v>
          </cell>
          <cell r="AJ840">
            <v>0</v>
          </cell>
          <cell r="AK840">
            <v>0</v>
          </cell>
          <cell r="AL840">
            <v>12</v>
          </cell>
          <cell r="AM840">
            <v>0</v>
          </cell>
          <cell r="AN840">
            <v>12</v>
          </cell>
          <cell r="AO840">
            <v>0</v>
          </cell>
          <cell r="AP840">
            <v>12</v>
          </cell>
          <cell r="AQ840" t="str">
            <v>US_272179</v>
          </cell>
          <cell r="AR840">
            <v>0</v>
          </cell>
          <cell r="AS840">
            <v>160</v>
          </cell>
          <cell r="AU840">
            <v>160</v>
          </cell>
          <cell r="AV840">
            <v>0</v>
          </cell>
          <cell r="AW840">
            <v>1920</v>
          </cell>
          <cell r="AX840">
            <v>1920</v>
          </cell>
          <cell r="AY840">
            <v>0</v>
          </cell>
          <cell r="AZ840">
            <v>1920</v>
          </cell>
          <cell r="BA840">
            <v>1920</v>
          </cell>
          <cell r="BB840">
            <v>1920</v>
          </cell>
          <cell r="BC840">
            <v>0</v>
          </cell>
          <cell r="BD840">
            <v>0</v>
          </cell>
          <cell r="BE840">
            <v>0</v>
          </cell>
          <cell r="BG840">
            <v>1920</v>
          </cell>
          <cell r="BI840">
            <v>1920</v>
          </cell>
          <cell r="BJ840">
            <v>7680</v>
          </cell>
          <cell r="BK840">
            <v>7680</v>
          </cell>
          <cell r="BL840">
            <v>5440</v>
          </cell>
          <cell r="BM840">
            <v>0</v>
          </cell>
          <cell r="BN840">
            <v>320</v>
          </cell>
          <cell r="BO840">
            <v>0</v>
          </cell>
          <cell r="BP840">
            <v>5760</v>
          </cell>
          <cell r="BQ840">
            <v>2</v>
          </cell>
          <cell r="BR840">
            <v>1920</v>
          </cell>
          <cell r="BT840">
            <v>1</v>
          </cell>
          <cell r="BU840">
            <v>1</v>
          </cell>
          <cell r="BV840" t="str">
            <v>N</v>
          </cell>
          <cell r="BW840">
            <v>0</v>
          </cell>
          <cell r="BX840">
            <v>0</v>
          </cell>
          <cell r="BY840">
            <v>2026</v>
          </cell>
          <cell r="BZ840" t="str">
            <v>-</v>
          </cell>
          <cell r="CA840" t="str">
            <v>-</v>
          </cell>
        </row>
        <row r="841">
          <cell r="A841" t="str">
            <v>Lucknow</v>
          </cell>
          <cell r="B841" t="str">
            <v>Rpo</v>
          </cell>
          <cell r="C841" t="str">
            <v>Mid Level</v>
          </cell>
          <cell r="D841" t="str">
            <v>Ankit Pandey</v>
          </cell>
          <cell r="E841" t="str">
            <v>-</v>
          </cell>
          <cell r="F841" t="str">
            <v>Non-MSP</v>
          </cell>
          <cell r="H841" t="str">
            <v>Vanshika Srivastava</v>
          </cell>
          <cell r="L841" t="str">
            <v>New</v>
          </cell>
          <cell r="M841">
            <v>46083</v>
          </cell>
          <cell r="N841">
            <v>119</v>
          </cell>
          <cell r="P841">
            <v>46448</v>
          </cell>
          <cell r="Q841" t="str">
            <v>PLC-4744</v>
          </cell>
          <cell r="R841" t="str">
            <v>Waheed Momand</v>
          </cell>
          <cell r="S841" t="str">
            <v>Individual</v>
          </cell>
          <cell r="T841" t="str">
            <v>FTE</v>
          </cell>
          <cell r="U841" t="str">
            <v>EXL</v>
          </cell>
          <cell r="V841">
            <v>0</v>
          </cell>
          <cell r="W841">
            <v>0</v>
          </cell>
          <cell r="X841" t="str">
            <v>USD</v>
          </cell>
          <cell r="Y841">
            <v>10400</v>
          </cell>
          <cell r="Z841">
            <v>0</v>
          </cell>
          <cell r="AA841">
            <v>0</v>
          </cell>
          <cell r="AB841">
            <v>0</v>
          </cell>
          <cell r="AC841">
            <v>46096</v>
          </cell>
          <cell r="AD841">
            <v>1</v>
          </cell>
          <cell r="AE841">
            <v>46387</v>
          </cell>
          <cell r="AF841">
            <v>0</v>
          </cell>
          <cell r="AG841">
            <v>0</v>
          </cell>
          <cell r="AH841">
            <v>0</v>
          </cell>
          <cell r="AI841">
            <v>10400</v>
          </cell>
          <cell r="AJ841">
            <v>0</v>
          </cell>
          <cell r="AK841">
            <v>0</v>
          </cell>
          <cell r="AL841">
            <v>10400</v>
          </cell>
          <cell r="AM841">
            <v>0</v>
          </cell>
          <cell r="AN841">
            <v>10400</v>
          </cell>
          <cell r="AO841">
            <v>0</v>
          </cell>
          <cell r="AP841">
            <v>10400</v>
          </cell>
          <cell r="AQ841" t="str">
            <v>US_27456</v>
          </cell>
          <cell r="AR841">
            <v>0</v>
          </cell>
          <cell r="AS841">
            <v>1</v>
          </cell>
          <cell r="AU841">
            <v>1</v>
          </cell>
          <cell r="AV841">
            <v>0</v>
          </cell>
          <cell r="AW841">
            <v>10400</v>
          </cell>
          <cell r="AX841">
            <v>10400</v>
          </cell>
          <cell r="AY841">
            <v>0</v>
          </cell>
          <cell r="AZ841">
            <v>10400</v>
          </cell>
          <cell r="BA841">
            <v>10400</v>
          </cell>
          <cell r="BB841">
            <v>10400</v>
          </cell>
          <cell r="BC841">
            <v>44.333333333333336</v>
          </cell>
          <cell r="BD841">
            <v>13728</v>
          </cell>
          <cell r="BE841">
            <v>13728</v>
          </cell>
          <cell r="BG841">
            <v>10400</v>
          </cell>
          <cell r="BI841">
            <v>10400</v>
          </cell>
          <cell r="BJ841">
            <v>10400</v>
          </cell>
          <cell r="BK841">
            <v>10400</v>
          </cell>
          <cell r="BL841">
            <v>0</v>
          </cell>
          <cell r="BM841">
            <v>0</v>
          </cell>
          <cell r="BN841">
            <v>0</v>
          </cell>
          <cell r="BO841">
            <v>0</v>
          </cell>
          <cell r="BP841">
            <v>0</v>
          </cell>
          <cell r="BQ841">
            <v>0</v>
          </cell>
          <cell r="BR841">
            <v>10400</v>
          </cell>
          <cell r="BT841">
            <v>1</v>
          </cell>
          <cell r="BU841">
            <v>1</v>
          </cell>
          <cell r="BV841" t="str">
            <v>Y</v>
          </cell>
          <cell r="BW841">
            <v>27456</v>
          </cell>
          <cell r="BX841">
            <v>27456</v>
          </cell>
          <cell r="BY841">
            <v>2026</v>
          </cell>
          <cell r="BZ841" t="str">
            <v>-</v>
          </cell>
          <cell r="CA841" t="str">
            <v>-</v>
          </cell>
        </row>
        <row r="842">
          <cell r="A842" t="str">
            <v>Lucknow</v>
          </cell>
          <cell r="B842" t="str">
            <v>Mavericks</v>
          </cell>
          <cell r="C842" t="str">
            <v>Mid Level</v>
          </cell>
          <cell r="D842" t="str">
            <v>Mohammad Fakhrul</v>
          </cell>
          <cell r="E842" t="str">
            <v>-</v>
          </cell>
          <cell r="F842" t="str">
            <v>MSP</v>
          </cell>
          <cell r="H842" t="str">
            <v>Pass Through/MSP</v>
          </cell>
          <cell r="L842" t="str">
            <v>New</v>
          </cell>
          <cell r="M842">
            <v>46062</v>
          </cell>
          <cell r="N842">
            <v>140</v>
          </cell>
          <cell r="P842">
            <v>46427</v>
          </cell>
          <cell r="Q842" t="str">
            <v>PLC-Passthrough</v>
          </cell>
          <cell r="R842" t="str">
            <v>Wendy Glanfield</v>
          </cell>
          <cell r="S842" t="str">
            <v>Individual</v>
          </cell>
          <cell r="T842" t="str">
            <v>C2C UK</v>
          </cell>
          <cell r="U842" t="str">
            <v>CoForge</v>
          </cell>
          <cell r="V842">
            <v>6572</v>
          </cell>
          <cell r="W842">
            <v>0</v>
          </cell>
          <cell r="X842" t="str">
            <v>USD</v>
          </cell>
          <cell r="Y842">
            <v>8206.4</v>
          </cell>
          <cell r="Z842">
            <v>0</v>
          </cell>
          <cell r="AA842">
            <v>0</v>
          </cell>
          <cell r="AB842">
            <v>0</v>
          </cell>
          <cell r="AC842">
            <v>46068</v>
          </cell>
          <cell r="AD842">
            <v>0.125</v>
          </cell>
          <cell r="AE842">
            <v>46387</v>
          </cell>
          <cell r="AF842">
            <v>6572</v>
          </cell>
          <cell r="AG842">
            <v>0</v>
          </cell>
          <cell r="AH842">
            <v>6572</v>
          </cell>
          <cell r="AI842">
            <v>8206.4</v>
          </cell>
          <cell r="AJ842">
            <v>0</v>
          </cell>
          <cell r="AK842">
            <v>0</v>
          </cell>
          <cell r="AL842">
            <v>1634.3999999999996</v>
          </cell>
          <cell r="AM842">
            <v>0</v>
          </cell>
          <cell r="AN842">
            <v>1634.3999999999996</v>
          </cell>
          <cell r="AO842">
            <v>0</v>
          </cell>
          <cell r="AP842">
            <v>20</v>
          </cell>
          <cell r="AU842">
            <v>1</v>
          </cell>
          <cell r="BB842">
            <v>1634.3999999999996</v>
          </cell>
          <cell r="BC842">
            <v>0</v>
          </cell>
          <cell r="BD842">
            <v>0</v>
          </cell>
          <cell r="BE842">
            <v>0</v>
          </cell>
          <cell r="BK842">
            <v>8206.4</v>
          </cell>
          <cell r="BL842">
            <v>6572</v>
          </cell>
          <cell r="BM842">
            <v>0</v>
          </cell>
          <cell r="BN842">
            <v>0</v>
          </cell>
          <cell r="BO842">
            <v>0</v>
          </cell>
          <cell r="BP842">
            <v>6572</v>
          </cell>
          <cell r="BQ842">
            <v>0</v>
          </cell>
          <cell r="BR842">
            <v>1634.3999999999996</v>
          </cell>
          <cell r="BT842">
            <v>1</v>
          </cell>
          <cell r="BU842">
            <v>1</v>
          </cell>
          <cell r="BV842" t="str">
            <v>N</v>
          </cell>
          <cell r="BW842">
            <v>0</v>
          </cell>
          <cell r="BX842">
            <v>0</v>
          </cell>
          <cell r="BY842">
            <v>2026</v>
          </cell>
          <cell r="BZ842" t="str">
            <v>-</v>
          </cell>
          <cell r="CA842" t="str">
            <v>-</v>
          </cell>
        </row>
        <row r="843">
          <cell r="A843" t="str">
            <v>Lucknow</v>
          </cell>
          <cell r="B843" t="str">
            <v>Mavericks</v>
          </cell>
          <cell r="C843" t="str">
            <v>Mid Level</v>
          </cell>
          <cell r="D843" t="str">
            <v>Mohammad Fakhrul</v>
          </cell>
          <cell r="E843" t="str">
            <v>-</v>
          </cell>
          <cell r="F843" t="str">
            <v>MSP</v>
          </cell>
          <cell r="H843" t="str">
            <v>Pass Through/MSP</v>
          </cell>
          <cell r="L843" t="str">
            <v>New</v>
          </cell>
          <cell r="M843">
            <v>46062</v>
          </cell>
          <cell r="N843">
            <v>140</v>
          </cell>
          <cell r="P843">
            <v>46427</v>
          </cell>
          <cell r="Q843" t="str">
            <v>PLC-Passthrough</v>
          </cell>
          <cell r="R843" t="str">
            <v>Wendy Glanfield</v>
          </cell>
          <cell r="S843" t="str">
            <v>Individual</v>
          </cell>
          <cell r="T843" t="str">
            <v>C2C UK</v>
          </cell>
          <cell r="U843" t="str">
            <v>CoForge</v>
          </cell>
          <cell r="V843">
            <v>6572</v>
          </cell>
          <cell r="W843">
            <v>0</v>
          </cell>
          <cell r="X843" t="str">
            <v>USD</v>
          </cell>
          <cell r="Y843">
            <v>8206.4</v>
          </cell>
          <cell r="Z843">
            <v>0</v>
          </cell>
          <cell r="AA843">
            <v>0</v>
          </cell>
          <cell r="AB843">
            <v>0</v>
          </cell>
          <cell r="AC843">
            <v>46096</v>
          </cell>
          <cell r="AD843">
            <v>0.125</v>
          </cell>
          <cell r="AE843">
            <v>46387</v>
          </cell>
          <cell r="AF843">
            <v>6572</v>
          </cell>
          <cell r="AG843">
            <v>0</v>
          </cell>
          <cell r="AH843">
            <v>6572</v>
          </cell>
          <cell r="AI843">
            <v>8206.4</v>
          </cell>
          <cell r="AJ843">
            <v>0</v>
          </cell>
          <cell r="AK843">
            <v>0</v>
          </cell>
          <cell r="AL843">
            <v>1634.3999999999996</v>
          </cell>
          <cell r="AM843">
            <v>0</v>
          </cell>
          <cell r="AN843">
            <v>1634.3999999999996</v>
          </cell>
          <cell r="AO843">
            <v>0</v>
          </cell>
          <cell r="AP843">
            <v>20</v>
          </cell>
          <cell r="AU843">
            <v>1</v>
          </cell>
          <cell r="BB843">
            <v>1634.3999999999996</v>
          </cell>
          <cell r="BC843">
            <v>0</v>
          </cell>
          <cell r="BD843">
            <v>0</v>
          </cell>
          <cell r="BE843">
            <v>0</v>
          </cell>
          <cell r="BK843">
            <v>8206.4</v>
          </cell>
          <cell r="BL843">
            <v>6572</v>
          </cell>
          <cell r="BM843">
            <v>0</v>
          </cell>
          <cell r="BN843">
            <v>0</v>
          </cell>
          <cell r="BO843">
            <v>0</v>
          </cell>
          <cell r="BP843">
            <v>6572</v>
          </cell>
          <cell r="BQ843">
            <v>0</v>
          </cell>
          <cell r="BR843">
            <v>1634.3999999999996</v>
          </cell>
          <cell r="BT843">
            <v>1</v>
          </cell>
          <cell r="BU843">
            <v>1</v>
          </cell>
          <cell r="BV843" t="str">
            <v>N</v>
          </cell>
          <cell r="BW843">
            <v>0</v>
          </cell>
          <cell r="BX843">
            <v>0</v>
          </cell>
          <cell r="BY843">
            <v>2026</v>
          </cell>
          <cell r="BZ843" t="str">
            <v>-</v>
          </cell>
          <cell r="CA843" t="str">
            <v>-</v>
          </cell>
        </row>
        <row r="844">
          <cell r="A844" t="str">
            <v>Lucknow</v>
          </cell>
          <cell r="B844" t="str">
            <v>Mavericks</v>
          </cell>
          <cell r="C844" t="str">
            <v>Mid Level</v>
          </cell>
          <cell r="D844" t="str">
            <v>Mohammad Fakhrul</v>
          </cell>
          <cell r="E844" t="str">
            <v>-</v>
          </cell>
          <cell r="F844" t="str">
            <v>MSP</v>
          </cell>
          <cell r="H844" t="str">
            <v>Pass Through/MSP</v>
          </cell>
          <cell r="J844" t="str">
            <v>ACH</v>
          </cell>
          <cell r="L844" t="str">
            <v>New</v>
          </cell>
          <cell r="M844">
            <v>46062</v>
          </cell>
          <cell r="N844">
            <v>140</v>
          </cell>
          <cell r="P844">
            <v>46427</v>
          </cell>
          <cell r="Q844" t="str">
            <v>PLC-Passthrough</v>
          </cell>
          <cell r="R844" t="str">
            <v>Wendy Glanfield</v>
          </cell>
          <cell r="S844" t="str">
            <v>Individual</v>
          </cell>
          <cell r="T844" t="str">
            <v>C2C UK</v>
          </cell>
          <cell r="U844" t="str">
            <v>CoForge</v>
          </cell>
          <cell r="V844">
            <v>6572</v>
          </cell>
          <cell r="W844">
            <v>0</v>
          </cell>
          <cell r="X844" t="str">
            <v>USD</v>
          </cell>
          <cell r="Y844">
            <v>8206.4</v>
          </cell>
          <cell r="Z844">
            <v>0</v>
          </cell>
          <cell r="AA844">
            <v>0</v>
          </cell>
          <cell r="AB844">
            <v>0</v>
          </cell>
          <cell r="AC844">
            <v>46127</v>
          </cell>
          <cell r="AD844">
            <v>0.125</v>
          </cell>
          <cell r="AE844">
            <v>46387</v>
          </cell>
          <cell r="AF844">
            <v>6572</v>
          </cell>
          <cell r="AG844">
            <v>0</v>
          </cell>
          <cell r="AH844">
            <v>6572</v>
          </cell>
          <cell r="AI844">
            <v>8206.4</v>
          </cell>
          <cell r="AJ844">
            <v>0</v>
          </cell>
          <cell r="AK844">
            <v>0</v>
          </cell>
          <cell r="AL844">
            <v>1634.3999999999996</v>
          </cell>
          <cell r="AM844">
            <v>0</v>
          </cell>
          <cell r="AN844">
            <v>1634.3999999999996</v>
          </cell>
          <cell r="AO844">
            <v>0</v>
          </cell>
          <cell r="AP844">
            <v>20</v>
          </cell>
          <cell r="AU844">
            <v>1</v>
          </cell>
          <cell r="BB844">
            <v>1634.3999999999996</v>
          </cell>
          <cell r="BC844">
            <v>0</v>
          </cell>
          <cell r="BD844">
            <v>0</v>
          </cell>
          <cell r="BE844">
            <v>0</v>
          </cell>
          <cell r="BK844">
            <v>8206.4</v>
          </cell>
          <cell r="BL844">
            <v>6572</v>
          </cell>
          <cell r="BM844">
            <v>0</v>
          </cell>
          <cell r="BN844">
            <v>0</v>
          </cell>
          <cell r="BO844">
            <v>0</v>
          </cell>
          <cell r="BP844">
            <v>6572</v>
          </cell>
          <cell r="BQ844">
            <v>0</v>
          </cell>
          <cell r="BR844">
            <v>1634.3999999999996</v>
          </cell>
          <cell r="BT844">
            <v>2</v>
          </cell>
          <cell r="BU844">
            <v>1</v>
          </cell>
          <cell r="BV844" t="str">
            <v>N</v>
          </cell>
          <cell r="BW844">
            <v>0</v>
          </cell>
          <cell r="BX844">
            <v>0</v>
          </cell>
          <cell r="BY844">
            <v>2026</v>
          </cell>
          <cell r="BZ844" t="str">
            <v>-</v>
          </cell>
          <cell r="CA844" t="str">
            <v>-</v>
          </cell>
        </row>
        <row r="845">
          <cell r="A845" t="str">
            <v>Lucknow</v>
          </cell>
          <cell r="B845" t="str">
            <v>Mavericks</v>
          </cell>
          <cell r="C845" t="str">
            <v>Mid Level</v>
          </cell>
          <cell r="D845" t="str">
            <v>Mohammad Fakhrul</v>
          </cell>
          <cell r="E845" t="str">
            <v>-</v>
          </cell>
          <cell r="F845" t="str">
            <v>MSP</v>
          </cell>
          <cell r="H845" t="str">
            <v>Pass Through/MSP</v>
          </cell>
          <cell r="J845" t="str">
            <v>ACH</v>
          </cell>
          <cell r="L845" t="str">
            <v>New</v>
          </cell>
          <cell r="M845">
            <v>46062</v>
          </cell>
          <cell r="N845">
            <v>140</v>
          </cell>
          <cell r="P845">
            <v>46427</v>
          </cell>
          <cell r="Q845" t="str">
            <v>PLC-Passthrough</v>
          </cell>
          <cell r="R845" t="str">
            <v>Wendy Glanfield</v>
          </cell>
          <cell r="S845" t="str">
            <v>Individual</v>
          </cell>
          <cell r="T845" t="str">
            <v>C2C UK</v>
          </cell>
          <cell r="U845" t="str">
            <v>CoForge</v>
          </cell>
          <cell r="V845">
            <v>6572</v>
          </cell>
          <cell r="W845">
            <v>0</v>
          </cell>
          <cell r="X845" t="str">
            <v>USD</v>
          </cell>
          <cell r="Y845">
            <v>8206.4</v>
          </cell>
          <cell r="Z845">
            <v>0</v>
          </cell>
          <cell r="AA845">
            <v>0</v>
          </cell>
          <cell r="AB845">
            <v>0</v>
          </cell>
          <cell r="AC845">
            <v>46157</v>
          </cell>
          <cell r="AD845">
            <v>0.125</v>
          </cell>
          <cell r="AE845">
            <v>46387</v>
          </cell>
          <cell r="AF845">
            <v>6572</v>
          </cell>
          <cell r="AG845">
            <v>0</v>
          </cell>
          <cell r="AH845">
            <v>6572</v>
          </cell>
          <cell r="AI845">
            <v>8206.4</v>
          </cell>
          <cell r="AJ845">
            <v>0</v>
          </cell>
          <cell r="AK845">
            <v>0</v>
          </cell>
          <cell r="AL845">
            <v>1634.3999999999996</v>
          </cell>
          <cell r="AM845">
            <v>0</v>
          </cell>
          <cell r="AN845">
            <v>1634.3999999999996</v>
          </cell>
          <cell r="AO845">
            <v>0</v>
          </cell>
          <cell r="AP845">
            <v>20</v>
          </cell>
          <cell r="AQ845" t="str">
            <v>US_CMSP_00853</v>
          </cell>
          <cell r="AR845">
            <v>0</v>
          </cell>
          <cell r="AS845">
            <v>1</v>
          </cell>
          <cell r="AU845">
            <v>1</v>
          </cell>
          <cell r="AV845">
            <v>0</v>
          </cell>
          <cell r="AW845">
            <v>1634.3999999999996</v>
          </cell>
          <cell r="AX845">
            <v>1618.0559999999996</v>
          </cell>
          <cell r="AY845">
            <v>0</v>
          </cell>
          <cell r="AZ845">
            <v>20</v>
          </cell>
          <cell r="BA845">
            <v>19.8</v>
          </cell>
          <cell r="BB845">
            <v>1634.3999999999996</v>
          </cell>
          <cell r="BC845">
            <v>0</v>
          </cell>
          <cell r="BD845">
            <v>0</v>
          </cell>
          <cell r="BE845">
            <v>0</v>
          </cell>
          <cell r="BG845">
            <v>19.8</v>
          </cell>
          <cell r="BI845">
            <v>1618.0559999999996</v>
          </cell>
          <cell r="BJ845">
            <v>8206.4</v>
          </cell>
          <cell r="BK845">
            <v>8206.4</v>
          </cell>
          <cell r="BL845">
            <v>6572</v>
          </cell>
          <cell r="BM845">
            <v>0</v>
          </cell>
          <cell r="BN845">
            <v>0</v>
          </cell>
          <cell r="BO845">
            <v>0</v>
          </cell>
          <cell r="BP845">
            <v>6572</v>
          </cell>
          <cell r="BQ845">
            <v>0</v>
          </cell>
          <cell r="BR845">
            <v>1634.3999999999996</v>
          </cell>
          <cell r="BT845">
            <v>2</v>
          </cell>
          <cell r="BU845">
            <v>1</v>
          </cell>
          <cell r="BV845" t="str">
            <v>N</v>
          </cell>
          <cell r="BW845">
            <v>0</v>
          </cell>
          <cell r="BX845">
            <v>0</v>
          </cell>
          <cell r="BY845">
            <v>2026</v>
          </cell>
          <cell r="BZ845" t="str">
            <v>-</v>
          </cell>
          <cell r="CA845" t="str">
            <v>-</v>
          </cell>
        </row>
        <row r="846">
          <cell r="A846" t="str">
            <v>Lucknow</v>
          </cell>
          <cell r="B846" t="str">
            <v>Titans</v>
          </cell>
          <cell r="C846" t="str">
            <v>Mid Level</v>
          </cell>
          <cell r="D846" t="str">
            <v>Abhishek Yadav</v>
          </cell>
          <cell r="E846" t="str">
            <v>-</v>
          </cell>
          <cell r="F846" t="str">
            <v>Non-MSP</v>
          </cell>
          <cell r="H846" t="str">
            <v>Priya Yadav</v>
          </cell>
          <cell r="L846" t="str">
            <v>New</v>
          </cell>
          <cell r="M846">
            <v>46059</v>
          </cell>
          <cell r="N846">
            <v>143</v>
          </cell>
          <cell r="P846">
            <v>46424</v>
          </cell>
          <cell r="Q846" t="str">
            <v>PLC-4711</v>
          </cell>
          <cell r="R846" t="str">
            <v>Wesley Petit</v>
          </cell>
          <cell r="S846" t="str">
            <v>Individual</v>
          </cell>
          <cell r="T846" t="str">
            <v>FTE</v>
          </cell>
          <cell r="U846" t="str">
            <v>Genpact</v>
          </cell>
          <cell r="V846">
            <v>0</v>
          </cell>
          <cell r="W846">
            <v>0</v>
          </cell>
          <cell r="X846" t="str">
            <v>CAD</v>
          </cell>
          <cell r="Y846">
            <v>3000</v>
          </cell>
          <cell r="Z846">
            <v>0</v>
          </cell>
          <cell r="AA846">
            <v>0</v>
          </cell>
          <cell r="AB846">
            <v>0</v>
          </cell>
          <cell r="AC846">
            <v>46068</v>
          </cell>
          <cell r="AD846">
            <v>1</v>
          </cell>
          <cell r="AE846">
            <v>46387</v>
          </cell>
          <cell r="AF846">
            <v>0</v>
          </cell>
          <cell r="AG846">
            <v>0</v>
          </cell>
          <cell r="AH846">
            <v>0</v>
          </cell>
          <cell r="AI846">
            <v>2130</v>
          </cell>
          <cell r="AJ846">
            <v>0</v>
          </cell>
          <cell r="AK846">
            <v>0</v>
          </cell>
          <cell r="AL846">
            <v>2130</v>
          </cell>
          <cell r="AM846">
            <v>0</v>
          </cell>
          <cell r="AN846">
            <v>2130</v>
          </cell>
          <cell r="AO846">
            <v>0</v>
          </cell>
          <cell r="AP846">
            <v>2130</v>
          </cell>
          <cell r="AQ846" t="str">
            <v>CAD_2066</v>
          </cell>
          <cell r="AR846">
            <v>0</v>
          </cell>
          <cell r="AS846">
            <v>1</v>
          </cell>
          <cell r="AU846">
            <v>1</v>
          </cell>
          <cell r="AV846">
            <v>0</v>
          </cell>
          <cell r="AW846">
            <v>2130</v>
          </cell>
          <cell r="AX846">
            <v>2130</v>
          </cell>
          <cell r="AY846">
            <v>0</v>
          </cell>
          <cell r="AZ846">
            <v>2130</v>
          </cell>
          <cell r="BA846">
            <v>2130</v>
          </cell>
          <cell r="BB846">
            <v>2130</v>
          </cell>
          <cell r="BC846">
            <v>0</v>
          </cell>
          <cell r="BD846">
            <v>0</v>
          </cell>
          <cell r="BE846">
            <v>0</v>
          </cell>
          <cell r="BG846">
            <v>2130</v>
          </cell>
          <cell r="BI846">
            <v>2130</v>
          </cell>
          <cell r="BJ846">
            <v>3000</v>
          </cell>
          <cell r="BK846">
            <v>2130</v>
          </cell>
          <cell r="BL846">
            <v>0</v>
          </cell>
          <cell r="BM846">
            <v>0</v>
          </cell>
          <cell r="BN846">
            <v>0</v>
          </cell>
          <cell r="BO846">
            <v>0</v>
          </cell>
          <cell r="BP846">
            <v>0</v>
          </cell>
          <cell r="BQ846">
            <v>0</v>
          </cell>
          <cell r="BR846">
            <v>2130</v>
          </cell>
          <cell r="BS846" t="str">
            <v>Y</v>
          </cell>
          <cell r="BT846">
            <v>1</v>
          </cell>
          <cell r="BU846">
            <v>1</v>
          </cell>
          <cell r="BV846" t="str">
            <v>N</v>
          </cell>
          <cell r="BW846">
            <v>0</v>
          </cell>
          <cell r="BX846">
            <v>0</v>
          </cell>
          <cell r="BY846">
            <v>2026</v>
          </cell>
          <cell r="BZ846" t="str">
            <v>-</v>
          </cell>
          <cell r="CA846" t="str">
            <v>-</v>
          </cell>
        </row>
        <row r="847">
          <cell r="A847" t="str">
            <v>Noida</v>
          </cell>
          <cell r="B847" t="str">
            <v>Noida IT</v>
          </cell>
          <cell r="C847" t="str">
            <v>Mid Level</v>
          </cell>
          <cell r="D847" t="str">
            <v>Abdul Rahman</v>
          </cell>
          <cell r="E847" t="str">
            <v>-</v>
          </cell>
          <cell r="F847" t="str">
            <v>Non-MSP</v>
          </cell>
          <cell r="H847" t="str">
            <v>Suraj Suman</v>
          </cell>
          <cell r="J847" t="str">
            <v>ACH</v>
          </cell>
          <cell r="L847" t="str">
            <v>New</v>
          </cell>
          <cell r="M847">
            <v>46034</v>
          </cell>
          <cell r="N847">
            <v>168</v>
          </cell>
          <cell r="P847">
            <v>46399</v>
          </cell>
          <cell r="Q847" t="str">
            <v>PLC-4645</v>
          </cell>
          <cell r="R847" t="str">
            <v>William Nortieomwan Otabor</v>
          </cell>
          <cell r="S847" t="str">
            <v>Individual</v>
          </cell>
          <cell r="T847" t="str">
            <v>C2C</v>
          </cell>
          <cell r="U847" t="str">
            <v>Xebia</v>
          </cell>
          <cell r="V847">
            <v>60</v>
          </cell>
          <cell r="W847">
            <v>0</v>
          </cell>
          <cell r="X847" t="str">
            <v>USD</v>
          </cell>
          <cell r="Y847">
            <v>75</v>
          </cell>
          <cell r="Z847">
            <v>0</v>
          </cell>
          <cell r="AA847">
            <v>0</v>
          </cell>
          <cell r="AB847">
            <v>3</v>
          </cell>
          <cell r="AC847">
            <v>46037</v>
          </cell>
          <cell r="AD847">
            <v>15</v>
          </cell>
          <cell r="AE847">
            <v>46387</v>
          </cell>
          <cell r="AF847">
            <v>60</v>
          </cell>
          <cell r="AG847">
            <v>0</v>
          </cell>
          <cell r="AH847">
            <v>63</v>
          </cell>
          <cell r="AI847">
            <v>75</v>
          </cell>
          <cell r="AJ847">
            <v>0</v>
          </cell>
          <cell r="AK847">
            <v>0</v>
          </cell>
          <cell r="AL847">
            <v>12</v>
          </cell>
          <cell r="AM847">
            <v>0</v>
          </cell>
          <cell r="AN847">
            <v>12</v>
          </cell>
          <cell r="AO847">
            <v>0</v>
          </cell>
          <cell r="AP847">
            <v>12</v>
          </cell>
          <cell r="AQ847" t="str">
            <v>US_26958</v>
          </cell>
          <cell r="AR847">
            <v>0</v>
          </cell>
          <cell r="AS847">
            <v>112</v>
          </cell>
          <cell r="AU847">
            <v>112</v>
          </cell>
          <cell r="AV847">
            <v>0</v>
          </cell>
          <cell r="AW847">
            <v>1344</v>
          </cell>
          <cell r="AX847">
            <v>1330.56</v>
          </cell>
          <cell r="AY847">
            <v>0</v>
          </cell>
          <cell r="AZ847">
            <v>1344</v>
          </cell>
          <cell r="BA847">
            <v>1330.56</v>
          </cell>
          <cell r="BB847">
            <v>1344</v>
          </cell>
          <cell r="BC847">
            <v>0</v>
          </cell>
          <cell r="BD847">
            <v>0</v>
          </cell>
          <cell r="BE847">
            <v>0</v>
          </cell>
          <cell r="BG847">
            <v>1330.56</v>
          </cell>
          <cell r="BI847">
            <v>1330.56</v>
          </cell>
          <cell r="BJ847">
            <v>8400</v>
          </cell>
          <cell r="BK847">
            <v>8400</v>
          </cell>
          <cell r="BL847">
            <v>6720</v>
          </cell>
          <cell r="BM847">
            <v>0</v>
          </cell>
          <cell r="BN847">
            <v>336</v>
          </cell>
          <cell r="BO847">
            <v>0</v>
          </cell>
          <cell r="BP847">
            <v>7056</v>
          </cell>
          <cell r="BQ847">
            <v>3</v>
          </cell>
          <cell r="BR847">
            <v>1344</v>
          </cell>
          <cell r="BS847" t="str">
            <v>Y</v>
          </cell>
          <cell r="BT847">
            <v>1</v>
          </cell>
          <cell r="BU847">
            <v>1</v>
          </cell>
          <cell r="BV847" t="str">
            <v>N</v>
          </cell>
          <cell r="BW847">
            <v>0</v>
          </cell>
          <cell r="BX847">
            <v>0</v>
          </cell>
          <cell r="BY847">
            <v>2026</v>
          </cell>
          <cell r="BZ847" t="str">
            <v>-</v>
          </cell>
          <cell r="CA847" t="str">
            <v>-</v>
          </cell>
        </row>
        <row r="848">
          <cell r="A848" t="str">
            <v>Noida</v>
          </cell>
          <cell r="B848" t="str">
            <v>Noida IT</v>
          </cell>
          <cell r="C848" t="str">
            <v>Mid Level</v>
          </cell>
          <cell r="D848" t="str">
            <v>Abdul Rahman</v>
          </cell>
          <cell r="E848" t="str">
            <v>-</v>
          </cell>
          <cell r="F848" t="str">
            <v>Non-MSP</v>
          </cell>
          <cell r="H848" t="str">
            <v>Suraj Suman</v>
          </cell>
          <cell r="J848" t="str">
            <v>ACH</v>
          </cell>
          <cell r="L848" t="str">
            <v>New</v>
          </cell>
          <cell r="M848">
            <v>46034</v>
          </cell>
          <cell r="N848">
            <v>168</v>
          </cell>
          <cell r="P848">
            <v>46399</v>
          </cell>
          <cell r="Q848" t="str">
            <v>PLC-4645</v>
          </cell>
          <cell r="R848" t="str">
            <v>William Nortieomwan Otabor</v>
          </cell>
          <cell r="S848" t="str">
            <v>Individual</v>
          </cell>
          <cell r="T848" t="str">
            <v>C2C</v>
          </cell>
          <cell r="U848" t="str">
            <v>Xebia</v>
          </cell>
          <cell r="V848">
            <v>60</v>
          </cell>
          <cell r="W848">
            <v>0</v>
          </cell>
          <cell r="X848" t="str">
            <v>USD</v>
          </cell>
          <cell r="Y848">
            <v>75</v>
          </cell>
          <cell r="Z848">
            <v>0</v>
          </cell>
          <cell r="AA848">
            <v>0</v>
          </cell>
          <cell r="AB848">
            <v>3</v>
          </cell>
          <cell r="AC848">
            <v>46068</v>
          </cell>
          <cell r="AD848">
            <v>20</v>
          </cell>
          <cell r="AE848">
            <v>46387</v>
          </cell>
          <cell r="AF848">
            <v>60</v>
          </cell>
          <cell r="AG848">
            <v>0</v>
          </cell>
          <cell r="AH848">
            <v>63</v>
          </cell>
          <cell r="AI848">
            <v>75</v>
          </cell>
          <cell r="AJ848">
            <v>0</v>
          </cell>
          <cell r="AK848">
            <v>0</v>
          </cell>
          <cell r="AL848">
            <v>12</v>
          </cell>
          <cell r="AM848">
            <v>0</v>
          </cell>
          <cell r="AN848">
            <v>12</v>
          </cell>
          <cell r="AO848">
            <v>0</v>
          </cell>
          <cell r="AP848">
            <v>12</v>
          </cell>
          <cell r="AQ848" t="str">
            <v>US_27154</v>
          </cell>
          <cell r="AR848">
            <v>0</v>
          </cell>
          <cell r="AS848">
            <v>152</v>
          </cell>
          <cell r="AU848">
            <v>152</v>
          </cell>
          <cell r="AV848">
            <v>0</v>
          </cell>
          <cell r="AW848">
            <v>1824</v>
          </cell>
          <cell r="AX848">
            <v>1805.76</v>
          </cell>
          <cell r="AY848">
            <v>0</v>
          </cell>
          <cell r="AZ848">
            <v>1824</v>
          </cell>
          <cell r="BA848">
            <v>1805.76</v>
          </cell>
          <cell r="BB848">
            <v>1824</v>
          </cell>
          <cell r="BC848">
            <v>0</v>
          </cell>
          <cell r="BD848">
            <v>0</v>
          </cell>
          <cell r="BE848">
            <v>0</v>
          </cell>
          <cell r="BG848">
            <v>1805.76</v>
          </cell>
          <cell r="BI848">
            <v>1805.76</v>
          </cell>
          <cell r="BJ848">
            <v>11400</v>
          </cell>
          <cell r="BK848">
            <v>11400</v>
          </cell>
          <cell r="BL848">
            <v>9120</v>
          </cell>
          <cell r="BM848">
            <v>0</v>
          </cell>
          <cell r="BN848">
            <v>456</v>
          </cell>
          <cell r="BO848">
            <v>0</v>
          </cell>
          <cell r="BP848">
            <v>9576</v>
          </cell>
          <cell r="BQ848">
            <v>3</v>
          </cell>
          <cell r="BR848">
            <v>1824</v>
          </cell>
          <cell r="BS848" t="str">
            <v>Y</v>
          </cell>
          <cell r="BT848">
            <v>1</v>
          </cell>
          <cell r="BU848">
            <v>1</v>
          </cell>
          <cell r="BV848" t="str">
            <v>N</v>
          </cell>
          <cell r="BW848">
            <v>0</v>
          </cell>
          <cell r="BX848">
            <v>0</v>
          </cell>
          <cell r="BY848">
            <v>2026</v>
          </cell>
          <cell r="BZ848" t="str">
            <v>-</v>
          </cell>
          <cell r="CA848" t="str">
            <v>-</v>
          </cell>
        </row>
        <row r="849">
          <cell r="A849" t="str">
            <v>Noida</v>
          </cell>
          <cell r="B849" t="str">
            <v>Noida IT</v>
          </cell>
          <cell r="C849" t="str">
            <v>Mid Level</v>
          </cell>
          <cell r="D849" t="str">
            <v>Abdul Rahman</v>
          </cell>
          <cell r="E849" t="str">
            <v>-</v>
          </cell>
          <cell r="F849" t="str">
            <v>Non-MSP</v>
          </cell>
          <cell r="H849" t="str">
            <v>Suraj Suman</v>
          </cell>
          <cell r="J849" t="str">
            <v>ACH</v>
          </cell>
          <cell r="L849" t="str">
            <v>New</v>
          </cell>
          <cell r="M849">
            <v>46034</v>
          </cell>
          <cell r="N849">
            <v>168</v>
          </cell>
          <cell r="P849">
            <v>46399</v>
          </cell>
          <cell r="Q849" t="str">
            <v>PLC-4645</v>
          </cell>
          <cell r="R849" t="str">
            <v>William Nortieomwan Otabor</v>
          </cell>
          <cell r="S849" t="str">
            <v>Individual</v>
          </cell>
          <cell r="T849" t="str">
            <v>C2C</v>
          </cell>
          <cell r="U849" t="str">
            <v>Xebia</v>
          </cell>
          <cell r="V849">
            <v>60</v>
          </cell>
          <cell r="W849">
            <v>0</v>
          </cell>
          <cell r="X849" t="str">
            <v>USD</v>
          </cell>
          <cell r="Y849">
            <v>75</v>
          </cell>
          <cell r="Z849">
            <v>0</v>
          </cell>
          <cell r="AA849">
            <v>0</v>
          </cell>
          <cell r="AB849">
            <v>3</v>
          </cell>
          <cell r="AC849">
            <v>46096</v>
          </cell>
          <cell r="AD849">
            <v>22</v>
          </cell>
          <cell r="AE849">
            <v>46387</v>
          </cell>
          <cell r="AF849">
            <v>60</v>
          </cell>
          <cell r="AG849">
            <v>0</v>
          </cell>
          <cell r="AH849">
            <v>63</v>
          </cell>
          <cell r="AI849">
            <v>75</v>
          </cell>
          <cell r="AJ849">
            <v>0</v>
          </cell>
          <cell r="AK849">
            <v>0</v>
          </cell>
          <cell r="AL849">
            <v>12</v>
          </cell>
          <cell r="AM849">
            <v>0</v>
          </cell>
          <cell r="AN849">
            <v>12</v>
          </cell>
          <cell r="AO849">
            <v>0</v>
          </cell>
          <cell r="AP849">
            <v>12</v>
          </cell>
          <cell r="AQ849" t="str">
            <v>US_27370</v>
          </cell>
          <cell r="AR849">
            <v>0</v>
          </cell>
          <cell r="AS849">
            <v>176</v>
          </cell>
          <cell r="AU849">
            <v>176</v>
          </cell>
          <cell r="AV849">
            <v>0</v>
          </cell>
          <cell r="AW849">
            <v>2112</v>
          </cell>
          <cell r="AX849">
            <v>2090.88</v>
          </cell>
          <cell r="AY849">
            <v>0</v>
          </cell>
          <cell r="AZ849">
            <v>2112</v>
          </cell>
          <cell r="BA849">
            <v>2090.88</v>
          </cell>
          <cell r="BB849">
            <v>2112</v>
          </cell>
          <cell r="BC849">
            <v>0</v>
          </cell>
          <cell r="BD849">
            <v>0</v>
          </cell>
          <cell r="BE849">
            <v>0</v>
          </cell>
          <cell r="BG849">
            <v>2090.88</v>
          </cell>
          <cell r="BI849">
            <v>2090.88</v>
          </cell>
          <cell r="BJ849">
            <v>13200</v>
          </cell>
          <cell r="BK849">
            <v>13200</v>
          </cell>
          <cell r="BL849">
            <v>10560</v>
          </cell>
          <cell r="BM849">
            <v>0</v>
          </cell>
          <cell r="BN849">
            <v>528</v>
          </cell>
          <cell r="BO849">
            <v>0</v>
          </cell>
          <cell r="BP849">
            <v>11088</v>
          </cell>
          <cell r="BQ849">
            <v>3</v>
          </cell>
          <cell r="BR849">
            <v>2112</v>
          </cell>
          <cell r="BS849" t="str">
            <v>Y</v>
          </cell>
          <cell r="BT849">
            <v>1</v>
          </cell>
          <cell r="BU849">
            <v>1</v>
          </cell>
          <cell r="BV849" t="str">
            <v>N</v>
          </cell>
          <cell r="BW849">
            <v>0</v>
          </cell>
          <cell r="BX849">
            <v>0</v>
          </cell>
          <cell r="BY849">
            <v>2026</v>
          </cell>
          <cell r="BZ849" t="str">
            <v>-</v>
          </cell>
          <cell r="CA849" t="str">
            <v>-</v>
          </cell>
        </row>
        <row r="850">
          <cell r="A850" t="str">
            <v>Noida</v>
          </cell>
          <cell r="B850" t="str">
            <v>Noida IT</v>
          </cell>
          <cell r="C850" t="str">
            <v>Mid Level</v>
          </cell>
          <cell r="D850" t="str">
            <v>Abdul Rahman</v>
          </cell>
          <cell r="E850" t="str">
            <v>-</v>
          </cell>
          <cell r="F850" t="str">
            <v>Non-MSP</v>
          </cell>
          <cell r="H850" t="str">
            <v>Suraj Suman</v>
          </cell>
          <cell r="J850" t="str">
            <v>ACH</v>
          </cell>
          <cell r="L850" t="str">
            <v>New</v>
          </cell>
          <cell r="M850">
            <v>46034</v>
          </cell>
          <cell r="N850">
            <v>168</v>
          </cell>
          <cell r="P850">
            <v>46399</v>
          </cell>
          <cell r="Q850" t="str">
            <v>PLC-4645</v>
          </cell>
          <cell r="R850" t="str">
            <v>William Nortieomwan Otabor</v>
          </cell>
          <cell r="S850" t="str">
            <v>Individual</v>
          </cell>
          <cell r="T850" t="str">
            <v>C2C</v>
          </cell>
          <cell r="U850" t="str">
            <v>Xebia</v>
          </cell>
          <cell r="V850">
            <v>60</v>
          </cell>
          <cell r="W850">
            <v>0</v>
          </cell>
          <cell r="X850" t="str">
            <v>USD</v>
          </cell>
          <cell r="Y850">
            <v>75</v>
          </cell>
          <cell r="Z850">
            <v>0</v>
          </cell>
          <cell r="AA850">
            <v>0</v>
          </cell>
          <cell r="AB850">
            <v>3</v>
          </cell>
          <cell r="AC850">
            <v>46127</v>
          </cell>
          <cell r="AD850">
            <v>22</v>
          </cell>
          <cell r="AE850">
            <v>46387</v>
          </cell>
          <cell r="AF850">
            <v>60</v>
          </cell>
          <cell r="AG850">
            <v>0</v>
          </cell>
          <cell r="AH850">
            <v>63</v>
          </cell>
          <cell r="AI850">
            <v>75</v>
          </cell>
          <cell r="AJ850">
            <v>0</v>
          </cell>
          <cell r="AK850">
            <v>0</v>
          </cell>
          <cell r="AL850">
            <v>12</v>
          </cell>
          <cell r="AM850">
            <v>0</v>
          </cell>
          <cell r="AN850">
            <v>12</v>
          </cell>
          <cell r="AO850">
            <v>0</v>
          </cell>
          <cell r="AP850">
            <v>12</v>
          </cell>
          <cell r="AQ850" t="str">
            <v>US_27607</v>
          </cell>
          <cell r="AR850">
            <v>0</v>
          </cell>
          <cell r="AS850">
            <v>168</v>
          </cell>
          <cell r="AU850">
            <v>168</v>
          </cell>
          <cell r="AV850">
            <v>0</v>
          </cell>
          <cell r="AW850">
            <v>2016</v>
          </cell>
          <cell r="AX850">
            <v>1995.84</v>
          </cell>
          <cell r="AY850">
            <v>0</v>
          </cell>
          <cell r="AZ850">
            <v>2016</v>
          </cell>
          <cell r="BA850">
            <v>1995.84</v>
          </cell>
          <cell r="BB850">
            <v>2016</v>
          </cell>
          <cell r="BC850">
            <v>0</v>
          </cell>
          <cell r="BD850">
            <v>0</v>
          </cell>
          <cell r="BE850">
            <v>0</v>
          </cell>
          <cell r="BG850">
            <v>1995.84</v>
          </cell>
          <cell r="BI850">
            <v>1995.84</v>
          </cell>
          <cell r="BJ850">
            <v>12600</v>
          </cell>
          <cell r="BK850">
            <v>12600</v>
          </cell>
          <cell r="BL850">
            <v>10080</v>
          </cell>
          <cell r="BM850">
            <v>0</v>
          </cell>
          <cell r="BN850">
            <v>504</v>
          </cell>
          <cell r="BO850">
            <v>0</v>
          </cell>
          <cell r="BP850">
            <v>10584</v>
          </cell>
          <cell r="BQ850">
            <v>3</v>
          </cell>
          <cell r="BR850">
            <v>2016</v>
          </cell>
          <cell r="BT850">
            <v>2</v>
          </cell>
          <cell r="BU850">
            <v>1</v>
          </cell>
          <cell r="BV850" t="str">
            <v>N</v>
          </cell>
          <cell r="BW850">
            <v>0</v>
          </cell>
          <cell r="BX850">
            <v>0</v>
          </cell>
          <cell r="BY850">
            <v>2026</v>
          </cell>
          <cell r="BZ850" t="str">
            <v>-</v>
          </cell>
          <cell r="CA850" t="str">
            <v>-</v>
          </cell>
        </row>
        <row r="851">
          <cell r="A851" t="str">
            <v>Noida</v>
          </cell>
          <cell r="B851" t="str">
            <v>Noida IT</v>
          </cell>
          <cell r="C851" t="str">
            <v>Mid Level</v>
          </cell>
          <cell r="D851" t="str">
            <v>Abdul Rahman</v>
          </cell>
          <cell r="E851" t="str">
            <v>-</v>
          </cell>
          <cell r="F851" t="str">
            <v>Non-MSP</v>
          </cell>
          <cell r="H851" t="str">
            <v>Suraj Suman</v>
          </cell>
          <cell r="J851" t="str">
            <v>ACH</v>
          </cell>
          <cell r="L851" t="str">
            <v>New</v>
          </cell>
          <cell r="M851">
            <v>46034</v>
          </cell>
          <cell r="N851">
            <v>168</v>
          </cell>
          <cell r="P851">
            <v>46399</v>
          </cell>
          <cell r="Q851" t="str">
            <v>PLC-4645</v>
          </cell>
          <cell r="R851" t="str">
            <v>William Nortieomwan Otabor</v>
          </cell>
          <cell r="S851" t="str">
            <v>Individual</v>
          </cell>
          <cell r="T851" t="str">
            <v>C2C</v>
          </cell>
          <cell r="U851" t="str">
            <v>Xebia</v>
          </cell>
          <cell r="V851">
            <v>60</v>
          </cell>
          <cell r="W851">
            <v>0</v>
          </cell>
          <cell r="X851" t="str">
            <v>USD</v>
          </cell>
          <cell r="Y851">
            <v>75</v>
          </cell>
          <cell r="Z851">
            <v>0</v>
          </cell>
          <cell r="AA851">
            <v>0</v>
          </cell>
          <cell r="AB851">
            <v>3</v>
          </cell>
          <cell r="AC851">
            <v>46157</v>
          </cell>
          <cell r="AD851">
            <v>22</v>
          </cell>
          <cell r="AE851">
            <v>46387</v>
          </cell>
          <cell r="AF851">
            <v>60</v>
          </cell>
          <cell r="AG851">
            <v>0</v>
          </cell>
          <cell r="AH851">
            <v>63</v>
          </cell>
          <cell r="AI851">
            <v>75</v>
          </cell>
          <cell r="AJ851">
            <v>0</v>
          </cell>
          <cell r="AK851">
            <v>0</v>
          </cell>
          <cell r="AL851">
            <v>12</v>
          </cell>
          <cell r="AM851">
            <v>0</v>
          </cell>
          <cell r="AN851">
            <v>12</v>
          </cell>
          <cell r="AO851">
            <v>0</v>
          </cell>
          <cell r="AP851">
            <v>12</v>
          </cell>
          <cell r="AQ851" t="str">
            <v>US_27900</v>
          </cell>
          <cell r="AR851">
            <v>0</v>
          </cell>
          <cell r="AS851">
            <v>160</v>
          </cell>
          <cell r="AU851">
            <v>160</v>
          </cell>
          <cell r="AV851">
            <v>0</v>
          </cell>
          <cell r="AW851">
            <v>1920</v>
          </cell>
          <cell r="AX851">
            <v>1900.8</v>
          </cell>
          <cell r="AY851">
            <v>0</v>
          </cell>
          <cell r="AZ851">
            <v>1920</v>
          </cell>
          <cell r="BA851">
            <v>1900.8</v>
          </cell>
          <cell r="BB851">
            <v>1920</v>
          </cell>
          <cell r="BC851">
            <v>0</v>
          </cell>
          <cell r="BD851">
            <v>0</v>
          </cell>
          <cell r="BE851">
            <v>0</v>
          </cell>
          <cell r="BG851">
            <v>1900.8</v>
          </cell>
          <cell r="BI851">
            <v>1900.8</v>
          </cell>
          <cell r="BJ851">
            <v>12000</v>
          </cell>
          <cell r="BK851">
            <v>12000</v>
          </cell>
          <cell r="BL851">
            <v>9600</v>
          </cell>
          <cell r="BM851">
            <v>0</v>
          </cell>
          <cell r="BN851">
            <v>480</v>
          </cell>
          <cell r="BO851">
            <v>0</v>
          </cell>
          <cell r="BP851">
            <v>10080</v>
          </cell>
          <cell r="BQ851">
            <v>3</v>
          </cell>
          <cell r="BR851">
            <v>1920</v>
          </cell>
          <cell r="BT851">
            <v>2</v>
          </cell>
          <cell r="BU851">
            <v>1</v>
          </cell>
          <cell r="BV851" t="str">
            <v>N</v>
          </cell>
          <cell r="BW851">
            <v>0</v>
          </cell>
          <cell r="BX851">
            <v>0</v>
          </cell>
          <cell r="BY851">
            <v>2026</v>
          </cell>
          <cell r="BZ851" t="str">
            <v>-</v>
          </cell>
          <cell r="CA851" t="str">
            <v>-</v>
          </cell>
        </row>
        <row r="852">
          <cell r="A852" t="str">
            <v>Noida</v>
          </cell>
          <cell r="B852" t="str">
            <v>Noida IT</v>
          </cell>
          <cell r="C852" t="str">
            <v>Mid Level</v>
          </cell>
          <cell r="D852" t="str">
            <v>Abdul Rahman</v>
          </cell>
          <cell r="E852" t="str">
            <v>-</v>
          </cell>
          <cell r="F852" t="str">
            <v>Non-MSP</v>
          </cell>
          <cell r="H852" t="str">
            <v xml:space="preserve">Aatma Nand Vihangam </v>
          </cell>
          <cell r="L852" t="str">
            <v>New</v>
          </cell>
          <cell r="M852">
            <v>46055</v>
          </cell>
          <cell r="N852">
            <v>147</v>
          </cell>
          <cell r="P852">
            <v>46420</v>
          </cell>
          <cell r="Q852" t="str">
            <v>PLC-4423</v>
          </cell>
          <cell r="R852" t="str">
            <v>Yash Narayan</v>
          </cell>
          <cell r="S852" t="str">
            <v>Individual</v>
          </cell>
          <cell r="T852" t="str">
            <v>T4</v>
          </cell>
          <cell r="U852" t="str">
            <v>Xebia</v>
          </cell>
          <cell r="V852">
            <v>40</v>
          </cell>
          <cell r="W852">
            <v>0</v>
          </cell>
          <cell r="X852" t="str">
            <v>USD</v>
          </cell>
          <cell r="Y852">
            <v>62.15</v>
          </cell>
          <cell r="Z852">
            <v>0</v>
          </cell>
          <cell r="AA852">
            <v>0</v>
          </cell>
          <cell r="AB852">
            <v>4</v>
          </cell>
          <cell r="AC852">
            <v>46068</v>
          </cell>
          <cell r="AD852">
            <v>20</v>
          </cell>
          <cell r="AE852">
            <v>46387</v>
          </cell>
          <cell r="AF852">
            <v>48</v>
          </cell>
          <cell r="AG852">
            <v>0</v>
          </cell>
          <cell r="AH852">
            <v>52</v>
          </cell>
          <cell r="AI852">
            <v>62.15</v>
          </cell>
          <cell r="AJ852">
            <v>0</v>
          </cell>
          <cell r="AK852">
            <v>0</v>
          </cell>
          <cell r="AL852">
            <v>10.149999999999999</v>
          </cell>
          <cell r="AM852">
            <v>0</v>
          </cell>
          <cell r="AN852">
            <v>10.149999999999999</v>
          </cell>
          <cell r="AO852">
            <v>0</v>
          </cell>
          <cell r="AP852">
            <v>10.149999999999999</v>
          </cell>
          <cell r="AQ852" t="str">
            <v>US_27182</v>
          </cell>
          <cell r="AR852">
            <v>0</v>
          </cell>
          <cell r="AS852">
            <v>160</v>
          </cell>
          <cell r="AU852">
            <v>160</v>
          </cell>
          <cell r="AV852">
            <v>0</v>
          </cell>
          <cell r="AW852">
            <v>1623.9999999999998</v>
          </cell>
          <cell r="AX852">
            <v>1623.9999999999998</v>
          </cell>
          <cell r="AY852">
            <v>0</v>
          </cell>
          <cell r="AZ852">
            <v>1623.9999999999998</v>
          </cell>
          <cell r="BA852">
            <v>1623.9999999999998</v>
          </cell>
          <cell r="BB852">
            <v>1623.9999999999998</v>
          </cell>
          <cell r="BC852">
            <v>0</v>
          </cell>
          <cell r="BD852">
            <v>0</v>
          </cell>
          <cell r="BE852">
            <v>0</v>
          </cell>
          <cell r="BG852">
            <v>1623.9999999999998</v>
          </cell>
          <cell r="BI852">
            <v>1623.9999999999998</v>
          </cell>
          <cell r="BJ852">
            <v>9944</v>
          </cell>
          <cell r="BK852">
            <v>9944</v>
          </cell>
          <cell r="BL852">
            <v>6400</v>
          </cell>
          <cell r="BM852">
            <v>6</v>
          </cell>
          <cell r="BN852">
            <v>640</v>
          </cell>
          <cell r="BO852">
            <v>960</v>
          </cell>
          <cell r="BP852">
            <v>8000</v>
          </cell>
          <cell r="BQ852">
            <v>10</v>
          </cell>
          <cell r="BR852">
            <v>1944</v>
          </cell>
          <cell r="BS852" t="str">
            <v>Y</v>
          </cell>
          <cell r="BT852">
            <v>1</v>
          </cell>
          <cell r="BU852">
            <v>1</v>
          </cell>
          <cell r="BV852" t="str">
            <v>N</v>
          </cell>
          <cell r="BW852">
            <v>0</v>
          </cell>
          <cell r="BX852">
            <v>0</v>
          </cell>
          <cell r="BY852">
            <v>2026</v>
          </cell>
          <cell r="BZ852" t="str">
            <v>-</v>
          </cell>
          <cell r="CA852" t="str">
            <v>-</v>
          </cell>
        </row>
        <row r="853">
          <cell r="A853" t="str">
            <v>Noida</v>
          </cell>
          <cell r="B853" t="str">
            <v>Noida IT</v>
          </cell>
          <cell r="C853" t="str">
            <v>Mid Level</v>
          </cell>
          <cell r="D853" t="str">
            <v>Abdul Rahman</v>
          </cell>
          <cell r="E853" t="str">
            <v>-</v>
          </cell>
          <cell r="F853" t="str">
            <v>Non-MSP</v>
          </cell>
          <cell r="H853" t="str">
            <v xml:space="preserve">Aatma Nand Vihangam </v>
          </cell>
          <cell r="L853" t="str">
            <v>New</v>
          </cell>
          <cell r="M853">
            <v>46055</v>
          </cell>
          <cell r="N853">
            <v>147</v>
          </cell>
          <cell r="P853">
            <v>46420</v>
          </cell>
          <cell r="Q853" t="str">
            <v>PLC-4423</v>
          </cell>
          <cell r="R853" t="str">
            <v>Yash Narayan</v>
          </cell>
          <cell r="S853" t="str">
            <v>Individual</v>
          </cell>
          <cell r="T853" t="str">
            <v>T4</v>
          </cell>
          <cell r="U853" t="str">
            <v>Xebia</v>
          </cell>
          <cell r="V853">
            <v>40</v>
          </cell>
          <cell r="W853">
            <v>0</v>
          </cell>
          <cell r="X853" t="str">
            <v>USD</v>
          </cell>
          <cell r="Y853">
            <v>62.15</v>
          </cell>
          <cell r="Z853">
            <v>0</v>
          </cell>
          <cell r="AA853">
            <v>0</v>
          </cell>
          <cell r="AB853">
            <v>4</v>
          </cell>
          <cell r="AC853">
            <v>46096</v>
          </cell>
          <cell r="AD853">
            <v>22</v>
          </cell>
          <cell r="AE853">
            <v>46387</v>
          </cell>
          <cell r="AF853">
            <v>48</v>
          </cell>
          <cell r="AG853">
            <v>0</v>
          </cell>
          <cell r="AH853">
            <v>52</v>
          </cell>
          <cell r="AI853">
            <v>62.15</v>
          </cell>
          <cell r="AJ853">
            <v>0</v>
          </cell>
          <cell r="AK853">
            <v>0</v>
          </cell>
          <cell r="AL853">
            <v>10.149999999999999</v>
          </cell>
          <cell r="AM853">
            <v>0</v>
          </cell>
          <cell r="AN853">
            <v>10.149999999999999</v>
          </cell>
          <cell r="AO853">
            <v>0</v>
          </cell>
          <cell r="AP853">
            <v>10.149999999999999</v>
          </cell>
          <cell r="AQ853" t="str">
            <v>US_27395</v>
          </cell>
          <cell r="AR853">
            <v>0</v>
          </cell>
          <cell r="AS853">
            <v>176</v>
          </cell>
          <cell r="AU853">
            <v>176</v>
          </cell>
          <cell r="AV853">
            <v>0</v>
          </cell>
          <cell r="AW853">
            <v>1786.3999999999996</v>
          </cell>
          <cell r="AX853">
            <v>1786.3999999999996</v>
          </cell>
          <cell r="AY853">
            <v>0</v>
          </cell>
          <cell r="AZ853">
            <v>1786.3999999999996</v>
          </cell>
          <cell r="BA853">
            <v>1786.3999999999996</v>
          </cell>
          <cell r="BB853">
            <v>1786.3999999999996</v>
          </cell>
          <cell r="BC853">
            <v>0</v>
          </cell>
          <cell r="BD853">
            <v>0</v>
          </cell>
          <cell r="BE853">
            <v>0</v>
          </cell>
          <cell r="BG853">
            <v>1786.3999999999996</v>
          </cell>
          <cell r="BI853">
            <v>1786.3999999999996</v>
          </cell>
          <cell r="BJ853">
            <v>10938.4</v>
          </cell>
          <cell r="BK853">
            <v>10938.4</v>
          </cell>
          <cell r="BL853">
            <v>7040</v>
          </cell>
          <cell r="BM853">
            <v>6</v>
          </cell>
          <cell r="BN853">
            <v>704</v>
          </cell>
          <cell r="BO853">
            <v>1056</v>
          </cell>
          <cell r="BP853">
            <v>8800</v>
          </cell>
          <cell r="BQ853">
            <v>10</v>
          </cell>
          <cell r="BR853">
            <v>2138.3999999999996</v>
          </cell>
          <cell r="BT853">
            <v>1</v>
          </cell>
          <cell r="BU853">
            <v>1</v>
          </cell>
          <cell r="BV853" t="str">
            <v>N</v>
          </cell>
          <cell r="BW853">
            <v>0</v>
          </cell>
          <cell r="BX853">
            <v>0</v>
          </cell>
          <cell r="BY853">
            <v>2026</v>
          </cell>
          <cell r="BZ853" t="str">
            <v>-</v>
          </cell>
          <cell r="CA853" t="str">
            <v>-</v>
          </cell>
        </row>
        <row r="854">
          <cell r="A854" t="str">
            <v>Noida</v>
          </cell>
          <cell r="B854" t="str">
            <v>Noida IT</v>
          </cell>
          <cell r="C854" t="str">
            <v>Mid Level</v>
          </cell>
          <cell r="D854" t="str">
            <v>Abdul Rahman</v>
          </cell>
          <cell r="E854" t="str">
            <v>-</v>
          </cell>
          <cell r="F854" t="str">
            <v>Non-MSP</v>
          </cell>
          <cell r="H854" t="str">
            <v xml:space="preserve">Aatma Nand Vihangam </v>
          </cell>
          <cell r="J854" t="str">
            <v>ACH</v>
          </cell>
          <cell r="L854" t="str">
            <v>New</v>
          </cell>
          <cell r="M854">
            <v>46055</v>
          </cell>
          <cell r="N854">
            <v>147</v>
          </cell>
          <cell r="P854">
            <v>46420</v>
          </cell>
          <cell r="Q854" t="str">
            <v>PLC-4423</v>
          </cell>
          <cell r="R854" t="str">
            <v>Yash Narayan</v>
          </cell>
          <cell r="S854" t="str">
            <v>Individual</v>
          </cell>
          <cell r="T854" t="str">
            <v>T4</v>
          </cell>
          <cell r="U854" t="str">
            <v>Xebia</v>
          </cell>
          <cell r="V854">
            <v>40</v>
          </cell>
          <cell r="W854">
            <v>0</v>
          </cell>
          <cell r="X854" t="str">
            <v>USD</v>
          </cell>
          <cell r="Y854">
            <v>62.15</v>
          </cell>
          <cell r="Z854">
            <v>0</v>
          </cell>
          <cell r="AA854">
            <v>0</v>
          </cell>
          <cell r="AB854">
            <v>4</v>
          </cell>
          <cell r="AC854">
            <v>46127</v>
          </cell>
          <cell r="AD854">
            <v>22</v>
          </cell>
          <cell r="AE854">
            <v>46387</v>
          </cell>
          <cell r="AF854">
            <v>48</v>
          </cell>
          <cell r="AG854">
            <v>0</v>
          </cell>
          <cell r="AH854">
            <v>52</v>
          </cell>
          <cell r="AI854">
            <v>62.15</v>
          </cell>
          <cell r="AJ854">
            <v>0</v>
          </cell>
          <cell r="AK854">
            <v>0</v>
          </cell>
          <cell r="AL854">
            <v>10.149999999999999</v>
          </cell>
          <cell r="AM854">
            <v>0</v>
          </cell>
          <cell r="AN854">
            <v>10.149999999999999</v>
          </cell>
          <cell r="AO854">
            <v>0</v>
          </cell>
          <cell r="AP854">
            <v>10.149999999999999</v>
          </cell>
          <cell r="AQ854" t="str">
            <v>US_27628</v>
          </cell>
          <cell r="AR854">
            <v>0</v>
          </cell>
          <cell r="AS854">
            <v>144</v>
          </cell>
          <cell r="AU854">
            <v>144</v>
          </cell>
          <cell r="AV854">
            <v>0</v>
          </cell>
          <cell r="AW854">
            <v>1461.6</v>
          </cell>
          <cell r="AX854">
            <v>1446.9839999999999</v>
          </cell>
          <cell r="AY854">
            <v>0</v>
          </cell>
          <cell r="AZ854">
            <v>1461.6</v>
          </cell>
          <cell r="BA854">
            <v>1446.9839999999999</v>
          </cell>
          <cell r="BB854">
            <v>1461.6</v>
          </cell>
          <cell r="BC854">
            <v>0</v>
          </cell>
          <cell r="BD854">
            <v>0</v>
          </cell>
          <cell r="BE854">
            <v>0</v>
          </cell>
          <cell r="BG854">
            <v>1446.9839999999999</v>
          </cell>
          <cell r="BI854">
            <v>1446.9839999999999</v>
          </cell>
          <cell r="BJ854">
            <v>8949.6</v>
          </cell>
          <cell r="BK854">
            <v>8949.6</v>
          </cell>
          <cell r="BL854">
            <v>5760</v>
          </cell>
          <cell r="BM854">
            <v>6</v>
          </cell>
          <cell r="BN854">
            <v>576</v>
          </cell>
          <cell r="BO854">
            <v>864</v>
          </cell>
          <cell r="BP854">
            <v>7200</v>
          </cell>
          <cell r="BQ854">
            <v>10</v>
          </cell>
          <cell r="BR854">
            <v>1749.6000000000004</v>
          </cell>
          <cell r="BT854">
            <v>2</v>
          </cell>
          <cell r="BU854">
            <v>1</v>
          </cell>
          <cell r="BV854" t="str">
            <v>N</v>
          </cell>
          <cell r="BW854">
            <v>0</v>
          </cell>
          <cell r="BX854">
            <v>0</v>
          </cell>
          <cell r="BY854">
            <v>2026</v>
          </cell>
          <cell r="BZ854" t="str">
            <v>-</v>
          </cell>
          <cell r="CA854" t="str">
            <v>-</v>
          </cell>
        </row>
        <row r="855">
          <cell r="A855" t="str">
            <v>Noida</v>
          </cell>
          <cell r="B855" t="str">
            <v>Noida IT</v>
          </cell>
          <cell r="C855" t="str">
            <v>Mid Level</v>
          </cell>
          <cell r="D855" t="str">
            <v>Abdul Rahman</v>
          </cell>
          <cell r="E855" t="str">
            <v>-</v>
          </cell>
          <cell r="F855" t="str">
            <v>Non-MSP</v>
          </cell>
          <cell r="H855" t="str">
            <v xml:space="preserve">Aatma Nand Vihangam </v>
          </cell>
          <cell r="J855" t="str">
            <v>ACH</v>
          </cell>
          <cell r="L855" t="str">
            <v>New</v>
          </cell>
          <cell r="M855">
            <v>46055</v>
          </cell>
          <cell r="N855">
            <v>147</v>
          </cell>
          <cell r="P855">
            <v>46420</v>
          </cell>
          <cell r="Q855" t="str">
            <v>PLC-4423</v>
          </cell>
          <cell r="R855" t="str">
            <v>Yash Narayan</v>
          </cell>
          <cell r="S855" t="str">
            <v>Individual</v>
          </cell>
          <cell r="T855" t="str">
            <v>T4</v>
          </cell>
          <cell r="U855" t="str">
            <v>Xebia</v>
          </cell>
          <cell r="V855">
            <v>40</v>
          </cell>
          <cell r="W855">
            <v>0</v>
          </cell>
          <cell r="X855" t="str">
            <v>USD</v>
          </cell>
          <cell r="Y855">
            <v>62.15</v>
          </cell>
          <cell r="Z855">
            <v>0</v>
          </cell>
          <cell r="AA855">
            <v>0</v>
          </cell>
          <cell r="AB855">
            <v>4</v>
          </cell>
          <cell r="AC855">
            <v>46157</v>
          </cell>
          <cell r="AD855">
            <v>22</v>
          </cell>
          <cell r="AE855">
            <v>46387</v>
          </cell>
          <cell r="AF855">
            <v>48</v>
          </cell>
          <cell r="AG855">
            <v>0</v>
          </cell>
          <cell r="AH855">
            <v>52</v>
          </cell>
          <cell r="AI855">
            <v>62.15</v>
          </cell>
          <cell r="AJ855">
            <v>0</v>
          </cell>
          <cell r="AK855">
            <v>0</v>
          </cell>
          <cell r="AL855">
            <v>10.149999999999999</v>
          </cell>
          <cell r="AM855">
            <v>0</v>
          </cell>
          <cell r="AN855">
            <v>10.149999999999999</v>
          </cell>
          <cell r="AO855">
            <v>0</v>
          </cell>
          <cell r="AP855">
            <v>10.149999999999999</v>
          </cell>
          <cell r="AU855">
            <v>176</v>
          </cell>
          <cell r="BB855">
            <v>1786.3999999999996</v>
          </cell>
          <cell r="BC855">
            <v>0</v>
          </cell>
          <cell r="BD855">
            <v>0</v>
          </cell>
          <cell r="BE855">
            <v>0</v>
          </cell>
          <cell r="BK855">
            <v>10938.4</v>
          </cell>
          <cell r="BL855">
            <v>7040</v>
          </cell>
          <cell r="BM855">
            <v>6</v>
          </cell>
          <cell r="BN855">
            <v>704</v>
          </cell>
          <cell r="BO855">
            <v>1056</v>
          </cell>
          <cell r="BP855">
            <v>8800</v>
          </cell>
          <cell r="BQ855">
            <v>10</v>
          </cell>
          <cell r="BR855">
            <v>2138.3999999999996</v>
          </cell>
          <cell r="BT855">
            <v>2</v>
          </cell>
          <cell r="BU855">
            <v>1</v>
          </cell>
          <cell r="BV855" t="str">
            <v>N</v>
          </cell>
          <cell r="BW855">
            <v>0</v>
          </cell>
          <cell r="BX855">
            <v>0</v>
          </cell>
          <cell r="BY855">
            <v>2026</v>
          </cell>
          <cell r="BZ855" t="str">
            <v>-</v>
          </cell>
          <cell r="CA855" t="str">
            <v>-</v>
          </cell>
        </row>
        <row r="856">
          <cell r="A856" t="str">
            <v>Lucknow</v>
          </cell>
          <cell r="B856" t="str">
            <v>Titans</v>
          </cell>
          <cell r="C856" t="str">
            <v>Mid Level</v>
          </cell>
          <cell r="D856" t="str">
            <v>Nitin Saxena</v>
          </cell>
          <cell r="E856" t="str">
            <v>-</v>
          </cell>
          <cell r="F856" t="str">
            <v>Non-MSP</v>
          </cell>
          <cell r="H856" t="str">
            <v>Ambresh Tripathi</v>
          </cell>
          <cell r="J856" t="str">
            <v>ACH</v>
          </cell>
          <cell r="L856" t="str">
            <v>New</v>
          </cell>
          <cell r="M856">
            <v>46076</v>
          </cell>
          <cell r="N856">
            <v>126</v>
          </cell>
          <cell r="P856">
            <v>46441</v>
          </cell>
          <cell r="Q856" t="str">
            <v>PLC-4742</v>
          </cell>
          <cell r="R856" t="str">
            <v>Zoncireth Robustelli</v>
          </cell>
          <cell r="S856" t="str">
            <v>Individual</v>
          </cell>
          <cell r="T856">
            <v>1099</v>
          </cell>
          <cell r="U856" t="str">
            <v>Genpact</v>
          </cell>
          <cell r="V856">
            <v>28</v>
          </cell>
          <cell r="W856">
            <v>42</v>
          </cell>
          <cell r="X856" t="str">
            <v>USD</v>
          </cell>
          <cell r="Y856">
            <v>38</v>
          </cell>
          <cell r="Z856">
            <v>57</v>
          </cell>
          <cell r="AA856">
            <v>0</v>
          </cell>
          <cell r="AB856">
            <v>0</v>
          </cell>
          <cell r="AC856">
            <v>46068</v>
          </cell>
          <cell r="AD856">
            <v>5</v>
          </cell>
          <cell r="AE856">
            <v>46387</v>
          </cell>
          <cell r="AF856">
            <v>29.96</v>
          </cell>
          <cell r="AG856">
            <v>44.940000000000005</v>
          </cell>
          <cell r="AH856">
            <v>29.96</v>
          </cell>
          <cell r="AI856">
            <v>38</v>
          </cell>
          <cell r="AJ856">
            <v>57</v>
          </cell>
          <cell r="AK856">
            <v>12.059999999999995</v>
          </cell>
          <cell r="AL856">
            <v>8.0399999999999991</v>
          </cell>
          <cell r="AM856">
            <v>12.059999999999995</v>
          </cell>
          <cell r="AN856">
            <v>8.0399999999999991</v>
          </cell>
          <cell r="AO856">
            <v>12.059999999999995</v>
          </cell>
          <cell r="AP856">
            <v>8.0399999999999991</v>
          </cell>
          <cell r="AQ856" t="str">
            <v>US_27191</v>
          </cell>
          <cell r="AR856">
            <v>0</v>
          </cell>
          <cell r="AS856">
            <v>38.5</v>
          </cell>
          <cell r="AU856">
            <v>38.5</v>
          </cell>
          <cell r="AV856">
            <v>0</v>
          </cell>
          <cell r="AW856">
            <v>309.53999999999996</v>
          </cell>
          <cell r="AX856">
            <v>306.44459999999998</v>
          </cell>
          <cell r="AY856">
            <v>0</v>
          </cell>
          <cell r="AZ856">
            <v>309.53999999999996</v>
          </cell>
          <cell r="BA856">
            <v>306.44459999999998</v>
          </cell>
          <cell r="BB856">
            <v>309.53999999999996</v>
          </cell>
          <cell r="BC856">
            <v>50</v>
          </cell>
          <cell r="BD856">
            <v>404.50687199999999</v>
          </cell>
          <cell r="BE856">
            <v>404.50687199999999</v>
          </cell>
          <cell r="BG856">
            <v>306.44459999999998</v>
          </cell>
          <cell r="BI856">
            <v>306.44459999999998</v>
          </cell>
          <cell r="BJ856">
            <v>1463</v>
          </cell>
          <cell r="BK856">
            <v>1463</v>
          </cell>
          <cell r="BL856">
            <v>1078</v>
          </cell>
          <cell r="BM856">
            <v>1.9600000000000002</v>
          </cell>
          <cell r="BN856">
            <v>0</v>
          </cell>
          <cell r="BO856">
            <v>75.460000000000008</v>
          </cell>
          <cell r="BP856">
            <v>1153.46</v>
          </cell>
          <cell r="BQ856">
            <v>1.9600000000000002</v>
          </cell>
          <cell r="BR856">
            <v>309.53999999999996</v>
          </cell>
          <cell r="BS856" t="str">
            <v>Y</v>
          </cell>
          <cell r="BT856">
            <v>1</v>
          </cell>
          <cell r="BU856">
            <v>1</v>
          </cell>
          <cell r="BV856" t="str">
            <v>N</v>
          </cell>
          <cell r="BW856">
            <v>809.01374399999997</v>
          </cell>
          <cell r="BX856">
            <v>809.01374399999997</v>
          </cell>
          <cell r="BY856">
            <v>2026</v>
          </cell>
          <cell r="BZ856" t="str">
            <v>-</v>
          </cell>
          <cell r="CA856" t="str">
            <v>-</v>
          </cell>
        </row>
        <row r="857">
          <cell r="A857" t="str">
            <v>Lucknow</v>
          </cell>
          <cell r="B857" t="str">
            <v>Titans</v>
          </cell>
          <cell r="C857" t="str">
            <v>Mid Level</v>
          </cell>
          <cell r="D857" t="str">
            <v>Nitin Saxena</v>
          </cell>
          <cell r="E857" t="str">
            <v>-</v>
          </cell>
          <cell r="F857" t="str">
            <v>Non-MSP</v>
          </cell>
          <cell r="H857" t="str">
            <v>Ambresh Tripathi</v>
          </cell>
          <cell r="J857" t="str">
            <v>ACH</v>
          </cell>
          <cell r="L857" t="str">
            <v>New</v>
          </cell>
          <cell r="M857">
            <v>46076</v>
          </cell>
          <cell r="N857">
            <v>126</v>
          </cell>
          <cell r="P857">
            <v>46441</v>
          </cell>
          <cell r="Q857" t="str">
            <v>PLC-4742</v>
          </cell>
          <cell r="R857" t="str">
            <v>Zoncireth Robustelli</v>
          </cell>
          <cell r="S857" t="str">
            <v>Individual</v>
          </cell>
          <cell r="T857">
            <v>1099</v>
          </cell>
          <cell r="U857" t="str">
            <v>Genpact</v>
          </cell>
          <cell r="V857">
            <v>28</v>
          </cell>
          <cell r="W857">
            <v>42</v>
          </cell>
          <cell r="X857" t="str">
            <v>USD</v>
          </cell>
          <cell r="Y857">
            <v>38</v>
          </cell>
          <cell r="Z857">
            <v>57</v>
          </cell>
          <cell r="AA857">
            <v>0</v>
          </cell>
          <cell r="AB857">
            <v>0</v>
          </cell>
          <cell r="AC857">
            <v>46096</v>
          </cell>
          <cell r="AD857">
            <v>22</v>
          </cell>
          <cell r="AE857">
            <v>46387</v>
          </cell>
          <cell r="AF857">
            <v>29.96</v>
          </cell>
          <cell r="AG857">
            <v>44.940000000000005</v>
          </cell>
          <cell r="AH857">
            <v>29.96</v>
          </cell>
          <cell r="AI857">
            <v>38</v>
          </cell>
          <cell r="AJ857">
            <v>57</v>
          </cell>
          <cell r="AK857">
            <v>12.059999999999995</v>
          </cell>
          <cell r="AL857">
            <v>8.0399999999999991</v>
          </cell>
          <cell r="AM857">
            <v>12.059999999999995</v>
          </cell>
          <cell r="AN857">
            <v>8.0399999999999991</v>
          </cell>
          <cell r="AO857">
            <v>12.059999999999995</v>
          </cell>
          <cell r="AP857">
            <v>8.0399999999999991</v>
          </cell>
          <cell r="AQ857" t="str">
            <v>US_27404</v>
          </cell>
          <cell r="AR857">
            <v>2</v>
          </cell>
          <cell r="AS857">
            <v>171</v>
          </cell>
          <cell r="AU857">
            <v>171</v>
          </cell>
          <cell r="AV857">
            <v>24.11999999999999</v>
          </cell>
          <cell r="AW857">
            <v>1374.84</v>
          </cell>
          <cell r="AX857">
            <v>1384.9703999999997</v>
          </cell>
          <cell r="AY857">
            <v>24.11999999999999</v>
          </cell>
          <cell r="AZ857">
            <v>1374.84</v>
          </cell>
          <cell r="BA857">
            <v>1384.9703999999997</v>
          </cell>
          <cell r="BB857">
            <v>1374.84</v>
          </cell>
          <cell r="BC857">
            <v>50</v>
          </cell>
          <cell r="BD857">
            <v>1828.1609279999996</v>
          </cell>
          <cell r="BE857">
            <v>1828.1609279999996</v>
          </cell>
          <cell r="BG857">
            <v>1384.9703999999997</v>
          </cell>
          <cell r="BI857">
            <v>1384.9703999999997</v>
          </cell>
          <cell r="BJ857">
            <v>6498</v>
          </cell>
          <cell r="BK857">
            <v>6498</v>
          </cell>
          <cell r="BL857">
            <v>4788</v>
          </cell>
          <cell r="BM857">
            <v>1.9600000000000002</v>
          </cell>
          <cell r="BN857">
            <v>0</v>
          </cell>
          <cell r="BO857">
            <v>335.16</v>
          </cell>
          <cell r="BP857">
            <v>5123.16</v>
          </cell>
          <cell r="BQ857">
            <v>1.9600000000000002</v>
          </cell>
          <cell r="BR857">
            <v>1374.84</v>
          </cell>
          <cell r="BS857" t="str">
            <v>Y</v>
          </cell>
          <cell r="BT857">
            <v>1</v>
          </cell>
          <cell r="BU857">
            <v>1</v>
          </cell>
          <cell r="BV857" t="str">
            <v>N</v>
          </cell>
          <cell r="BW857">
            <v>3656.3218559999991</v>
          </cell>
          <cell r="BX857">
            <v>3656.3218559999991</v>
          </cell>
          <cell r="BY857">
            <v>2026</v>
          </cell>
          <cell r="BZ857" t="str">
            <v>-</v>
          </cell>
          <cell r="CA857" t="str">
            <v>-</v>
          </cell>
        </row>
        <row r="858">
          <cell r="A858" t="str">
            <v>Lucknow</v>
          </cell>
          <cell r="B858" t="str">
            <v>Titans</v>
          </cell>
          <cell r="C858" t="str">
            <v>Mid Level</v>
          </cell>
          <cell r="D858" t="str">
            <v>Nitin Saxena</v>
          </cell>
          <cell r="E858" t="str">
            <v>-</v>
          </cell>
          <cell r="F858" t="str">
            <v>Non-MSP</v>
          </cell>
          <cell r="H858" t="str">
            <v>Ambresh Tripathi</v>
          </cell>
          <cell r="J858" t="str">
            <v>ACH</v>
          </cell>
          <cell r="L858" t="str">
            <v>New</v>
          </cell>
          <cell r="M858">
            <v>46076</v>
          </cell>
          <cell r="N858">
            <v>126</v>
          </cell>
          <cell r="P858">
            <v>46441</v>
          </cell>
          <cell r="Q858" t="str">
            <v>PLC-4742</v>
          </cell>
          <cell r="R858" t="str">
            <v>Zoncireth Robustelli</v>
          </cell>
          <cell r="S858" t="str">
            <v>Individual</v>
          </cell>
          <cell r="T858">
            <v>1099</v>
          </cell>
          <cell r="U858" t="str">
            <v>Genpact</v>
          </cell>
          <cell r="V858">
            <v>28</v>
          </cell>
          <cell r="W858">
            <v>42</v>
          </cell>
          <cell r="X858" t="str">
            <v>USD</v>
          </cell>
          <cell r="Y858">
            <v>38</v>
          </cell>
          <cell r="Z858">
            <v>57</v>
          </cell>
          <cell r="AA858">
            <v>0</v>
          </cell>
          <cell r="AB858">
            <v>0</v>
          </cell>
          <cell r="AC858">
            <v>46127</v>
          </cell>
          <cell r="AD858">
            <v>22</v>
          </cell>
          <cell r="AE858">
            <v>46387</v>
          </cell>
          <cell r="AF858">
            <v>29.96</v>
          </cell>
          <cell r="AG858">
            <v>44.940000000000005</v>
          </cell>
          <cell r="AH858">
            <v>29.96</v>
          </cell>
          <cell r="AI858">
            <v>38</v>
          </cell>
          <cell r="AJ858">
            <v>57</v>
          </cell>
          <cell r="AK858">
            <v>12.059999999999995</v>
          </cell>
          <cell r="AL858">
            <v>8.0399999999999991</v>
          </cell>
          <cell r="AM858">
            <v>12.059999999999995</v>
          </cell>
          <cell r="AN858">
            <v>8.0399999999999991</v>
          </cell>
          <cell r="AO858">
            <v>12.059999999999995</v>
          </cell>
          <cell r="AP858">
            <v>8.0399999999999991</v>
          </cell>
          <cell r="AQ858" t="str">
            <v>US_27637</v>
          </cell>
          <cell r="AR858">
            <v>0</v>
          </cell>
          <cell r="AS858">
            <v>181</v>
          </cell>
          <cell r="AU858">
            <v>181</v>
          </cell>
          <cell r="AV858">
            <v>0</v>
          </cell>
          <cell r="AW858">
            <v>1455.2399999999998</v>
          </cell>
          <cell r="AX858">
            <v>1440.6875999999997</v>
          </cell>
          <cell r="AY858">
            <v>0</v>
          </cell>
          <cell r="AZ858">
            <v>1455.2399999999998</v>
          </cell>
          <cell r="BA858">
            <v>1440.6875999999997</v>
          </cell>
          <cell r="BB858">
            <v>1455.2399999999998</v>
          </cell>
          <cell r="BC858">
            <v>50</v>
          </cell>
          <cell r="BD858">
            <v>1901.7076319999996</v>
          </cell>
          <cell r="BE858">
            <v>1901.7076319999996</v>
          </cell>
          <cell r="BG858">
            <v>1440.6875999999997</v>
          </cell>
          <cell r="BI858">
            <v>1440.6875999999997</v>
          </cell>
          <cell r="BJ858">
            <v>6878</v>
          </cell>
          <cell r="BK858">
            <v>6878</v>
          </cell>
          <cell r="BL858">
            <v>5068</v>
          </cell>
          <cell r="BM858">
            <v>1.9600000000000002</v>
          </cell>
          <cell r="BN858">
            <v>0</v>
          </cell>
          <cell r="BO858">
            <v>354.76000000000005</v>
          </cell>
          <cell r="BP858">
            <v>5422.76</v>
          </cell>
          <cell r="BQ858">
            <v>1.9600000000000002</v>
          </cell>
          <cell r="BR858">
            <v>1455.24</v>
          </cell>
          <cell r="BT858">
            <v>2</v>
          </cell>
          <cell r="BU858">
            <v>1</v>
          </cell>
          <cell r="BV858" t="str">
            <v>N</v>
          </cell>
          <cell r="BW858">
            <v>3803.4152639999993</v>
          </cell>
          <cell r="BX858">
            <v>3803.4152639999993</v>
          </cell>
          <cell r="BY858">
            <v>2026</v>
          </cell>
          <cell r="BZ858" t="str">
            <v>-</v>
          </cell>
          <cell r="CA858" t="str">
            <v>-</v>
          </cell>
        </row>
        <row r="859">
          <cell r="A859" t="str">
            <v>Lucknow</v>
          </cell>
          <cell r="B859" t="str">
            <v>Titans</v>
          </cell>
          <cell r="C859" t="str">
            <v>Mid Level</v>
          </cell>
          <cell r="D859" t="str">
            <v>Nitin Saxena</v>
          </cell>
          <cell r="E859" t="str">
            <v>-</v>
          </cell>
          <cell r="F859" t="str">
            <v>Non-MSP</v>
          </cell>
          <cell r="H859" t="str">
            <v>Ambresh Tripathi</v>
          </cell>
          <cell r="J859" t="str">
            <v>ACH</v>
          </cell>
          <cell r="L859" t="str">
            <v>New</v>
          </cell>
          <cell r="M859">
            <v>46076</v>
          </cell>
          <cell r="N859">
            <v>126</v>
          </cell>
          <cell r="P859">
            <v>46441</v>
          </cell>
          <cell r="Q859" t="str">
            <v>PLC-4742</v>
          </cell>
          <cell r="R859" t="str">
            <v>Zoncireth Robustelli</v>
          </cell>
          <cell r="S859" t="str">
            <v>Individual</v>
          </cell>
          <cell r="T859">
            <v>1099</v>
          </cell>
          <cell r="U859" t="str">
            <v>Genpact</v>
          </cell>
          <cell r="V859">
            <v>28</v>
          </cell>
          <cell r="W859">
            <v>42</v>
          </cell>
          <cell r="X859" t="str">
            <v>USD</v>
          </cell>
          <cell r="Y859">
            <v>38</v>
          </cell>
          <cell r="Z859">
            <v>57</v>
          </cell>
          <cell r="AA859">
            <v>0</v>
          </cell>
          <cell r="AB859">
            <v>0</v>
          </cell>
          <cell r="AC859">
            <v>46157</v>
          </cell>
          <cell r="AD859">
            <v>22</v>
          </cell>
          <cell r="AE859">
            <v>46387</v>
          </cell>
          <cell r="AF859">
            <v>29.96</v>
          </cell>
          <cell r="AG859">
            <v>44.940000000000005</v>
          </cell>
          <cell r="AH859">
            <v>29.96</v>
          </cell>
          <cell r="AI859">
            <v>38</v>
          </cell>
          <cell r="AJ859">
            <v>57</v>
          </cell>
          <cell r="AK859">
            <v>12.059999999999995</v>
          </cell>
          <cell r="AL859">
            <v>8.0399999999999991</v>
          </cell>
          <cell r="AM859">
            <v>12.059999999999995</v>
          </cell>
          <cell r="AN859">
            <v>8.0399999999999991</v>
          </cell>
          <cell r="AO859">
            <v>12.059999999999995</v>
          </cell>
          <cell r="AP859">
            <v>8.0399999999999991</v>
          </cell>
          <cell r="AQ859" t="str">
            <v>US_27922</v>
          </cell>
          <cell r="AR859">
            <v>0</v>
          </cell>
          <cell r="AS859">
            <v>157.5</v>
          </cell>
          <cell r="AU859">
            <v>157.5</v>
          </cell>
          <cell r="AV859">
            <v>0</v>
          </cell>
          <cell r="AW859">
            <v>1266.3</v>
          </cell>
          <cell r="AX859">
            <v>1253.6369999999999</v>
          </cell>
          <cell r="AY859">
            <v>0</v>
          </cell>
          <cell r="AZ859">
            <v>1266.3</v>
          </cell>
          <cell r="BA859">
            <v>1253.6369999999999</v>
          </cell>
          <cell r="BB859">
            <v>1266.3</v>
          </cell>
          <cell r="BC859">
            <v>50</v>
          </cell>
          <cell r="BD859">
            <v>1654.8008400000001</v>
          </cell>
          <cell r="BE859">
            <v>1654.8008400000001</v>
          </cell>
          <cell r="BG859">
            <v>1253.6369999999999</v>
          </cell>
          <cell r="BI859">
            <v>1253.6369999999999</v>
          </cell>
          <cell r="BJ859">
            <v>5985</v>
          </cell>
          <cell r="BK859">
            <v>5985</v>
          </cell>
          <cell r="BL859">
            <v>4410</v>
          </cell>
          <cell r="BM859">
            <v>1.9600000000000002</v>
          </cell>
          <cell r="BN859">
            <v>0</v>
          </cell>
          <cell r="BO859">
            <v>308.70000000000005</v>
          </cell>
          <cell r="BP859">
            <v>4718.7</v>
          </cell>
          <cell r="BQ859">
            <v>1.9600000000000002</v>
          </cell>
          <cell r="BR859">
            <v>1266.3</v>
          </cell>
          <cell r="BT859">
            <v>2</v>
          </cell>
          <cell r="BU859">
            <v>1</v>
          </cell>
          <cell r="BV859" t="str">
            <v>N</v>
          </cell>
          <cell r="BW859">
            <v>3309.6016800000002</v>
          </cell>
          <cell r="BX859">
            <v>3309.6016800000002</v>
          </cell>
          <cell r="BY859">
            <v>2026</v>
          </cell>
          <cell r="BZ859" t="str">
            <v>-</v>
          </cell>
          <cell r="CA859" t="str">
            <v>-</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3">
          <cell r="C3" t="str">
            <v>VB Code</v>
          </cell>
          <cell r="D3" t="str">
            <v>Employee Name</v>
          </cell>
          <cell r="E3" t="str">
            <v>Team Lead</v>
          </cell>
          <cell r="F3" t="str">
            <v>Email ID</v>
          </cell>
          <cell r="G3" t="str">
            <v>Target 2026</v>
          </cell>
          <cell r="H3" t="str">
            <v>Achieved 2026</v>
          </cell>
          <cell r="I3" t="str">
            <v>Target %</v>
          </cell>
        </row>
        <row r="4">
          <cell r="B4" t="str">
            <v>Titans</v>
          </cell>
          <cell r="C4" t="str">
            <v>VB0288</v>
          </cell>
          <cell r="D4" t="str">
            <v>Nitin Saxena</v>
          </cell>
          <cell r="E4" t="str">
            <v>Nitin Saxena</v>
          </cell>
          <cell r="F4" t="str">
            <v>NitinS@Vbeyond.com</v>
          </cell>
          <cell r="G4">
            <v>0</v>
          </cell>
          <cell r="H4">
            <v>0</v>
          </cell>
          <cell r="I4">
            <v>0</v>
          </cell>
        </row>
        <row r="5">
          <cell r="B5" t="str">
            <v>Titans</v>
          </cell>
          <cell r="C5" t="str">
            <v>VB1386</v>
          </cell>
          <cell r="D5" t="str">
            <v>Aviral Shukla</v>
          </cell>
          <cell r="E5" t="str">
            <v>Nitin Saxena</v>
          </cell>
          <cell r="F5" t="str">
            <v>AviralS@Vbeyond.com</v>
          </cell>
          <cell r="G5">
            <v>8</v>
          </cell>
          <cell r="H5">
            <v>1</v>
          </cell>
          <cell r="I5">
            <v>0.125</v>
          </cell>
        </row>
        <row r="6">
          <cell r="B6" t="str">
            <v>Titans</v>
          </cell>
          <cell r="C6" t="str">
            <v>VB1665</v>
          </cell>
          <cell r="D6" t="str">
            <v>Samad Quraishi</v>
          </cell>
          <cell r="E6" t="str">
            <v>Nitin Saxena</v>
          </cell>
          <cell r="F6" t="str">
            <v>SamadQ@vbeyond.com</v>
          </cell>
          <cell r="G6">
            <v>9</v>
          </cell>
          <cell r="H6">
            <v>5</v>
          </cell>
          <cell r="I6">
            <v>0.55555555555555558</v>
          </cell>
        </row>
        <row r="7">
          <cell r="B7" t="str">
            <v>Titans</v>
          </cell>
          <cell r="C7" t="str">
            <v>VB0594</v>
          </cell>
          <cell r="D7" t="str">
            <v>Ratnesh Kashyap</v>
          </cell>
          <cell r="E7" t="str">
            <v>Nitin Saxena</v>
          </cell>
          <cell r="F7" t="str">
            <v>RatneshK@Vbeyond.com</v>
          </cell>
          <cell r="G7">
            <v>10</v>
          </cell>
          <cell r="H7">
            <v>2</v>
          </cell>
          <cell r="I7">
            <v>0.2</v>
          </cell>
        </row>
        <row r="8">
          <cell r="B8" t="str">
            <v>Titans</v>
          </cell>
          <cell r="C8" t="str">
            <v>VB1415</v>
          </cell>
          <cell r="D8" t="str">
            <v>Hamza Ali</v>
          </cell>
          <cell r="E8" t="str">
            <v>Nitin Saxena</v>
          </cell>
          <cell r="F8" t="str">
            <v>Hamza@vbeyond.com</v>
          </cell>
          <cell r="G8">
            <v>8</v>
          </cell>
          <cell r="H8">
            <v>4</v>
          </cell>
          <cell r="I8">
            <v>0.5</v>
          </cell>
        </row>
        <row r="9">
          <cell r="B9" t="str">
            <v>Titans</v>
          </cell>
          <cell r="C9" t="str">
            <v>VB1752</v>
          </cell>
          <cell r="D9" t="str">
            <v>Aman Bajpai</v>
          </cell>
          <cell r="E9" t="str">
            <v>Nitin Saxena</v>
          </cell>
          <cell r="F9" t="str">
            <v>AmanB@Vbeyond.com</v>
          </cell>
          <cell r="G9">
            <v>8</v>
          </cell>
          <cell r="H9">
            <v>1</v>
          </cell>
          <cell r="I9">
            <v>0.125</v>
          </cell>
        </row>
        <row r="10">
          <cell r="B10" t="str">
            <v>Titans</v>
          </cell>
          <cell r="C10" t="str">
            <v>VB2210</v>
          </cell>
          <cell r="D10" t="str">
            <v>Ambresh Tripathi</v>
          </cell>
          <cell r="E10" t="str">
            <v>Nitin Saxena</v>
          </cell>
          <cell r="F10" t="str">
            <v>AmbreshT@Vbeyond.com</v>
          </cell>
          <cell r="G10">
            <v>6</v>
          </cell>
          <cell r="H10">
            <v>3</v>
          </cell>
          <cell r="I10">
            <v>0.5</v>
          </cell>
        </row>
        <row r="11">
          <cell r="B11" t="str">
            <v>Titans</v>
          </cell>
          <cell r="C11" t="str">
            <v>VB2221</v>
          </cell>
          <cell r="D11" t="str">
            <v xml:space="preserve">Anurag Mishra </v>
          </cell>
          <cell r="E11" t="str">
            <v>Nitin Saxena</v>
          </cell>
          <cell r="F11" t="str">
            <v>AnuragM@Vbeyond.com</v>
          </cell>
          <cell r="G11">
            <v>4</v>
          </cell>
          <cell r="H11">
            <v>1</v>
          </cell>
          <cell r="I11">
            <v>0.25</v>
          </cell>
        </row>
        <row r="12">
          <cell r="B12" t="str">
            <v>Titans</v>
          </cell>
          <cell r="C12" t="str">
            <v>VB2139</v>
          </cell>
          <cell r="D12" t="str">
            <v>Shagun Jaiswal</v>
          </cell>
          <cell r="E12" t="str">
            <v>Nitin Saxena</v>
          </cell>
          <cell r="F12" t="str">
            <v>ShagunJ@Vbeyond.com</v>
          </cell>
          <cell r="G12">
            <v>4</v>
          </cell>
          <cell r="H12">
            <v>0</v>
          </cell>
          <cell r="I12">
            <v>0</v>
          </cell>
        </row>
        <row r="13">
          <cell r="B13" t="str">
            <v>Titans</v>
          </cell>
          <cell r="C13" t="str">
            <v>VB0243</v>
          </cell>
          <cell r="D13" t="str">
            <v>Aditya Yadav</v>
          </cell>
          <cell r="E13" t="str">
            <v>Aditya Yadav</v>
          </cell>
          <cell r="F13" t="str">
            <v>AdityaY@Vbeyond.com</v>
          </cell>
          <cell r="G13">
            <v>0</v>
          </cell>
          <cell r="H13">
            <v>2</v>
          </cell>
          <cell r="I13">
            <v>0</v>
          </cell>
        </row>
        <row r="14">
          <cell r="B14" t="str">
            <v>Titans</v>
          </cell>
          <cell r="C14" t="str">
            <v>VB0877</v>
          </cell>
          <cell r="D14" t="str">
            <v>Santosh Singh</v>
          </cell>
          <cell r="E14" t="str">
            <v>Aditya Yadav</v>
          </cell>
          <cell r="F14" t="str">
            <v>SantoshS1@vbeyond.com</v>
          </cell>
          <cell r="G14">
            <v>7</v>
          </cell>
          <cell r="H14">
            <v>2</v>
          </cell>
          <cell r="I14">
            <v>0.2857142857142857</v>
          </cell>
        </row>
        <row r="15">
          <cell r="B15" t="str">
            <v>Titans</v>
          </cell>
          <cell r="C15" t="str">
            <v>VB0973</v>
          </cell>
          <cell r="D15" t="str">
            <v>Aastha Tiwari</v>
          </cell>
          <cell r="E15" t="str">
            <v>Aditya Yadav</v>
          </cell>
          <cell r="F15" t="str">
            <v>AasthaT@vbeyond.com</v>
          </cell>
          <cell r="G15">
            <v>8</v>
          </cell>
          <cell r="H15">
            <v>2</v>
          </cell>
          <cell r="I15">
            <v>0.25</v>
          </cell>
        </row>
        <row r="16">
          <cell r="B16" t="str">
            <v>Titans</v>
          </cell>
          <cell r="C16" t="str">
            <v>VB2095</v>
          </cell>
          <cell r="D16" t="str">
            <v>Shubham Yadav</v>
          </cell>
          <cell r="E16" t="str">
            <v>Aditya Yadav</v>
          </cell>
          <cell r="F16" t="str">
            <v>ShubhamY@Vbeyond.com</v>
          </cell>
          <cell r="G16">
            <v>5</v>
          </cell>
          <cell r="H16">
            <v>0</v>
          </cell>
          <cell r="I16">
            <v>0</v>
          </cell>
        </row>
        <row r="17">
          <cell r="B17" t="str">
            <v>Titans</v>
          </cell>
          <cell r="C17" t="str">
            <v>VB2249</v>
          </cell>
          <cell r="D17" t="str">
            <v>Rishabh Singh</v>
          </cell>
          <cell r="E17" t="str">
            <v>Aditya Yadav</v>
          </cell>
          <cell r="F17" t="str">
            <v>RishabhS3@vbeyond.com</v>
          </cell>
          <cell r="G17">
            <v>5</v>
          </cell>
          <cell r="H17">
            <v>1</v>
          </cell>
          <cell r="I17">
            <v>0.2</v>
          </cell>
        </row>
        <row r="18">
          <cell r="B18" t="str">
            <v>Titans</v>
          </cell>
          <cell r="C18" t="str">
            <v>VB2220</v>
          </cell>
          <cell r="D18" t="str">
            <v>Shagun Tewari</v>
          </cell>
          <cell r="E18" t="str">
            <v>Aditya Yadav</v>
          </cell>
          <cell r="F18" t="str">
            <v>ShagunT@Vbeyond.com</v>
          </cell>
          <cell r="G18">
            <v>4</v>
          </cell>
          <cell r="H18">
            <v>1</v>
          </cell>
          <cell r="I18">
            <v>0.25</v>
          </cell>
        </row>
        <row r="19">
          <cell r="B19" t="str">
            <v>Titans</v>
          </cell>
          <cell r="C19" t="str">
            <v>VB2332</v>
          </cell>
          <cell r="D19" t="str">
            <v>Harsh Mishra</v>
          </cell>
          <cell r="E19" t="str">
            <v>Aditya Yadav</v>
          </cell>
          <cell r="F19" t="str">
            <v>HarshM@vbeyond.com</v>
          </cell>
          <cell r="G19">
            <v>5</v>
          </cell>
          <cell r="H19">
            <v>0</v>
          </cell>
          <cell r="I19">
            <v>0</v>
          </cell>
        </row>
        <row r="20">
          <cell r="B20" t="str">
            <v>Titans</v>
          </cell>
          <cell r="C20" t="str">
            <v>VB0387</v>
          </cell>
          <cell r="D20" t="str">
            <v>Abhishek Yadav</v>
          </cell>
          <cell r="E20" t="str">
            <v>Abhishek Yadav</v>
          </cell>
          <cell r="F20" t="str">
            <v>AbhishekY@Vbeyond.com</v>
          </cell>
          <cell r="G20">
            <v>0</v>
          </cell>
          <cell r="H20">
            <v>0</v>
          </cell>
          <cell r="I20">
            <v>0</v>
          </cell>
        </row>
        <row r="21">
          <cell r="B21" t="str">
            <v>Titans</v>
          </cell>
          <cell r="C21" t="str">
            <v>VB1658</v>
          </cell>
          <cell r="D21" t="str">
            <v>Manish Kumar Dhiman</v>
          </cell>
          <cell r="E21" t="str">
            <v>Abhishek Yadav</v>
          </cell>
          <cell r="F21" t="str">
            <v>ManishD@Vbeyond.com</v>
          </cell>
          <cell r="G21">
            <v>9</v>
          </cell>
          <cell r="H21">
            <v>1</v>
          </cell>
          <cell r="I21">
            <v>0.1111111111111111</v>
          </cell>
        </row>
        <row r="22">
          <cell r="B22" t="str">
            <v>Titans</v>
          </cell>
          <cell r="C22" t="str">
            <v>VB1676</v>
          </cell>
          <cell r="D22" t="str">
            <v>Heena Pandey</v>
          </cell>
          <cell r="E22" t="str">
            <v>Abhishek Yadav</v>
          </cell>
          <cell r="F22" t="str">
            <v>HeenaP@Vbeyond.com</v>
          </cell>
          <cell r="G22">
            <v>8</v>
          </cell>
          <cell r="H22">
            <v>1</v>
          </cell>
          <cell r="I22">
            <v>0.125</v>
          </cell>
        </row>
        <row r="23">
          <cell r="B23" t="str">
            <v>Titans</v>
          </cell>
          <cell r="C23" t="str">
            <v>VB1841</v>
          </cell>
          <cell r="D23" t="str">
            <v>Shubham Tripathi</v>
          </cell>
          <cell r="E23" t="str">
            <v>Abhishek Yadav</v>
          </cell>
          <cell r="F23" t="str">
            <v>shubhamt@vbeyond.com</v>
          </cell>
          <cell r="G23">
            <v>7</v>
          </cell>
          <cell r="H23">
            <v>3</v>
          </cell>
          <cell r="I23">
            <v>0.42857142857142855</v>
          </cell>
        </row>
        <row r="24">
          <cell r="B24" t="str">
            <v>Titans</v>
          </cell>
          <cell r="C24" t="str">
            <v>VB1972</v>
          </cell>
          <cell r="D24" t="str">
            <v>Shubham Srivastava</v>
          </cell>
          <cell r="E24" t="str">
            <v>Abhishek Yadav</v>
          </cell>
          <cell r="F24" t="str">
            <v>ShubhamS2@vbeyond.com</v>
          </cell>
          <cell r="G24">
            <v>9</v>
          </cell>
          <cell r="H24">
            <v>1</v>
          </cell>
          <cell r="I24">
            <v>0.1111111111111111</v>
          </cell>
        </row>
        <row r="25">
          <cell r="B25" t="str">
            <v>Titans</v>
          </cell>
          <cell r="C25" t="str">
            <v>VB2115</v>
          </cell>
          <cell r="D25" t="str">
            <v>Satyam Pandey</v>
          </cell>
          <cell r="E25" t="str">
            <v>Abhishek Yadav</v>
          </cell>
          <cell r="F25" t="str">
            <v>SatyamP@Vbeyond.com</v>
          </cell>
          <cell r="G25">
            <v>5</v>
          </cell>
          <cell r="H25">
            <v>1</v>
          </cell>
          <cell r="I25">
            <v>0.2</v>
          </cell>
        </row>
        <row r="26">
          <cell r="B26" t="str">
            <v>Titans</v>
          </cell>
          <cell r="C26" t="str">
            <v>VB2118</v>
          </cell>
          <cell r="D26" t="str">
            <v>Dheeraj Verma</v>
          </cell>
          <cell r="E26" t="str">
            <v>Abhishek Yadav</v>
          </cell>
          <cell r="F26" t="str">
            <v>DheerajV@vbeyond.com</v>
          </cell>
          <cell r="G26">
            <v>7</v>
          </cell>
          <cell r="H26">
            <v>0</v>
          </cell>
          <cell r="I26">
            <v>0</v>
          </cell>
        </row>
        <row r="27">
          <cell r="B27" t="str">
            <v>Titans</v>
          </cell>
          <cell r="C27" t="str">
            <v xml:space="preserve">VB2089 </v>
          </cell>
          <cell r="D27" t="str">
            <v>Raj Chaudhary</v>
          </cell>
          <cell r="E27" t="str">
            <v>Abhishek Yadav</v>
          </cell>
          <cell r="F27" t="str">
            <v>RajC@vbeyond.com</v>
          </cell>
          <cell r="G27">
            <v>6</v>
          </cell>
          <cell r="H27">
            <v>2</v>
          </cell>
          <cell r="I27">
            <v>0.33333333333333331</v>
          </cell>
        </row>
        <row r="28">
          <cell r="B28" t="str">
            <v>Titans</v>
          </cell>
          <cell r="C28" t="str">
            <v>VB2331</v>
          </cell>
          <cell r="D28" t="str">
            <v>Kashish Pahlajani</v>
          </cell>
          <cell r="E28" t="str">
            <v>Abhishek Yadav</v>
          </cell>
          <cell r="F28" t="str">
            <v>KashishP@vbeyond.com</v>
          </cell>
          <cell r="G28">
            <v>7</v>
          </cell>
          <cell r="H28">
            <v>0</v>
          </cell>
          <cell r="I28">
            <v>0</v>
          </cell>
        </row>
        <row r="29">
          <cell r="B29" t="str">
            <v>Titans</v>
          </cell>
          <cell r="C29" t="str">
            <v>VB2359</v>
          </cell>
          <cell r="D29" t="str">
            <v>Shubham Singh</v>
          </cell>
          <cell r="E29" t="str">
            <v>Abhishek Yadav</v>
          </cell>
          <cell r="F29" t="str">
            <v>ShubhamS5@vbeyond.com</v>
          </cell>
          <cell r="G29">
            <v>6</v>
          </cell>
          <cell r="H29">
            <v>0</v>
          </cell>
          <cell r="I29">
            <v>0</v>
          </cell>
        </row>
        <row r="30">
          <cell r="B30" t="str">
            <v>Mavericks</v>
          </cell>
          <cell r="C30" t="str">
            <v>VB0273</v>
          </cell>
          <cell r="D30" t="str">
            <v>Rohit Gupta</v>
          </cell>
          <cell r="E30" t="str">
            <v>Rohit Gupta</v>
          </cell>
          <cell r="F30" t="str">
            <v>RohitG@vbeyond.com</v>
          </cell>
          <cell r="G30">
            <v>0</v>
          </cell>
          <cell r="H30">
            <v>1</v>
          </cell>
          <cell r="I30">
            <v>0</v>
          </cell>
        </row>
        <row r="31">
          <cell r="B31" t="str">
            <v>Mavericks</v>
          </cell>
          <cell r="C31" t="str">
            <v>VB1372</v>
          </cell>
          <cell r="D31" t="str">
            <v>Ekta Singh</v>
          </cell>
          <cell r="E31" t="str">
            <v>Rohit Gupta</v>
          </cell>
          <cell r="F31" t="str">
            <v>EktaS@vbeyond.com</v>
          </cell>
          <cell r="G31">
            <v>6</v>
          </cell>
          <cell r="H31">
            <v>2</v>
          </cell>
          <cell r="I31">
            <v>0.33333333333333331</v>
          </cell>
        </row>
        <row r="32">
          <cell r="B32" t="str">
            <v>Mavericks</v>
          </cell>
          <cell r="C32" t="str">
            <v>VB1144</v>
          </cell>
          <cell r="D32" t="str">
            <v>Akhilesh Gupta</v>
          </cell>
          <cell r="E32" t="str">
            <v>Rohit Gupta</v>
          </cell>
          <cell r="F32" t="str">
            <v>AkhileshG@vbeyond.com</v>
          </cell>
          <cell r="G32">
            <v>7</v>
          </cell>
          <cell r="H32">
            <v>2</v>
          </cell>
          <cell r="I32">
            <v>0.2857142857142857</v>
          </cell>
        </row>
        <row r="33">
          <cell r="B33" t="str">
            <v>Mavericks</v>
          </cell>
          <cell r="C33" t="str">
            <v>VB0631</v>
          </cell>
          <cell r="D33" t="str">
            <v>Saif Ahmad Ansari</v>
          </cell>
          <cell r="E33" t="str">
            <v>Rohit Gupta</v>
          </cell>
          <cell r="F33" t="str">
            <v>SaifA@vbeyond.com</v>
          </cell>
          <cell r="G33">
            <v>8</v>
          </cell>
          <cell r="H33">
            <v>1</v>
          </cell>
          <cell r="I33">
            <v>0.125</v>
          </cell>
        </row>
        <row r="34">
          <cell r="B34" t="str">
            <v>Mavericks</v>
          </cell>
          <cell r="C34" t="str">
            <v>VB1466</v>
          </cell>
          <cell r="D34" t="str">
            <v>Himanshu Gupta</v>
          </cell>
          <cell r="E34" t="str">
            <v>Rohit Gupta</v>
          </cell>
          <cell r="F34" t="str">
            <v>HimanshuG1@vbeyond.com</v>
          </cell>
          <cell r="G34">
            <v>8</v>
          </cell>
          <cell r="H34">
            <v>2</v>
          </cell>
          <cell r="I34">
            <v>0.25</v>
          </cell>
        </row>
        <row r="35">
          <cell r="B35" t="str">
            <v>Mavericks</v>
          </cell>
          <cell r="C35" t="str">
            <v>VB2170</v>
          </cell>
          <cell r="D35" t="str">
            <v>Gufran Ali</v>
          </cell>
          <cell r="E35" t="str">
            <v>Rohit Gupta</v>
          </cell>
          <cell r="F35" t="str">
            <v>GufranA@Vbeyond.com</v>
          </cell>
          <cell r="G35">
            <v>0</v>
          </cell>
          <cell r="H35">
            <v>0</v>
          </cell>
          <cell r="I35">
            <v>0</v>
          </cell>
        </row>
        <row r="36">
          <cell r="B36" t="str">
            <v>Mavericks</v>
          </cell>
          <cell r="C36" t="str">
            <v>VB0183</v>
          </cell>
          <cell r="D36" t="str">
            <v>Saurabh Mishra</v>
          </cell>
          <cell r="E36" t="str">
            <v>Fakhrul</v>
          </cell>
          <cell r="F36" t="str">
            <v>SaurabhM@vbeyond.com</v>
          </cell>
          <cell r="G36">
            <v>8</v>
          </cell>
          <cell r="H36">
            <v>0</v>
          </cell>
          <cell r="I36">
            <v>0</v>
          </cell>
        </row>
        <row r="37">
          <cell r="B37" t="str">
            <v>Mavericks</v>
          </cell>
          <cell r="C37" t="str">
            <v>VB0609</v>
          </cell>
          <cell r="D37" t="str">
            <v>Yogesh Bisht</v>
          </cell>
          <cell r="E37" t="str">
            <v>Rohit Gupta</v>
          </cell>
          <cell r="F37" t="str">
            <v>YogeshB@vbeyond.com</v>
          </cell>
          <cell r="G37">
            <v>6</v>
          </cell>
          <cell r="H37">
            <v>1</v>
          </cell>
          <cell r="I37">
            <v>0.16666666666666666</v>
          </cell>
        </row>
        <row r="38">
          <cell r="B38" t="str">
            <v>Mavericks</v>
          </cell>
          <cell r="C38" t="str">
            <v>VB1199</v>
          </cell>
          <cell r="D38" t="str">
            <v>Nilesh Shahi</v>
          </cell>
          <cell r="E38" t="str">
            <v>Rohit Gupta</v>
          </cell>
          <cell r="F38" t="str">
            <v>NileshS@vbeyond.com</v>
          </cell>
          <cell r="G38">
            <v>6</v>
          </cell>
          <cell r="H38">
            <v>3</v>
          </cell>
          <cell r="I38">
            <v>0.5</v>
          </cell>
        </row>
        <row r="39">
          <cell r="B39" t="str">
            <v>Mavericks</v>
          </cell>
          <cell r="C39" t="str">
            <v>VB2263</v>
          </cell>
          <cell r="D39" t="str">
            <v xml:space="preserve">Vaishnavi Kumari </v>
          </cell>
          <cell r="E39" t="str">
            <v>Rohit Gupta</v>
          </cell>
          <cell r="F39" t="str">
            <v>VaishnaviK@vbeyond.com</v>
          </cell>
          <cell r="G39">
            <v>4</v>
          </cell>
          <cell r="H39">
            <v>0</v>
          </cell>
          <cell r="I39">
            <v>0</v>
          </cell>
        </row>
        <row r="40">
          <cell r="B40" t="str">
            <v>Mavericks</v>
          </cell>
          <cell r="C40" t="str">
            <v>VB0562</v>
          </cell>
          <cell r="D40" t="str">
            <v>Vivek Yadav</v>
          </cell>
          <cell r="E40" t="str">
            <v>Vivek Yadav</v>
          </cell>
          <cell r="F40" t="str">
            <v>KumarY@vbeyond.com</v>
          </cell>
          <cell r="G40">
            <v>0</v>
          </cell>
          <cell r="H40">
            <v>0</v>
          </cell>
          <cell r="I40">
            <v>0</v>
          </cell>
        </row>
        <row r="41">
          <cell r="B41" t="str">
            <v>Mavericks</v>
          </cell>
          <cell r="C41" t="str">
            <v>VB2058</v>
          </cell>
          <cell r="D41" t="str">
            <v>Tauheed Ali</v>
          </cell>
          <cell r="E41" t="str">
            <v>Vivek Yadav</v>
          </cell>
          <cell r="F41" t="str">
            <v>TauheedA@vbeyond.com</v>
          </cell>
          <cell r="G41">
            <v>5</v>
          </cell>
          <cell r="H41">
            <v>1</v>
          </cell>
          <cell r="I41">
            <v>0.2</v>
          </cell>
        </row>
        <row r="42">
          <cell r="B42" t="str">
            <v>Mavericks</v>
          </cell>
          <cell r="C42" t="str">
            <v>VB1253</v>
          </cell>
          <cell r="D42" t="str">
            <v>Abhishek Mishra Mavericks</v>
          </cell>
          <cell r="E42" t="str">
            <v>Vivek Yadav</v>
          </cell>
          <cell r="F42" t="str">
            <v>AbhishekM3@vbeyond.com</v>
          </cell>
          <cell r="G42">
            <v>8</v>
          </cell>
          <cell r="H42">
            <v>2</v>
          </cell>
          <cell r="I42">
            <v>0.25</v>
          </cell>
        </row>
        <row r="43">
          <cell r="B43" t="str">
            <v>Mavericks</v>
          </cell>
          <cell r="C43" t="str">
            <v>VB1125</v>
          </cell>
          <cell r="D43" t="str">
            <v>Mohd Danish</v>
          </cell>
          <cell r="E43" t="str">
            <v>Rohit Gupta</v>
          </cell>
          <cell r="F43" t="str">
            <v>DanishR@vbeyond.com</v>
          </cell>
          <cell r="G43">
            <v>7</v>
          </cell>
          <cell r="H43">
            <v>0</v>
          </cell>
          <cell r="I43">
            <v>0</v>
          </cell>
        </row>
        <row r="44">
          <cell r="B44" t="str">
            <v>Mavericks</v>
          </cell>
          <cell r="C44" t="str">
            <v>VB2327</v>
          </cell>
          <cell r="D44" t="str">
            <v>Shubham Singh</v>
          </cell>
          <cell r="E44" t="str">
            <v>Rohit Gupta</v>
          </cell>
          <cell r="F44" t="str">
            <v>ShubhamS4@vbeyond.com</v>
          </cell>
          <cell r="H44">
            <v>0</v>
          </cell>
          <cell r="I44">
            <v>0</v>
          </cell>
        </row>
        <row r="45">
          <cell r="B45" t="str">
            <v>Mavericks</v>
          </cell>
          <cell r="C45" t="str">
            <v>VB0217</v>
          </cell>
          <cell r="D45" t="str">
            <v>Kashif Nabi</v>
          </cell>
          <cell r="E45" t="str">
            <v>Kashif Nabi</v>
          </cell>
          <cell r="F45" t="str">
            <v>KashifN@Vbeyond.com</v>
          </cell>
          <cell r="G45">
            <v>0</v>
          </cell>
          <cell r="H45">
            <v>2</v>
          </cell>
          <cell r="I45">
            <v>0</v>
          </cell>
        </row>
        <row r="46">
          <cell r="B46" t="str">
            <v>Mavericks</v>
          </cell>
          <cell r="C46" t="str">
            <v>VB1697</v>
          </cell>
          <cell r="D46" t="str">
            <v>Ritik Arya</v>
          </cell>
          <cell r="E46" t="str">
            <v>Kashif Nabi</v>
          </cell>
          <cell r="F46" t="str">
            <v>RitikA@vbeyond.com</v>
          </cell>
          <cell r="G46">
            <v>7</v>
          </cell>
          <cell r="H46">
            <v>1</v>
          </cell>
          <cell r="I46">
            <v>0.14285714285714285</v>
          </cell>
        </row>
        <row r="47">
          <cell r="B47" t="str">
            <v>Mavericks</v>
          </cell>
          <cell r="C47" t="str">
            <v>VB1495</v>
          </cell>
          <cell r="D47" t="str">
            <v>Priyanka Sharma</v>
          </cell>
          <cell r="E47" t="str">
            <v>Kashif Nabi</v>
          </cell>
          <cell r="F47" t="str">
            <v>PriyankaS@vbeyond.com</v>
          </cell>
          <cell r="G47">
            <v>7</v>
          </cell>
          <cell r="H47">
            <v>1</v>
          </cell>
          <cell r="I47">
            <v>0.14285714285714285</v>
          </cell>
        </row>
        <row r="48">
          <cell r="B48" t="str">
            <v>Mavericks</v>
          </cell>
          <cell r="C48" t="str">
            <v>VB1615</v>
          </cell>
          <cell r="D48" t="str">
            <v>Harshita Mani Srivastava</v>
          </cell>
          <cell r="E48" t="str">
            <v>Kashif Nabi</v>
          </cell>
          <cell r="F48" t="str">
            <v>HarshitaS1@vbeyond.com</v>
          </cell>
          <cell r="G48">
            <v>6</v>
          </cell>
          <cell r="H48">
            <v>2</v>
          </cell>
          <cell r="I48">
            <v>0.33333333333333331</v>
          </cell>
        </row>
        <row r="49">
          <cell r="B49" t="str">
            <v>Mavericks</v>
          </cell>
          <cell r="C49" t="str">
            <v>VB1133</v>
          </cell>
          <cell r="D49" t="str">
            <v>Ubaid Rahman</v>
          </cell>
          <cell r="E49" t="str">
            <v>Kashif Nabi</v>
          </cell>
          <cell r="F49" t="str">
            <v>ubaidr@vbeyond.com</v>
          </cell>
          <cell r="G49">
            <v>8</v>
          </cell>
          <cell r="H49">
            <v>3</v>
          </cell>
          <cell r="I49">
            <v>0.375</v>
          </cell>
        </row>
        <row r="50">
          <cell r="B50" t="str">
            <v>Mavericks</v>
          </cell>
          <cell r="C50" t="str">
            <v>VB2261</v>
          </cell>
          <cell r="D50" t="str">
            <v>Mohammad Faizan Ansari</v>
          </cell>
          <cell r="E50" t="str">
            <v>Kashif Nabi</v>
          </cell>
          <cell r="F50" t="str">
            <v>MohammadA1@vbeyond.com</v>
          </cell>
          <cell r="G50">
            <v>4</v>
          </cell>
          <cell r="H50">
            <v>0</v>
          </cell>
          <cell r="I50">
            <v>0</v>
          </cell>
        </row>
        <row r="51">
          <cell r="B51" t="str">
            <v>Mavericks</v>
          </cell>
          <cell r="C51" t="str">
            <v>VB1949</v>
          </cell>
          <cell r="D51" t="str">
            <v>Arpit Gupta</v>
          </cell>
          <cell r="E51" t="str">
            <v>Kashif Nabi</v>
          </cell>
          <cell r="F51" t="str">
            <v>ArpitG@vbeyond.com</v>
          </cell>
          <cell r="G51">
            <v>6</v>
          </cell>
          <cell r="H51">
            <v>1</v>
          </cell>
          <cell r="I51">
            <v>0.16666666666666666</v>
          </cell>
        </row>
        <row r="52">
          <cell r="B52" t="str">
            <v>Mavericks</v>
          </cell>
          <cell r="C52" t="str">
            <v>VB0766</v>
          </cell>
          <cell r="D52" t="str">
            <v>Vaibhav Kumar</v>
          </cell>
          <cell r="E52" t="str">
            <v>Kashif Nabi</v>
          </cell>
          <cell r="F52" t="str">
            <v>VaibhavK@vbeyond.com</v>
          </cell>
          <cell r="G52">
            <v>8</v>
          </cell>
          <cell r="H52">
            <v>0</v>
          </cell>
          <cell r="I52">
            <v>0</v>
          </cell>
        </row>
        <row r="53">
          <cell r="B53" t="str">
            <v>Mavericks</v>
          </cell>
          <cell r="C53" t="str">
            <v>VB1857</v>
          </cell>
          <cell r="D53" t="str">
            <v>Satyajeet Singh</v>
          </cell>
          <cell r="E53" t="str">
            <v>Kashif Nabi</v>
          </cell>
          <cell r="F53" t="str">
            <v>SatyajeetS@vbeyond.com</v>
          </cell>
          <cell r="G53">
            <v>6</v>
          </cell>
          <cell r="H53">
            <v>0</v>
          </cell>
          <cell r="I53">
            <v>0</v>
          </cell>
        </row>
        <row r="54">
          <cell r="B54" t="str">
            <v>Mavericks</v>
          </cell>
          <cell r="C54" t="str">
            <v>VB0484</v>
          </cell>
          <cell r="D54" t="str">
            <v>Mohammad Tariq</v>
          </cell>
          <cell r="E54" t="str">
            <v>Mohammad Tariq</v>
          </cell>
          <cell r="F54" t="str">
            <v>MohammadT@vbeyond.com</v>
          </cell>
          <cell r="G54">
            <v>4</v>
          </cell>
          <cell r="H54">
            <v>2</v>
          </cell>
          <cell r="I54">
            <v>0.5</v>
          </cell>
        </row>
        <row r="55">
          <cell r="B55" t="str">
            <v>Mavericks</v>
          </cell>
          <cell r="C55" t="str">
            <v>VB2102 </v>
          </cell>
          <cell r="D55" t="str">
            <v>Apurv Joshi</v>
          </cell>
          <cell r="E55" t="str">
            <v>Mohammad Tariq</v>
          </cell>
          <cell r="F55" t="str">
            <v>ApurvJ@vbeyond.com</v>
          </cell>
          <cell r="G55">
            <v>4</v>
          </cell>
          <cell r="H55">
            <v>0</v>
          </cell>
          <cell r="I55">
            <v>0</v>
          </cell>
        </row>
        <row r="56">
          <cell r="B56" t="str">
            <v>Mavericks</v>
          </cell>
          <cell r="C56" t="str">
            <v>VB2262</v>
          </cell>
          <cell r="D56" t="str">
            <v>Syed Ausaf Ali</v>
          </cell>
          <cell r="E56" t="str">
            <v>Mohammad Tariq</v>
          </cell>
          <cell r="F56" t="str">
            <v>SyedA1@vbeyond.com</v>
          </cell>
          <cell r="G56">
            <v>4</v>
          </cell>
          <cell r="H56">
            <v>1</v>
          </cell>
          <cell r="I56">
            <v>0.25</v>
          </cell>
        </row>
        <row r="57">
          <cell r="B57" t="str">
            <v>Mavericks</v>
          </cell>
          <cell r="D57" t="str">
            <v>Yaman Abbas</v>
          </cell>
          <cell r="F57" t="str">
            <v>yamana@vbeyond.com</v>
          </cell>
          <cell r="I57">
            <v>0</v>
          </cell>
        </row>
        <row r="58">
          <cell r="B58" t="str">
            <v>Mavericks</v>
          </cell>
          <cell r="C58" t="str">
            <v>VB2372</v>
          </cell>
          <cell r="D58" t="str">
            <v>Sandeep Pandey</v>
          </cell>
          <cell r="E58" t="str">
            <v>Kashif Nabi</v>
          </cell>
          <cell r="F58" t="str">
            <v>SandeepP@vbeyond.com</v>
          </cell>
          <cell r="G58">
            <v>0</v>
          </cell>
          <cell r="H58">
            <v>0</v>
          </cell>
          <cell r="I58">
            <v>0</v>
          </cell>
        </row>
        <row r="59">
          <cell r="B59" t="str">
            <v>Mavericks</v>
          </cell>
          <cell r="C59" t="str">
            <v>VB2185</v>
          </cell>
          <cell r="D59" t="str">
            <v>Muskan Mishra</v>
          </cell>
          <cell r="E59" t="str">
            <v>Fakhrul</v>
          </cell>
          <cell r="F59" t="str">
            <v>MuskanM@vbeyond.com</v>
          </cell>
          <cell r="G59">
            <v>4</v>
          </cell>
          <cell r="H59">
            <v>0</v>
          </cell>
          <cell r="I59">
            <v>0</v>
          </cell>
        </row>
        <row r="60">
          <cell r="B60" t="str">
            <v>Mavericks</v>
          </cell>
          <cell r="C60" t="str">
            <v>VB0463</v>
          </cell>
          <cell r="D60" t="str">
            <v>Khatib Rahman</v>
          </cell>
          <cell r="E60" t="str">
            <v>Khatib Rahman</v>
          </cell>
          <cell r="F60" t="str">
            <v>KhatibR@vbeyond.com</v>
          </cell>
          <cell r="G60">
            <v>6</v>
          </cell>
          <cell r="H60">
            <v>2</v>
          </cell>
          <cell r="I60">
            <v>0.33333333333333331</v>
          </cell>
        </row>
        <row r="61">
          <cell r="B61" t="str">
            <v>Mavericks</v>
          </cell>
          <cell r="C61" t="str">
            <v>VB1932</v>
          </cell>
          <cell r="D61" t="str">
            <v>Vasudev Srivastava</v>
          </cell>
          <cell r="E61" t="str">
            <v>Khatib Rahman</v>
          </cell>
          <cell r="F61" t="str">
            <v>VasudevS@vbeyond.com</v>
          </cell>
          <cell r="G61">
            <v>5</v>
          </cell>
          <cell r="H61">
            <v>0</v>
          </cell>
          <cell r="I61">
            <v>0</v>
          </cell>
        </row>
        <row r="62">
          <cell r="B62" t="str">
            <v>Mavericks</v>
          </cell>
          <cell r="C62" t="str">
            <v>VB2242</v>
          </cell>
          <cell r="D62" t="str">
            <v>Shraddha Patel</v>
          </cell>
          <cell r="E62" t="str">
            <v>Khatib Rahman</v>
          </cell>
          <cell r="F62" t="str">
            <v>ShraddhaP@vbeyond.com</v>
          </cell>
          <cell r="G62">
            <v>4</v>
          </cell>
          <cell r="H62">
            <v>2</v>
          </cell>
          <cell r="I62">
            <v>0.5</v>
          </cell>
        </row>
        <row r="63">
          <cell r="B63" t="str">
            <v>Mavericks</v>
          </cell>
          <cell r="C63" t="str">
            <v>VB2131</v>
          </cell>
          <cell r="D63" t="str">
            <v>Vikas Malik</v>
          </cell>
          <cell r="E63" t="str">
            <v>Vikas Malik</v>
          </cell>
          <cell r="F63" t="str">
            <v>VikasM@vbeyond.com</v>
          </cell>
          <cell r="G63">
            <v>4</v>
          </cell>
          <cell r="H63">
            <v>0</v>
          </cell>
          <cell r="I63">
            <v>0</v>
          </cell>
        </row>
        <row r="64">
          <cell r="B64" t="str">
            <v>Mavericks</v>
          </cell>
          <cell r="C64" t="str">
            <v>VB2133</v>
          </cell>
          <cell r="D64" t="str">
            <v>Rahmat Ali</v>
          </cell>
          <cell r="E64" t="str">
            <v>Vikas Malik</v>
          </cell>
          <cell r="F64" t="str">
            <v>RahmatA@vbeyond.com</v>
          </cell>
          <cell r="G64">
            <v>7</v>
          </cell>
          <cell r="H64">
            <v>1</v>
          </cell>
          <cell r="I64">
            <v>0.14285714285714285</v>
          </cell>
        </row>
        <row r="65">
          <cell r="B65" t="str">
            <v>Mavericks</v>
          </cell>
          <cell r="C65" t="str">
            <v>VB2244</v>
          </cell>
          <cell r="D65" t="str">
            <v>Roshan Chaturvedi</v>
          </cell>
          <cell r="E65" t="str">
            <v>Vikas Malik</v>
          </cell>
          <cell r="F65" t="str">
            <v>RoshanC@vbeyond.com</v>
          </cell>
          <cell r="G65">
            <v>6</v>
          </cell>
          <cell r="H65">
            <v>0</v>
          </cell>
          <cell r="I65">
            <v>0</v>
          </cell>
        </row>
        <row r="66">
          <cell r="B66" t="str">
            <v>Mavericks</v>
          </cell>
          <cell r="C66" t="str">
            <v>VB2248</v>
          </cell>
          <cell r="D66" t="str">
            <v>Kajal Saini</v>
          </cell>
          <cell r="E66" t="str">
            <v>Vikas Malik</v>
          </cell>
          <cell r="F66" t="str">
            <v>KajalS1@vbeyond.com</v>
          </cell>
          <cell r="G66">
            <v>7</v>
          </cell>
          <cell r="H66">
            <v>1</v>
          </cell>
          <cell r="I66">
            <v>0.14285714285714285</v>
          </cell>
        </row>
        <row r="67">
          <cell r="B67" t="str">
            <v>Mavericks</v>
          </cell>
          <cell r="C67" t="str">
            <v>VB2360</v>
          </cell>
          <cell r="D67" t="str">
            <v>Pawan Joshi</v>
          </cell>
          <cell r="E67" t="str">
            <v>Vikas Malik</v>
          </cell>
          <cell r="F67" t="str">
            <v>PawanJ@vbeyond.com</v>
          </cell>
          <cell r="G67">
            <v>0</v>
          </cell>
          <cell r="H67">
            <v>0</v>
          </cell>
          <cell r="I67">
            <v>0</v>
          </cell>
        </row>
        <row r="68">
          <cell r="B68" t="str">
            <v>Mavericks</v>
          </cell>
          <cell r="C68" t="str">
            <v>VB2367</v>
          </cell>
          <cell r="D68" t="str">
            <v>Mohd Anas</v>
          </cell>
          <cell r="E68" t="str">
            <v>Vikas Malik</v>
          </cell>
          <cell r="F68" t="str">
            <v>MohdA6@vbeyond.com</v>
          </cell>
          <cell r="G68">
            <v>0</v>
          </cell>
          <cell r="H68">
            <v>0</v>
          </cell>
          <cell r="I68">
            <v>0</v>
          </cell>
        </row>
        <row r="69">
          <cell r="B69" t="str">
            <v>Vantedge</v>
          </cell>
          <cell r="C69" t="str">
            <v>VB0422</v>
          </cell>
          <cell r="D69" t="str">
            <v>Umar Mujahid Husain</v>
          </cell>
          <cell r="E69" t="str">
            <v>Umar Mujahid Husain</v>
          </cell>
          <cell r="F69" t="str">
            <v>umarh@vantedgesearch.com</v>
          </cell>
          <cell r="G69">
            <v>60000</v>
          </cell>
          <cell r="H69">
            <v>45000</v>
          </cell>
          <cell r="I69">
            <v>0.75</v>
          </cell>
        </row>
        <row r="70">
          <cell r="B70" t="str">
            <v>Vantedge</v>
          </cell>
          <cell r="C70" t="str">
            <v>VB1758</v>
          </cell>
          <cell r="D70" t="str">
            <v>Syed Ahrar Abbas Zaidi</v>
          </cell>
          <cell r="E70" t="str">
            <v>Umar Mujahid</v>
          </cell>
          <cell r="F70" t="str">
            <v>syedz@vantedgesearch.com</v>
          </cell>
          <cell r="G70">
            <v>120000</v>
          </cell>
          <cell r="H70">
            <v>136530</v>
          </cell>
          <cell r="I70">
            <v>1.13775</v>
          </cell>
        </row>
        <row r="71">
          <cell r="B71" t="str">
            <v>Vantedge</v>
          </cell>
          <cell r="C71" t="str">
            <v>VB1858</v>
          </cell>
          <cell r="D71" t="str">
            <v>Abhay Pratap Singh</v>
          </cell>
          <cell r="E71" t="str">
            <v>Umar Mujahid</v>
          </cell>
          <cell r="F71" t="str">
            <v>abhays@vantedgesearch.com</v>
          </cell>
          <cell r="G71">
            <v>95000</v>
          </cell>
          <cell r="H71">
            <v>17493</v>
          </cell>
          <cell r="I71">
            <v>0.18413684210526315</v>
          </cell>
        </row>
        <row r="72">
          <cell r="B72" t="str">
            <v>Vantedge</v>
          </cell>
          <cell r="C72" t="str">
            <v>VB2024</v>
          </cell>
          <cell r="D72" t="str">
            <v>Astha Srivastava</v>
          </cell>
          <cell r="E72" t="str">
            <v>Umar Mujahid</v>
          </cell>
          <cell r="F72" t="str">
            <v>asthas2@vantedgesearch.com</v>
          </cell>
          <cell r="G72">
            <v>75000</v>
          </cell>
          <cell r="H72">
            <v>45000</v>
          </cell>
          <cell r="I72">
            <v>0.6</v>
          </cell>
        </row>
        <row r="73">
          <cell r="B73" t="str">
            <v>Vantedge</v>
          </cell>
          <cell r="C73" t="str">
            <v>VB2269</v>
          </cell>
          <cell r="D73" t="str">
            <v>Shatakshi Sharma</v>
          </cell>
          <cell r="E73" t="str">
            <v>Umar Mujahid</v>
          </cell>
          <cell r="F73" t="str">
            <v>shatakshis@vantedgesearch.com</v>
          </cell>
          <cell r="G73">
            <v>60000</v>
          </cell>
          <cell r="H73">
            <v>0</v>
          </cell>
          <cell r="I73">
            <v>0</v>
          </cell>
        </row>
        <row r="74">
          <cell r="B74" t="str">
            <v>Vantedge</v>
          </cell>
          <cell r="C74" t="str">
            <v>VB1497</v>
          </cell>
          <cell r="D74" t="str">
            <v>Qausain Abbass</v>
          </cell>
          <cell r="E74" t="str">
            <v>Umar Mujahid</v>
          </cell>
          <cell r="F74" t="str">
            <v>abbass@vantedgesearch.com</v>
          </cell>
          <cell r="G74">
            <v>65000</v>
          </cell>
          <cell r="H74">
            <v>44269</v>
          </cell>
          <cell r="I74">
            <v>0.6810615384615385</v>
          </cell>
        </row>
        <row r="75">
          <cell r="B75" t="str">
            <v>Vantedge</v>
          </cell>
          <cell r="C75" t="str">
            <v>VB0448</v>
          </cell>
          <cell r="D75" t="str">
            <v>Anshul Kumar</v>
          </cell>
          <cell r="E75" t="str">
            <v>Anshul Kumar</v>
          </cell>
          <cell r="F75" t="str">
            <v>AKumar@VantedgeSearch.com</v>
          </cell>
          <cell r="G75">
            <v>60000</v>
          </cell>
          <cell r="H75">
            <v>0</v>
          </cell>
          <cell r="I75">
            <v>0</v>
          </cell>
        </row>
        <row r="76">
          <cell r="B76" t="str">
            <v>Vantedge</v>
          </cell>
          <cell r="C76" t="str">
            <v>VB2155</v>
          </cell>
          <cell r="D76" t="str">
            <v>Abhishek Srivastava</v>
          </cell>
          <cell r="E76" t="str">
            <v>Anshul Kumar</v>
          </cell>
          <cell r="F76" t="str">
            <v>AbhishekS3@VantedgeSearch.com</v>
          </cell>
          <cell r="G76">
            <v>115000</v>
          </cell>
          <cell r="H76">
            <v>0</v>
          </cell>
          <cell r="I76">
            <v>0</v>
          </cell>
        </row>
        <row r="77">
          <cell r="B77" t="str">
            <v>Vantedge</v>
          </cell>
          <cell r="C77" t="str">
            <v>VB2101 </v>
          </cell>
          <cell r="D77" t="str">
            <v>Anamika Dwivedi</v>
          </cell>
          <cell r="E77" t="str">
            <v>Anshul Kumar</v>
          </cell>
          <cell r="F77" t="str">
            <v>AnamikaD@VantedgeSearch.com</v>
          </cell>
          <cell r="G77">
            <v>60000</v>
          </cell>
          <cell r="H77">
            <v>0</v>
          </cell>
          <cell r="I77">
            <v>0</v>
          </cell>
        </row>
        <row r="78">
          <cell r="B78" t="str">
            <v>Vantedge</v>
          </cell>
          <cell r="C78" t="str">
            <v>VB1616</v>
          </cell>
          <cell r="D78" t="str">
            <v>Priyansh Khare</v>
          </cell>
          <cell r="E78" t="str">
            <v>Anshul Kumar</v>
          </cell>
          <cell r="F78" t="str">
            <v>priyanshkhare@vantedgesearch.com</v>
          </cell>
          <cell r="G78">
            <v>100000</v>
          </cell>
          <cell r="H78">
            <v>87100</v>
          </cell>
          <cell r="I78">
            <v>0.871</v>
          </cell>
        </row>
        <row r="79">
          <cell r="B79" t="str">
            <v>Vantedge</v>
          </cell>
          <cell r="C79" t="str">
            <v>VB2134</v>
          </cell>
          <cell r="D79" t="str">
            <v>Smriti Jha</v>
          </cell>
          <cell r="E79" t="str">
            <v>Anshul Kumar</v>
          </cell>
          <cell r="F79" t="str">
            <v>SmritiJ@VantedgeSearch.com</v>
          </cell>
          <cell r="G79">
            <v>60000</v>
          </cell>
          <cell r="H79">
            <v>0</v>
          </cell>
          <cell r="I79">
            <v>0</v>
          </cell>
        </row>
        <row r="80">
          <cell r="B80" t="str">
            <v>Vantedge</v>
          </cell>
          <cell r="C80" t="str">
            <v>VB1464</v>
          </cell>
          <cell r="D80" t="str">
            <v>Shreya Singh</v>
          </cell>
          <cell r="E80" t="str">
            <v>Anshul Kumar</v>
          </cell>
          <cell r="F80" t="str">
            <v>ShreyaS@VantedgeSearch.com</v>
          </cell>
          <cell r="G80">
            <v>115000</v>
          </cell>
          <cell r="H80">
            <v>24000</v>
          </cell>
          <cell r="I80">
            <v>0.20869565217391303</v>
          </cell>
        </row>
        <row r="81">
          <cell r="B81" t="str">
            <v>Vantedge</v>
          </cell>
          <cell r="C81" t="str">
            <v>VB2231</v>
          </cell>
          <cell r="D81" t="str">
            <v>Alisha Iqbal</v>
          </cell>
          <cell r="E81" t="str">
            <v>Anshul Kumar</v>
          </cell>
          <cell r="F81" t="str">
            <v>AlishaI@VantedgeSearch.com</v>
          </cell>
          <cell r="G81">
            <v>0</v>
          </cell>
          <cell r="H81">
            <v>0</v>
          </cell>
          <cell r="I81">
            <v>0</v>
          </cell>
        </row>
        <row r="82">
          <cell r="B82" t="str">
            <v>Vantedge</v>
          </cell>
          <cell r="C82" t="str">
            <v>VB2390</v>
          </cell>
          <cell r="D82" t="str">
            <v xml:space="preserve">Ritesh Kumar </v>
          </cell>
          <cell r="E82" t="str">
            <v>Anshul Kumar</v>
          </cell>
          <cell r="F82" t="str">
            <v>RiteshK@VantedgeSearch.com</v>
          </cell>
          <cell r="I82">
            <v>0</v>
          </cell>
        </row>
        <row r="83">
          <cell r="B83" t="str">
            <v>Vantedge</v>
          </cell>
          <cell r="C83" t="str">
            <v>VB0542</v>
          </cell>
          <cell r="D83" t="str">
            <v>Mayank Saxena</v>
          </cell>
          <cell r="E83" t="str">
            <v>Mayank Saxena</v>
          </cell>
          <cell r="F83" t="str">
            <v>MayankS@VantedgeSearch.com</v>
          </cell>
          <cell r="G83">
            <v>60000</v>
          </cell>
          <cell r="H83">
            <v>0</v>
          </cell>
          <cell r="I83">
            <v>0</v>
          </cell>
        </row>
        <row r="84">
          <cell r="B84" t="str">
            <v>Vantedge</v>
          </cell>
          <cell r="C84" t="str">
            <v>VB0956</v>
          </cell>
          <cell r="D84" t="str">
            <v>Govind Srivastava</v>
          </cell>
          <cell r="E84" t="str">
            <v>Mayank Saxena</v>
          </cell>
          <cell r="F84" t="str">
            <v>GovindS@VantedgeSearch.com</v>
          </cell>
          <cell r="G84">
            <v>125000</v>
          </cell>
          <cell r="H84">
            <v>0</v>
          </cell>
          <cell r="I84">
            <v>0</v>
          </cell>
        </row>
        <row r="85">
          <cell r="B85" t="str">
            <v>Vantedge</v>
          </cell>
          <cell r="C85" t="str">
            <v>VB1891</v>
          </cell>
          <cell r="D85" t="str">
            <v>Umang Srivastava</v>
          </cell>
          <cell r="E85" t="str">
            <v>Mayank Saxena</v>
          </cell>
          <cell r="F85" t="str">
            <v>UmangS@VantedgeSearch.com</v>
          </cell>
          <cell r="G85">
            <v>80000</v>
          </cell>
          <cell r="H85">
            <v>38000</v>
          </cell>
          <cell r="I85">
            <v>0.47499999999999998</v>
          </cell>
        </row>
        <row r="86">
          <cell r="B86" t="str">
            <v>Vantedge</v>
          </cell>
          <cell r="C86" t="str">
            <v>VB2254</v>
          </cell>
          <cell r="D86" t="str">
            <v>Tushar Kumar</v>
          </cell>
          <cell r="E86" t="str">
            <v>Mayank Saxena</v>
          </cell>
          <cell r="F86" t="str">
            <v>TusharK@Vantedgesearch.com</v>
          </cell>
          <cell r="G86">
            <v>55000</v>
          </cell>
          <cell r="H86">
            <v>28000</v>
          </cell>
          <cell r="I86">
            <v>0.50909090909090904</v>
          </cell>
        </row>
        <row r="87">
          <cell r="B87" t="str">
            <v>Vantedge</v>
          </cell>
          <cell r="C87" t="str">
            <v>VB2370</v>
          </cell>
          <cell r="D87" t="str">
            <v>Abhishek Yadav VST</v>
          </cell>
          <cell r="E87" t="str">
            <v>Mayank Saxena</v>
          </cell>
          <cell r="F87" t="str">
            <v>abhisheky1@vantedgesearch.com</v>
          </cell>
          <cell r="G87">
            <v>30000</v>
          </cell>
          <cell r="I87">
            <v>0</v>
          </cell>
        </row>
        <row r="88">
          <cell r="B88" t="str">
            <v>Vantedge</v>
          </cell>
          <cell r="C88" t="str">
            <v>VB2376</v>
          </cell>
          <cell r="D88" t="str">
            <v>Saanya Chandel</v>
          </cell>
          <cell r="E88" t="str">
            <v>Mayank Saxena</v>
          </cell>
          <cell r="F88" t="str">
            <v>saanyac@vantedgesearch.com</v>
          </cell>
          <cell r="G88">
            <v>30000</v>
          </cell>
          <cell r="I88">
            <v>0</v>
          </cell>
        </row>
        <row r="89">
          <cell r="B89" t="str">
            <v>Vantedge</v>
          </cell>
          <cell r="C89" t="str">
            <v>VB0312</v>
          </cell>
          <cell r="D89" t="str">
            <v>Raunak Tripathi</v>
          </cell>
          <cell r="E89" t="str">
            <v>Raunak Tripathi</v>
          </cell>
          <cell r="F89" t="str">
            <v>RaunakT@VantedgeSearch.com</v>
          </cell>
          <cell r="G89">
            <v>60000</v>
          </cell>
          <cell r="H89">
            <v>0</v>
          </cell>
          <cell r="I89">
            <v>0</v>
          </cell>
        </row>
        <row r="90">
          <cell r="B90" t="str">
            <v>Vantedge</v>
          </cell>
          <cell r="C90" t="str">
            <v>VB1748</v>
          </cell>
          <cell r="D90" t="str">
            <v>Devansh Mishra</v>
          </cell>
          <cell r="E90" t="str">
            <v>Raunak Tripathi</v>
          </cell>
          <cell r="F90" t="str">
            <v>devanshm@vantedgesearch.com</v>
          </cell>
          <cell r="G90">
            <v>70000</v>
          </cell>
          <cell r="H90">
            <v>28500</v>
          </cell>
          <cell r="I90">
            <v>0.40714285714285714</v>
          </cell>
        </row>
        <row r="91">
          <cell r="B91" t="str">
            <v>Vantedge</v>
          </cell>
          <cell r="C91" t="str">
            <v>VB1696</v>
          </cell>
          <cell r="D91" t="str">
            <v>Prithvi Singh</v>
          </cell>
          <cell r="E91" t="str">
            <v>Raunak Tripathi</v>
          </cell>
          <cell r="F91" t="str">
            <v>prithvis@vantedgesearch.com</v>
          </cell>
          <cell r="G91">
            <v>85000</v>
          </cell>
          <cell r="H91">
            <v>27000</v>
          </cell>
          <cell r="I91">
            <v>0.31764705882352939</v>
          </cell>
        </row>
        <row r="92">
          <cell r="B92" t="str">
            <v>Vantedge</v>
          </cell>
          <cell r="C92" t="str">
            <v>VB1945</v>
          </cell>
          <cell r="D92" t="str">
            <v>Pulkit prakash</v>
          </cell>
          <cell r="E92" t="str">
            <v>Raunak Tripathi</v>
          </cell>
          <cell r="F92" t="str">
            <v>pulkitp@vantedgesearch.com</v>
          </cell>
          <cell r="G92">
            <v>100000</v>
          </cell>
          <cell r="H92">
            <v>0</v>
          </cell>
          <cell r="I92">
            <v>0</v>
          </cell>
        </row>
        <row r="93">
          <cell r="B93" t="str">
            <v>Vantedge</v>
          </cell>
          <cell r="C93" t="str">
            <v>VB1902</v>
          </cell>
          <cell r="D93" t="str">
            <v>Ranjeet Kumar</v>
          </cell>
          <cell r="E93" t="str">
            <v>Raunak Tripathi</v>
          </cell>
          <cell r="F93" t="str">
            <v>RanjeetK@VantedgeSearch.com</v>
          </cell>
          <cell r="G93">
            <v>100000</v>
          </cell>
          <cell r="H93">
            <v>45000</v>
          </cell>
          <cell r="I93">
            <v>0.45</v>
          </cell>
        </row>
        <row r="94">
          <cell r="B94" t="str">
            <v>Vantedge</v>
          </cell>
          <cell r="C94" t="str">
            <v>VB2317</v>
          </cell>
          <cell r="D94" t="str">
            <v>Supriya Sharma</v>
          </cell>
          <cell r="E94" t="str">
            <v>Raunak Tripathi</v>
          </cell>
          <cell r="F94" t="str">
            <v>supriyas@vantedgesearch.com</v>
          </cell>
          <cell r="G94">
            <v>35000</v>
          </cell>
          <cell r="H94">
            <v>0</v>
          </cell>
          <cell r="I94">
            <v>0</v>
          </cell>
        </row>
        <row r="95">
          <cell r="B95" t="str">
            <v>Vantedge</v>
          </cell>
          <cell r="C95" t="str">
            <v>VB0140</v>
          </cell>
          <cell r="D95" t="str">
            <v>Prachi Pandey</v>
          </cell>
          <cell r="E95" t="str">
            <v>Raunak Tripathi</v>
          </cell>
          <cell r="F95" t="str">
            <v>PrachiP@VBeyondEurope.com</v>
          </cell>
          <cell r="G95">
            <v>100000</v>
          </cell>
          <cell r="H95">
            <v>0</v>
          </cell>
          <cell r="I95">
            <v>0</v>
          </cell>
        </row>
        <row r="96">
          <cell r="B96" t="str">
            <v>Vantedge</v>
          </cell>
          <cell r="C96" t="str">
            <v>VB2381</v>
          </cell>
          <cell r="D96" t="str">
            <v>Kanika Mathur</v>
          </cell>
          <cell r="E96" t="str">
            <v>Raunak Tripathi</v>
          </cell>
          <cell r="F96" t="str">
            <v>KanikaM@VBeyondEurope.com</v>
          </cell>
          <cell r="G96">
            <v>35000</v>
          </cell>
          <cell r="H96">
            <v>0</v>
          </cell>
          <cell r="I96">
            <v>0</v>
          </cell>
        </row>
        <row r="97">
          <cell r="B97" t="str">
            <v>Vantedge</v>
          </cell>
          <cell r="C97" t="str">
            <v>VB0740</v>
          </cell>
          <cell r="D97" t="str">
            <v>Rohini Parihar</v>
          </cell>
          <cell r="E97" t="str">
            <v>Rohini Parihar</v>
          </cell>
          <cell r="F97" t="str">
            <v>rohinip@vantedgesearch.com</v>
          </cell>
          <cell r="G97">
            <v>6</v>
          </cell>
          <cell r="H97">
            <v>1</v>
          </cell>
          <cell r="I97">
            <v>0.16666666666666666</v>
          </cell>
        </row>
        <row r="98">
          <cell r="B98" t="str">
            <v>Vantedge</v>
          </cell>
          <cell r="C98" t="str">
            <v>VB1557</v>
          </cell>
          <cell r="D98" t="str">
            <v>Devashish Sinha</v>
          </cell>
          <cell r="E98" t="str">
            <v>Rohini Parihar</v>
          </cell>
          <cell r="F98" t="str">
            <v>devashishs@vantedgesearch.com</v>
          </cell>
          <cell r="G98">
            <v>6</v>
          </cell>
          <cell r="H98">
            <v>3</v>
          </cell>
          <cell r="I98">
            <v>0.5</v>
          </cell>
        </row>
        <row r="99">
          <cell r="B99" t="str">
            <v>Vantedge</v>
          </cell>
          <cell r="C99" t="str">
            <v>VB1736</v>
          </cell>
          <cell r="D99" t="str">
            <v>Anam Hasan</v>
          </cell>
          <cell r="E99" t="str">
            <v>Rohini Parihar</v>
          </cell>
          <cell r="F99" t="str">
            <v>anamh@vantedgesearch.com</v>
          </cell>
          <cell r="G99">
            <v>6</v>
          </cell>
          <cell r="H99">
            <v>2</v>
          </cell>
          <cell r="I99">
            <v>0.33333333333333331</v>
          </cell>
        </row>
        <row r="100">
          <cell r="B100" t="str">
            <v>Vantedge</v>
          </cell>
          <cell r="C100" t="str">
            <v xml:space="preserve">VB1080 </v>
          </cell>
          <cell r="D100" t="str">
            <v>Tanya Mishra</v>
          </cell>
          <cell r="E100" t="str">
            <v>Rohini Parihar</v>
          </cell>
          <cell r="F100" t="str">
            <v>tanyam@vantedgesearch.com</v>
          </cell>
          <cell r="G100">
            <v>6</v>
          </cell>
          <cell r="H100">
            <v>0</v>
          </cell>
          <cell r="I100">
            <v>0</v>
          </cell>
        </row>
        <row r="101">
          <cell r="B101" t="str">
            <v>Vantedge</v>
          </cell>
          <cell r="C101" t="str">
            <v>VB2354</v>
          </cell>
          <cell r="D101" t="str">
            <v>Priyal Pandey</v>
          </cell>
          <cell r="E101" t="str">
            <v>Rohini Parihar</v>
          </cell>
          <cell r="F101" t="str">
            <v>PriyalP@Vantedgesearch.com</v>
          </cell>
          <cell r="G101">
            <v>2</v>
          </cell>
          <cell r="H101">
            <v>0</v>
          </cell>
          <cell r="I101">
            <v>0</v>
          </cell>
        </row>
        <row r="102">
          <cell r="B102" t="str">
            <v>Vantedge</v>
          </cell>
          <cell r="C102" t="str">
            <v>VB2059</v>
          </cell>
          <cell r="D102" t="str">
            <v>Kartikeya Singh</v>
          </cell>
          <cell r="E102" t="str">
            <v>Rohini Parihar</v>
          </cell>
          <cell r="F102" t="str">
            <v>kartikeyas@vantedgesearch.com</v>
          </cell>
          <cell r="G102" t="str">
            <v>-</v>
          </cell>
          <cell r="H102">
            <v>0</v>
          </cell>
          <cell r="I102">
            <v>0</v>
          </cell>
        </row>
        <row r="103">
          <cell r="B103" t="str">
            <v>Vantedge</v>
          </cell>
          <cell r="C103" t="str">
            <v>VB2255</v>
          </cell>
          <cell r="D103" t="str">
            <v>Yamini</v>
          </cell>
          <cell r="E103" t="str">
            <v>Rohini Parihar</v>
          </cell>
          <cell r="F103" t="str">
            <v>yamini@vantedgesearch.com</v>
          </cell>
          <cell r="G103" t="str">
            <v>-</v>
          </cell>
          <cell r="H103">
            <v>0</v>
          </cell>
          <cell r="I103">
            <v>0</v>
          </cell>
        </row>
        <row r="104">
          <cell r="B104" t="str">
            <v>Vantedge</v>
          </cell>
          <cell r="C104" t="str">
            <v xml:space="preserve">VB2383 </v>
          </cell>
          <cell r="D104" t="str">
            <v>Shrishti Maurya</v>
          </cell>
          <cell r="E104" t="str">
            <v>Rohini Parihar</v>
          </cell>
          <cell r="F104" t="str">
            <v>ShrishtiM@VantedgeSearch.com</v>
          </cell>
          <cell r="G104" t="str">
            <v>-</v>
          </cell>
          <cell r="H104">
            <v>0</v>
          </cell>
          <cell r="I104">
            <v>0</v>
          </cell>
        </row>
        <row r="105">
          <cell r="B105" t="str">
            <v>CSK</v>
          </cell>
          <cell r="C105" t="str">
            <v>VB0479</v>
          </cell>
          <cell r="D105" t="str">
            <v>Vinoth L</v>
          </cell>
          <cell r="E105" t="str">
            <v>Vinoth L</v>
          </cell>
          <cell r="F105" t="str">
            <v>VinothL@vbeyond.com</v>
          </cell>
          <cell r="G105">
            <v>0</v>
          </cell>
          <cell r="H105">
            <v>1</v>
          </cell>
          <cell r="I105">
            <v>0</v>
          </cell>
        </row>
        <row r="106">
          <cell r="B106" t="str">
            <v>CSK</v>
          </cell>
          <cell r="C106" t="str">
            <v>VB0541</v>
          </cell>
          <cell r="D106" t="str">
            <v>M Harinath</v>
          </cell>
          <cell r="E106" t="str">
            <v>Vinoth L</v>
          </cell>
          <cell r="F106" t="str">
            <v>HarinathM@vbeyond.com</v>
          </cell>
          <cell r="G106">
            <v>6</v>
          </cell>
          <cell r="H106">
            <v>1</v>
          </cell>
          <cell r="I106">
            <v>0.16666666666666666</v>
          </cell>
        </row>
        <row r="107">
          <cell r="B107" t="str">
            <v>CSK</v>
          </cell>
          <cell r="C107" t="str">
            <v>VB1525</v>
          </cell>
          <cell r="D107" t="str">
            <v>R Richardson</v>
          </cell>
          <cell r="E107" t="str">
            <v>Vinoth L</v>
          </cell>
          <cell r="F107" t="str">
            <v>Richardson@vbeyond.com</v>
          </cell>
          <cell r="G107">
            <v>6</v>
          </cell>
          <cell r="H107">
            <v>1</v>
          </cell>
          <cell r="I107">
            <v>0.16666666666666666</v>
          </cell>
        </row>
        <row r="108">
          <cell r="B108" t="str">
            <v>CSK</v>
          </cell>
          <cell r="C108" t="str">
            <v>VB2019</v>
          </cell>
          <cell r="D108" t="str">
            <v>Lokesh R</v>
          </cell>
          <cell r="E108" t="str">
            <v>Vinoth L</v>
          </cell>
          <cell r="F108" t="str">
            <v>LokeshR@vbeyond.com</v>
          </cell>
          <cell r="G108">
            <v>6</v>
          </cell>
          <cell r="H108">
            <v>0</v>
          </cell>
          <cell r="I108">
            <v>0</v>
          </cell>
        </row>
        <row r="109">
          <cell r="B109" t="str">
            <v>CSK</v>
          </cell>
          <cell r="C109" t="str">
            <v>VB2171</v>
          </cell>
          <cell r="D109" t="str">
            <v>Jagan Prabhu Vedhagiri</v>
          </cell>
          <cell r="E109" t="str">
            <v>Vinoth L</v>
          </cell>
          <cell r="F109" t="str">
            <v>JaganV@vbeyond.com</v>
          </cell>
          <cell r="G109">
            <v>6</v>
          </cell>
          <cell r="H109">
            <v>1</v>
          </cell>
          <cell r="I109">
            <v>0.16666666666666666</v>
          </cell>
        </row>
        <row r="110">
          <cell r="B110" t="str">
            <v>CSK</v>
          </cell>
          <cell r="C110" t="str">
            <v>VB2371</v>
          </cell>
          <cell r="D110" t="str">
            <v>Prasanth A.</v>
          </cell>
          <cell r="E110" t="str">
            <v>Vinoth L</v>
          </cell>
          <cell r="G110">
            <v>3</v>
          </cell>
          <cell r="H110">
            <v>0</v>
          </cell>
          <cell r="I110">
            <v>0</v>
          </cell>
        </row>
        <row r="111">
          <cell r="B111" t="str">
            <v>CSK</v>
          </cell>
          <cell r="D111" t="str">
            <v>Hariharan P</v>
          </cell>
          <cell r="E111" t="str">
            <v>Vinoth L</v>
          </cell>
          <cell r="G111">
            <v>4</v>
          </cell>
          <cell r="H111">
            <v>0</v>
          </cell>
          <cell r="I111">
            <v>0</v>
          </cell>
        </row>
        <row r="112">
          <cell r="B112" t="str">
            <v>CSK</v>
          </cell>
          <cell r="C112" t="str">
            <v>VB1068</v>
          </cell>
          <cell r="D112" t="str">
            <v>Ajithkumar G</v>
          </cell>
          <cell r="E112" t="str">
            <v>Vinoth L</v>
          </cell>
          <cell r="F112" t="str">
            <v>ajithg@vbeyond.com</v>
          </cell>
          <cell r="G112">
            <v>6</v>
          </cell>
          <cell r="H112">
            <v>0</v>
          </cell>
          <cell r="I112">
            <v>0</v>
          </cell>
        </row>
        <row r="113">
          <cell r="B113" t="str">
            <v>CSK</v>
          </cell>
          <cell r="C113" t="str">
            <v>VB1862</v>
          </cell>
          <cell r="D113" t="str">
            <v>Kishore Gopi</v>
          </cell>
          <cell r="E113" t="str">
            <v>Vinoth L</v>
          </cell>
          <cell r="F113" t="str">
            <v>KishoreG@vbeyond.com</v>
          </cell>
          <cell r="G113">
            <v>6</v>
          </cell>
          <cell r="H113">
            <v>4</v>
          </cell>
          <cell r="I113">
            <v>0.66666666666666663</v>
          </cell>
        </row>
        <row r="114">
          <cell r="B114" t="str">
            <v>CSK</v>
          </cell>
          <cell r="C114" t="str">
            <v>VB2342</v>
          </cell>
          <cell r="D114" t="str">
            <v>Manikandan R.</v>
          </cell>
          <cell r="E114" t="str">
            <v>Vinoth L</v>
          </cell>
          <cell r="F114" t="str">
            <v>ManikandanR@vbeyond.com</v>
          </cell>
          <cell r="G114">
            <v>4</v>
          </cell>
          <cell r="H114">
            <v>0</v>
          </cell>
          <cell r="I114">
            <v>0</v>
          </cell>
        </row>
        <row r="115">
          <cell r="B115" t="str">
            <v>CSK</v>
          </cell>
          <cell r="C115" t="str">
            <v>VB2157</v>
          </cell>
          <cell r="D115" t="str">
            <v>Ramanan K</v>
          </cell>
          <cell r="E115" t="str">
            <v>Vinoth L</v>
          </cell>
          <cell r="F115" t="str">
            <v>RamananK@vbeyond.com</v>
          </cell>
          <cell r="G115">
            <v>6</v>
          </cell>
          <cell r="H115">
            <v>1</v>
          </cell>
          <cell r="I115">
            <v>0.16666666666666666</v>
          </cell>
        </row>
        <row r="116">
          <cell r="B116" t="str">
            <v>CSK</v>
          </cell>
          <cell r="C116" t="str">
            <v>VB2278</v>
          </cell>
          <cell r="D116" t="str">
            <v>Vishnukanth R</v>
          </cell>
          <cell r="E116" t="str">
            <v>Vinoth L</v>
          </cell>
          <cell r="F116" t="str">
            <v>VishnukanthR@vbeyond.com</v>
          </cell>
          <cell r="G116">
            <v>4</v>
          </cell>
          <cell r="H116">
            <v>2</v>
          </cell>
          <cell r="I116">
            <v>0.5</v>
          </cell>
        </row>
        <row r="117">
          <cell r="B117" t="str">
            <v>CSK</v>
          </cell>
          <cell r="C117" t="str">
            <v>VB2161</v>
          </cell>
          <cell r="D117" t="str">
            <v>Rohini L</v>
          </cell>
          <cell r="E117" t="str">
            <v>Vinoth L</v>
          </cell>
          <cell r="F117" t="str">
            <v>RohiniL@vbeyond.com</v>
          </cell>
          <cell r="G117">
            <v>3</v>
          </cell>
          <cell r="H117">
            <v>1</v>
          </cell>
          <cell r="I117">
            <v>0.33333333333333331</v>
          </cell>
        </row>
        <row r="118">
          <cell r="B118" t="str">
            <v>CSK</v>
          </cell>
          <cell r="D118" t="str">
            <v>Renganayaki N</v>
          </cell>
          <cell r="E118" t="str">
            <v>Vinoth L</v>
          </cell>
          <cell r="G118">
            <v>3</v>
          </cell>
          <cell r="I118">
            <v>0</v>
          </cell>
        </row>
        <row r="119">
          <cell r="B119" t="str">
            <v>CSK</v>
          </cell>
          <cell r="D119" t="str">
            <v>Pugazhendi K</v>
          </cell>
          <cell r="E119" t="str">
            <v>Vinoth L</v>
          </cell>
          <cell r="G119">
            <v>2</v>
          </cell>
          <cell r="I119">
            <v>0</v>
          </cell>
        </row>
        <row r="120">
          <cell r="B120" t="str">
            <v>CSK</v>
          </cell>
          <cell r="C120" t="str">
            <v>VB1069</v>
          </cell>
          <cell r="D120" t="str">
            <v>Dinesh Kumar Veluchamy</v>
          </cell>
          <cell r="E120" t="str">
            <v>Vinoth L</v>
          </cell>
          <cell r="F120" t="str">
            <v>DineshV@vbeyond.com</v>
          </cell>
          <cell r="G120">
            <v>6</v>
          </cell>
          <cell r="H120">
            <v>7</v>
          </cell>
          <cell r="I120">
            <v>1.1666666666666667</v>
          </cell>
        </row>
        <row r="121">
          <cell r="B121" t="str">
            <v>CSK</v>
          </cell>
          <cell r="C121" t="str">
            <v>VB2162</v>
          </cell>
          <cell r="D121" t="str">
            <v>Dasive Prakash S</v>
          </cell>
          <cell r="E121" t="str">
            <v>Akbar Ibrahim</v>
          </cell>
          <cell r="F121" t="str">
            <v>DasiveS@vbeyond.com</v>
          </cell>
          <cell r="G121">
            <v>6</v>
          </cell>
          <cell r="H121">
            <v>0</v>
          </cell>
          <cell r="I121">
            <v>0</v>
          </cell>
        </row>
        <row r="122">
          <cell r="B122" t="str">
            <v>CSK</v>
          </cell>
          <cell r="C122" t="str">
            <v>VB2234</v>
          </cell>
          <cell r="D122" t="str">
            <v>Dhivakar B</v>
          </cell>
          <cell r="E122" t="str">
            <v>Akbar Ibrahim</v>
          </cell>
          <cell r="F122" t="str">
            <v>DhivakarB@vbeyond.com</v>
          </cell>
          <cell r="G122">
            <v>6</v>
          </cell>
          <cell r="H122">
            <v>0</v>
          </cell>
          <cell r="I122">
            <v>0</v>
          </cell>
        </row>
        <row r="123">
          <cell r="B123" t="str">
            <v>CSK</v>
          </cell>
          <cell r="C123" t="str">
            <v>VB2349</v>
          </cell>
          <cell r="D123" t="str">
            <v>Yuvarnan C. K.</v>
          </cell>
          <cell r="E123" t="str">
            <v>Vinoth L</v>
          </cell>
          <cell r="F123" t="str">
            <v>YuvarnanK@vbeyond.com</v>
          </cell>
          <cell r="G123">
            <v>4</v>
          </cell>
          <cell r="H123">
            <v>0</v>
          </cell>
          <cell r="I123">
            <v>0</v>
          </cell>
        </row>
        <row r="124">
          <cell r="B124" t="str">
            <v>CSK</v>
          </cell>
          <cell r="C124" t="str">
            <v>VB2160</v>
          </cell>
          <cell r="D124" t="str">
            <v>Sophia R</v>
          </cell>
          <cell r="E124" t="str">
            <v>Akbar Ibrahim</v>
          </cell>
          <cell r="F124" t="str">
            <v>SophiaR@vbeyond.com</v>
          </cell>
          <cell r="G124">
            <v>3</v>
          </cell>
          <cell r="H124">
            <v>2</v>
          </cell>
          <cell r="I124">
            <v>0.66666666666666663</v>
          </cell>
        </row>
        <row r="125">
          <cell r="B125" t="str">
            <v>CSK</v>
          </cell>
          <cell r="C125" t="str">
            <v>VB2305</v>
          </cell>
          <cell r="D125" t="str">
            <v>Jayanth G.</v>
          </cell>
          <cell r="E125" t="str">
            <v>Vinoth L</v>
          </cell>
          <cell r="F125" t="str">
            <v>JayanthG@vbeyond.com</v>
          </cell>
          <cell r="G125">
            <v>3</v>
          </cell>
          <cell r="H125">
            <v>0</v>
          </cell>
          <cell r="I125">
            <v>0</v>
          </cell>
        </row>
        <row r="126">
          <cell r="B126" t="str">
            <v>CSK</v>
          </cell>
          <cell r="D126" t="str">
            <v>Sarankumar M</v>
          </cell>
          <cell r="G126">
            <v>2</v>
          </cell>
          <cell r="I126">
            <v>0</v>
          </cell>
        </row>
        <row r="127">
          <cell r="B127" t="str">
            <v>CSK</v>
          </cell>
          <cell r="C127" t="str">
            <v>VB2067</v>
          </cell>
          <cell r="D127" t="str">
            <v>Rubini Mohan</v>
          </cell>
          <cell r="E127" t="str">
            <v>Akbar Ibrahim</v>
          </cell>
          <cell r="F127" t="str">
            <v>RubiniM@vbeyond.com</v>
          </cell>
          <cell r="G127">
            <v>6</v>
          </cell>
          <cell r="H127">
            <v>1</v>
          </cell>
          <cell r="I127">
            <v>0.16666666666666666</v>
          </cell>
        </row>
        <row r="128">
          <cell r="B128" t="str">
            <v>CSK</v>
          </cell>
          <cell r="D128" t="str">
            <v>Jeevitha R</v>
          </cell>
          <cell r="G128">
            <v>2</v>
          </cell>
          <cell r="I128">
            <v>0</v>
          </cell>
        </row>
        <row r="129">
          <cell r="B129" t="str">
            <v>CSK</v>
          </cell>
          <cell r="D129" t="str">
            <v>Abihaaran N.L</v>
          </cell>
          <cell r="G129">
            <v>2</v>
          </cell>
          <cell r="I129">
            <v>0</v>
          </cell>
        </row>
        <row r="130">
          <cell r="B130" t="str">
            <v>CSK</v>
          </cell>
          <cell r="C130" t="str">
            <v>VB0411</v>
          </cell>
          <cell r="D130" t="str">
            <v>Akbar Ibrahim</v>
          </cell>
          <cell r="E130" t="str">
            <v>Akbar Ibrahim</v>
          </cell>
          <cell r="F130" t="str">
            <v>AkbarI@Vbeyond.com</v>
          </cell>
          <cell r="G130">
            <v>0</v>
          </cell>
          <cell r="H130">
            <v>0</v>
          </cell>
          <cell r="I130">
            <v>0</v>
          </cell>
        </row>
        <row r="131">
          <cell r="B131" t="str">
            <v>Pioneer</v>
          </cell>
          <cell r="C131" t="str">
            <v>VB0678</v>
          </cell>
          <cell r="D131" t="str">
            <v>Lucky Jain</v>
          </cell>
          <cell r="E131" t="str">
            <v>Lucky Jain</v>
          </cell>
          <cell r="F131" t="str">
            <v>LuckyJ@Vbeyond.com</v>
          </cell>
          <cell r="G131" t="str">
            <v>-</v>
          </cell>
          <cell r="H131">
            <v>0</v>
          </cell>
          <cell r="I131">
            <v>0</v>
          </cell>
        </row>
        <row r="132">
          <cell r="B132" t="str">
            <v>Pioneer</v>
          </cell>
          <cell r="C132" t="str">
            <v>VB0914</v>
          </cell>
          <cell r="D132" t="str">
            <v>Abhishek Rajpoot</v>
          </cell>
          <cell r="E132" t="str">
            <v>Lucky Jain</v>
          </cell>
          <cell r="F132" t="str">
            <v>AbhishekR1@vbeyond.com</v>
          </cell>
          <cell r="G132">
            <v>6</v>
          </cell>
          <cell r="H132">
            <v>2</v>
          </cell>
          <cell r="I132">
            <v>0.33333333333333331</v>
          </cell>
        </row>
        <row r="133">
          <cell r="B133" t="str">
            <v>Pioneer</v>
          </cell>
          <cell r="C133" t="str">
            <v>VB2046</v>
          </cell>
          <cell r="D133" t="str">
            <v>Ansh Singh Rathore</v>
          </cell>
          <cell r="E133" t="str">
            <v>Lucky Jain</v>
          </cell>
          <cell r="F133" t="str">
            <v>AnshR@vbeyond.com</v>
          </cell>
          <cell r="G133">
            <v>5</v>
          </cell>
          <cell r="H133">
            <v>3</v>
          </cell>
          <cell r="I133">
            <v>0.6</v>
          </cell>
        </row>
        <row r="134">
          <cell r="B134" t="str">
            <v>Pioneer</v>
          </cell>
          <cell r="C134" t="str">
            <v>VB2240</v>
          </cell>
          <cell r="D134" t="str">
            <v>Vinay Kumar Pandey</v>
          </cell>
          <cell r="E134" t="str">
            <v>Lucky Jain</v>
          </cell>
          <cell r="F134" t="str">
            <v>VinayP@vbeyond.com</v>
          </cell>
          <cell r="G134">
            <v>4</v>
          </cell>
          <cell r="H134">
            <v>0</v>
          </cell>
          <cell r="I134">
            <v>0</v>
          </cell>
        </row>
        <row r="135">
          <cell r="B135" t="str">
            <v>Pioneer</v>
          </cell>
          <cell r="C135" t="str">
            <v>VB1837</v>
          </cell>
          <cell r="D135" t="str">
            <v>Prachi Verma</v>
          </cell>
          <cell r="E135" t="str">
            <v>Lucky Jain</v>
          </cell>
          <cell r="F135" t="str">
            <v>PrachiV@vbeyond.com</v>
          </cell>
          <cell r="G135">
            <v>6</v>
          </cell>
          <cell r="H135">
            <v>1</v>
          </cell>
          <cell r="I135">
            <v>0.16666666666666666</v>
          </cell>
        </row>
        <row r="136">
          <cell r="B136" t="str">
            <v>Pioneer</v>
          </cell>
          <cell r="C136" t="str">
            <v>VB1276</v>
          </cell>
          <cell r="D136" t="str">
            <v>Pragati Mishra</v>
          </cell>
          <cell r="E136" t="str">
            <v>Lucky Jain</v>
          </cell>
          <cell r="F136" t="str">
            <v>PragatiM@vbeyond.com</v>
          </cell>
          <cell r="G136">
            <v>6</v>
          </cell>
          <cell r="H136">
            <v>0</v>
          </cell>
          <cell r="I136">
            <v>0</v>
          </cell>
        </row>
        <row r="137">
          <cell r="B137" t="str">
            <v>Pioneer</v>
          </cell>
          <cell r="C137" t="str">
            <v>VB1240</v>
          </cell>
          <cell r="D137" t="str">
            <v>Rishabh Singh</v>
          </cell>
          <cell r="E137" t="str">
            <v>Lucky Jain</v>
          </cell>
          <cell r="F137" t="str">
            <v>RishabhS1@vbeyond.com</v>
          </cell>
          <cell r="G137">
            <v>6</v>
          </cell>
          <cell r="H137">
            <v>0</v>
          </cell>
          <cell r="I137">
            <v>0</v>
          </cell>
        </row>
        <row r="138">
          <cell r="B138" t="str">
            <v>Pioneer</v>
          </cell>
          <cell r="C138" t="str">
            <v>VB2316</v>
          </cell>
          <cell r="D138" t="str">
            <v>Kaustubh Pandey</v>
          </cell>
          <cell r="E138" t="str">
            <v>Lucky Jain</v>
          </cell>
          <cell r="F138" t="str">
            <v>kaustubhp@vbeyond.com</v>
          </cell>
          <cell r="G138">
            <v>4</v>
          </cell>
          <cell r="H138">
            <v>0</v>
          </cell>
          <cell r="I138">
            <v>0</v>
          </cell>
        </row>
        <row r="139">
          <cell r="B139" t="str">
            <v>Pioneer</v>
          </cell>
          <cell r="C139" t="str">
            <v>VB2318</v>
          </cell>
          <cell r="D139" t="str">
            <v>Amrit Srivastav</v>
          </cell>
          <cell r="E139" t="str">
            <v>Lucky Jain</v>
          </cell>
          <cell r="F139" t="str">
            <v>AmritS@vbeyond.com</v>
          </cell>
          <cell r="G139">
            <v>7</v>
          </cell>
          <cell r="H139">
            <v>2</v>
          </cell>
          <cell r="I139">
            <v>0.2857142857142857</v>
          </cell>
        </row>
        <row r="140">
          <cell r="B140" t="str">
            <v>Pioneer</v>
          </cell>
          <cell r="C140" t="str">
            <v>C138</v>
          </cell>
          <cell r="D140" t="str">
            <v>Akash Kumar</v>
          </cell>
          <cell r="E140" t="str">
            <v>Lucky Jain</v>
          </cell>
          <cell r="G140">
            <v>6</v>
          </cell>
          <cell r="H140">
            <v>0</v>
          </cell>
          <cell r="I140">
            <v>0</v>
          </cell>
        </row>
        <row r="141">
          <cell r="B141" t="str">
            <v>RPO</v>
          </cell>
          <cell r="C141" t="str">
            <v>VB0626</v>
          </cell>
          <cell r="D141" t="str">
            <v>Shubham Rastogi</v>
          </cell>
          <cell r="E141" t="str">
            <v>Ankit Pandey</v>
          </cell>
          <cell r="F141" t="str">
            <v>ShubhamR@Vbeyond.com</v>
          </cell>
          <cell r="G141">
            <v>6</v>
          </cell>
          <cell r="H141">
            <v>0</v>
          </cell>
          <cell r="I141">
            <v>0</v>
          </cell>
        </row>
        <row r="142">
          <cell r="B142" t="str">
            <v>RPO</v>
          </cell>
          <cell r="C142" t="str">
            <v>VB1342</v>
          </cell>
          <cell r="D142" t="str">
            <v>Sagar Chandani</v>
          </cell>
          <cell r="E142" t="str">
            <v>Ankit Pandey</v>
          </cell>
          <cell r="F142" t="str">
            <v>SagarC@vbeyond.com</v>
          </cell>
          <cell r="G142">
            <v>6</v>
          </cell>
          <cell r="H142">
            <v>2.66</v>
          </cell>
          <cell r="I142">
            <v>0.44333333333333336</v>
          </cell>
        </row>
        <row r="143">
          <cell r="B143" t="str">
            <v>RPO</v>
          </cell>
          <cell r="C143" t="str">
            <v>VB0989</v>
          </cell>
          <cell r="D143" t="str">
            <v>Priyanka Mishra</v>
          </cell>
          <cell r="E143" t="str">
            <v>Ankit Pandey</v>
          </cell>
          <cell r="F143" t="str">
            <v>PriyankaM@vbeyond.com</v>
          </cell>
          <cell r="G143">
            <v>6</v>
          </cell>
          <cell r="H143">
            <v>1</v>
          </cell>
          <cell r="I143">
            <v>0.16666666666666666</v>
          </cell>
        </row>
        <row r="144">
          <cell r="B144" t="str">
            <v>RPO</v>
          </cell>
          <cell r="C144" t="str">
            <v>VB0972</v>
          </cell>
          <cell r="D144" t="str">
            <v>Vanshika Srivastava</v>
          </cell>
          <cell r="E144" t="str">
            <v>Ankit Pandey</v>
          </cell>
          <cell r="F144" t="str">
            <v>VanshikaS@Vbeyond.com</v>
          </cell>
          <cell r="G144">
            <v>6</v>
          </cell>
          <cell r="H144">
            <v>2.66</v>
          </cell>
          <cell r="I144">
            <v>0.44333333333333336</v>
          </cell>
        </row>
        <row r="145">
          <cell r="B145" t="str">
            <v>RPO</v>
          </cell>
          <cell r="C145" t="str">
            <v>VB2082</v>
          </cell>
          <cell r="D145" t="str">
            <v>Aman Raj Ayubi</v>
          </cell>
          <cell r="E145" t="str">
            <v>Ankit Pandey</v>
          </cell>
          <cell r="F145" t="str">
            <v>AmanA@vbeyond.com</v>
          </cell>
          <cell r="G145">
            <v>6</v>
          </cell>
          <cell r="H145">
            <v>1</v>
          </cell>
          <cell r="I145">
            <v>0.16666666666666666</v>
          </cell>
        </row>
        <row r="146">
          <cell r="B146" t="str">
            <v>RPO</v>
          </cell>
          <cell r="C146" t="str">
            <v>VB1809</v>
          </cell>
          <cell r="D146" t="str">
            <v>Rishabh Singh RPO</v>
          </cell>
          <cell r="E146" t="str">
            <v>Ankit Pandey</v>
          </cell>
          <cell r="F146" t="str">
            <v>RishabhS2@Vbeyond.com</v>
          </cell>
          <cell r="G146">
            <v>6</v>
          </cell>
          <cell r="H146">
            <v>2</v>
          </cell>
          <cell r="I146">
            <v>0.33333333333333331</v>
          </cell>
        </row>
        <row r="147">
          <cell r="B147" t="str">
            <v>RPO</v>
          </cell>
          <cell r="C147" t="str">
            <v>VB0518</v>
          </cell>
          <cell r="D147" t="str">
            <v>Ankit Pandey</v>
          </cell>
          <cell r="E147" t="str">
            <v>Ankit Pandey</v>
          </cell>
          <cell r="F147" t="str">
            <v>AnkitP@Vbeyond.com</v>
          </cell>
          <cell r="G147">
            <v>3</v>
          </cell>
          <cell r="H147">
            <v>0.66</v>
          </cell>
          <cell r="I147">
            <v>0.22</v>
          </cell>
        </row>
        <row r="148">
          <cell r="B148" t="str">
            <v>RPO</v>
          </cell>
          <cell r="C148" t="str">
            <v>VB2362</v>
          </cell>
          <cell r="D148" t="str">
            <v>Ayush Chaturvedi</v>
          </cell>
          <cell r="E148" t="str">
            <v>Ankit Pandey</v>
          </cell>
          <cell r="F148" t="str">
            <v>AyushC1@vbeyond.com</v>
          </cell>
          <cell r="G148">
            <v>4</v>
          </cell>
          <cell r="H148">
            <v>0</v>
          </cell>
          <cell r="I148">
            <v>0</v>
          </cell>
        </row>
        <row r="149">
          <cell r="B149" t="str">
            <v>RPO</v>
          </cell>
          <cell r="C149" t="str">
            <v>VB2375</v>
          </cell>
          <cell r="D149" t="str">
            <v>Charanjeet Singh</v>
          </cell>
          <cell r="E149" t="str">
            <v>Ankit Pandey</v>
          </cell>
          <cell r="F149" t="str">
            <v>CharanjeetS@vbeyond.com</v>
          </cell>
          <cell r="G149">
            <v>3</v>
          </cell>
          <cell r="H149">
            <v>0</v>
          </cell>
          <cell r="I149">
            <v>0</v>
          </cell>
        </row>
        <row r="150">
          <cell r="D150" t="str">
            <v>Shivam Mishra</v>
          </cell>
          <cell r="G150">
            <v>3</v>
          </cell>
          <cell r="H150">
            <v>0</v>
          </cell>
          <cell r="I150">
            <v>0</v>
          </cell>
        </row>
        <row r="151">
          <cell r="B151" t="str">
            <v>Trust</v>
          </cell>
          <cell r="C151" t="str">
            <v>VB0916</v>
          </cell>
          <cell r="D151" t="str">
            <v>Harsh Agarwal</v>
          </cell>
          <cell r="E151" t="str">
            <v>Harsh Agarwal</v>
          </cell>
          <cell r="F151" t="str">
            <v>HarshA@Vbeyond.com</v>
          </cell>
          <cell r="G151">
            <v>0</v>
          </cell>
          <cell r="H151">
            <v>0</v>
          </cell>
          <cell r="I151">
            <v>0</v>
          </cell>
        </row>
        <row r="152">
          <cell r="B152" t="str">
            <v>Trust</v>
          </cell>
          <cell r="C152" t="str">
            <v>VB2361</v>
          </cell>
          <cell r="D152" t="str">
            <v>Utkarsh Misra</v>
          </cell>
          <cell r="E152" t="str">
            <v>Harsh Agarwal</v>
          </cell>
          <cell r="G152">
            <v>6</v>
          </cell>
          <cell r="H152">
            <v>1</v>
          </cell>
          <cell r="I152">
            <v>0.16666666666666666</v>
          </cell>
        </row>
        <row r="153">
          <cell r="B153" t="str">
            <v>Trust</v>
          </cell>
          <cell r="C153" t="str">
            <v>VB0957</v>
          </cell>
          <cell r="D153" t="str">
            <v>Rajat Arora</v>
          </cell>
          <cell r="E153" t="str">
            <v>Harsh Agarwal</v>
          </cell>
          <cell r="F153" t="str">
            <v>RajatA@Vbeyond.com</v>
          </cell>
          <cell r="G153">
            <v>7</v>
          </cell>
          <cell r="H153">
            <v>1</v>
          </cell>
          <cell r="I153">
            <v>0.14285714285714285</v>
          </cell>
        </row>
        <row r="154">
          <cell r="B154" t="str">
            <v>Trust</v>
          </cell>
          <cell r="C154" t="str">
            <v>VB0964</v>
          </cell>
          <cell r="D154" t="str">
            <v>Pushpendra Kumar</v>
          </cell>
          <cell r="E154" t="str">
            <v>Harsh Agarwal</v>
          </cell>
          <cell r="F154" t="str">
            <v>PushpendraK@Vbeyond.com</v>
          </cell>
          <cell r="G154">
            <v>6</v>
          </cell>
          <cell r="H154">
            <v>1</v>
          </cell>
          <cell r="I154">
            <v>0.16666666666666666</v>
          </cell>
        </row>
        <row r="155">
          <cell r="B155" t="str">
            <v>Trust</v>
          </cell>
          <cell r="C155" t="str">
            <v>VB1782</v>
          </cell>
          <cell r="D155" t="str">
            <v>Sana Zohra</v>
          </cell>
          <cell r="E155" t="str">
            <v>Harsh Agarwal</v>
          </cell>
          <cell r="F155" t="str">
            <v>SanaZ@vbeyond.com</v>
          </cell>
          <cell r="G155">
            <v>6</v>
          </cell>
          <cell r="H155">
            <v>1</v>
          </cell>
          <cell r="I155">
            <v>0.16666666666666666</v>
          </cell>
        </row>
        <row r="156">
          <cell r="B156" t="str">
            <v>Trust</v>
          </cell>
          <cell r="C156" t="str">
            <v>VB0694</v>
          </cell>
          <cell r="D156" t="str">
            <v>Harsh Shukla</v>
          </cell>
          <cell r="E156" t="str">
            <v>Harsh Agarwal</v>
          </cell>
          <cell r="F156" t="str">
            <v>HarshS1@vbeyond.com</v>
          </cell>
          <cell r="G156">
            <v>8</v>
          </cell>
          <cell r="H156">
            <v>1</v>
          </cell>
          <cell r="I156">
            <v>0.125</v>
          </cell>
        </row>
        <row r="157">
          <cell r="B157" t="str">
            <v>Trust</v>
          </cell>
          <cell r="C157" t="str">
            <v>VB1791</v>
          </cell>
          <cell r="D157" t="str">
            <v>Harsh Patel</v>
          </cell>
          <cell r="E157" t="str">
            <v>Harsh Agarwal</v>
          </cell>
          <cell r="F157" t="str">
            <v>HarshP@Vbeyond.com</v>
          </cell>
          <cell r="G157">
            <v>6</v>
          </cell>
          <cell r="H157">
            <v>0</v>
          </cell>
          <cell r="I157">
            <v>0</v>
          </cell>
        </row>
        <row r="158">
          <cell r="B158" t="str">
            <v>Trust</v>
          </cell>
          <cell r="C158" t="str">
            <v>VB1948</v>
          </cell>
          <cell r="D158" t="str">
            <v>Virendra Vikram Singh</v>
          </cell>
          <cell r="E158" t="str">
            <v>Harsh Agarwal</v>
          </cell>
          <cell r="F158" t="str">
            <v>VirendraS@vbeyond.com</v>
          </cell>
          <cell r="G158">
            <v>6</v>
          </cell>
          <cell r="H158">
            <v>4.5</v>
          </cell>
          <cell r="I158">
            <v>0.75</v>
          </cell>
        </row>
        <row r="159">
          <cell r="B159" t="str">
            <v>Trust</v>
          </cell>
          <cell r="C159" t="str">
            <v>VB1956</v>
          </cell>
          <cell r="D159" t="str">
            <v>Rishabh Kapoor</v>
          </cell>
          <cell r="E159" t="str">
            <v>Harsh Agarwal</v>
          </cell>
          <cell r="F159" t="str">
            <v>RishabhK1@vbeyond.com</v>
          </cell>
          <cell r="G159">
            <v>7</v>
          </cell>
          <cell r="H159">
            <v>0</v>
          </cell>
          <cell r="I159">
            <v>0</v>
          </cell>
        </row>
        <row r="160">
          <cell r="B160" t="str">
            <v>Trust</v>
          </cell>
          <cell r="C160" t="str">
            <v>VB1261</v>
          </cell>
          <cell r="D160" t="str">
            <v>Aarzoo Khan</v>
          </cell>
          <cell r="E160" t="str">
            <v>Harsh Agarwal</v>
          </cell>
          <cell r="F160" t="str">
            <v>AarzooK@vbeyond.com</v>
          </cell>
          <cell r="G160">
            <v>6</v>
          </cell>
          <cell r="H160">
            <v>2</v>
          </cell>
          <cell r="I160">
            <v>0.33333333333333331</v>
          </cell>
        </row>
        <row r="161">
          <cell r="B161" t="str">
            <v>Trust</v>
          </cell>
          <cell r="C161" t="str">
            <v>VB1914</v>
          </cell>
          <cell r="D161" t="str">
            <v>Neelendra Dwivedi</v>
          </cell>
          <cell r="E161" t="str">
            <v>Harsh Agarwal</v>
          </cell>
          <cell r="F161" t="str">
            <v>NeelendraD@Vbeyond.com</v>
          </cell>
          <cell r="G161">
            <v>6</v>
          </cell>
          <cell r="H161">
            <v>2</v>
          </cell>
          <cell r="I161">
            <v>0.33333333333333331</v>
          </cell>
        </row>
        <row r="162">
          <cell r="B162" t="str">
            <v>Trust</v>
          </cell>
          <cell r="C162" t="str">
            <v>VB1511</v>
          </cell>
          <cell r="D162" t="str">
            <v>Ashish Saxena</v>
          </cell>
          <cell r="E162" t="str">
            <v>Harsh Agarwal</v>
          </cell>
          <cell r="F162" t="str">
            <v>AshishS@vbeyond.com</v>
          </cell>
          <cell r="G162">
            <v>9</v>
          </cell>
          <cell r="H162">
            <v>0</v>
          </cell>
          <cell r="I162">
            <v>0</v>
          </cell>
        </row>
        <row r="163">
          <cell r="B163" t="str">
            <v>Trust</v>
          </cell>
          <cell r="C163" t="str">
            <v>VB2189</v>
          </cell>
          <cell r="D163" t="str">
            <v>Abhishek Singh</v>
          </cell>
          <cell r="E163" t="str">
            <v>Harsh Agarwal</v>
          </cell>
          <cell r="F163" t="str">
            <v>AbhishekS4@vbeyond.com</v>
          </cell>
          <cell r="G163">
            <v>5</v>
          </cell>
          <cell r="H163">
            <v>0</v>
          </cell>
          <cell r="I163">
            <v>0</v>
          </cell>
        </row>
        <row r="164">
          <cell r="B164" t="str">
            <v>Trust</v>
          </cell>
          <cell r="C164" t="str">
            <v>VB2286</v>
          </cell>
          <cell r="D164" t="str">
            <v>Anurag Srivastava</v>
          </cell>
          <cell r="E164" t="str">
            <v>Harsh Agarwal</v>
          </cell>
          <cell r="F164" t="str">
            <v>AnuragS2@vbeyond.com</v>
          </cell>
          <cell r="G164">
            <v>6</v>
          </cell>
          <cell r="H164">
            <v>0</v>
          </cell>
          <cell r="I164">
            <v>0</v>
          </cell>
        </row>
        <row r="165">
          <cell r="B165" t="str">
            <v>Trust</v>
          </cell>
          <cell r="C165" t="str">
            <v>VB2358</v>
          </cell>
          <cell r="D165" t="str">
            <v>Deepika Dua</v>
          </cell>
          <cell r="E165" t="str">
            <v>Harsh Agarwal</v>
          </cell>
          <cell r="F165" t="str">
            <v>DeepikaD@vbeyond.com</v>
          </cell>
          <cell r="G165">
            <v>6</v>
          </cell>
          <cell r="H165">
            <v>0</v>
          </cell>
          <cell r="I165">
            <v>0</v>
          </cell>
        </row>
        <row r="166">
          <cell r="B166" t="str">
            <v>Trust</v>
          </cell>
          <cell r="C166" t="str">
            <v>VB0458</v>
          </cell>
          <cell r="D166" t="str">
            <v>Shashank Yadav</v>
          </cell>
          <cell r="E166" t="str">
            <v>Shashank Yadav</v>
          </cell>
          <cell r="F166" t="str">
            <v>ShashankY@vbeyond.com</v>
          </cell>
          <cell r="G166">
            <v>0</v>
          </cell>
          <cell r="H166">
            <v>0</v>
          </cell>
          <cell r="I166">
            <v>0</v>
          </cell>
        </row>
        <row r="167">
          <cell r="B167" t="str">
            <v>Trust</v>
          </cell>
          <cell r="C167" t="str">
            <v>VB0863</v>
          </cell>
          <cell r="D167" t="str">
            <v>Astha Sharma</v>
          </cell>
          <cell r="E167" t="str">
            <v>Shashank Yadav</v>
          </cell>
          <cell r="F167" t="str">
            <v>AsthaS1@vbeyond.com</v>
          </cell>
          <cell r="G167">
            <v>7</v>
          </cell>
          <cell r="H167">
            <v>0</v>
          </cell>
          <cell r="I167">
            <v>0</v>
          </cell>
        </row>
        <row r="168">
          <cell r="B168" t="str">
            <v>Trust</v>
          </cell>
          <cell r="C168" t="str">
            <v>VB1645</v>
          </cell>
          <cell r="D168" t="str">
            <v>Vivek Mani Upadhyay</v>
          </cell>
          <cell r="E168" t="str">
            <v>Shashank Yadav</v>
          </cell>
          <cell r="F168" t="str">
            <v>VivekU@vbeyond.com</v>
          </cell>
          <cell r="G168">
            <v>7</v>
          </cell>
          <cell r="H168">
            <v>1</v>
          </cell>
          <cell r="I168">
            <v>0.14285714285714285</v>
          </cell>
        </row>
        <row r="169">
          <cell r="B169" t="str">
            <v>Trust</v>
          </cell>
          <cell r="C169" t="str">
            <v>VB2123</v>
          </cell>
          <cell r="D169" t="str">
            <v>Shubham Patel</v>
          </cell>
          <cell r="E169" t="str">
            <v>Shashank Yadav</v>
          </cell>
          <cell r="F169" t="str">
            <v>ShubhamP@vbeyond.com</v>
          </cell>
          <cell r="G169">
            <v>5</v>
          </cell>
          <cell r="H169">
            <v>0</v>
          </cell>
          <cell r="I169">
            <v>0</v>
          </cell>
        </row>
        <row r="170">
          <cell r="B170" t="str">
            <v>Trust</v>
          </cell>
          <cell r="C170" t="str">
            <v>VB2279</v>
          </cell>
          <cell r="D170" t="str">
            <v>Ritika Mishra</v>
          </cell>
          <cell r="E170" t="str">
            <v>Shashank Yadav</v>
          </cell>
          <cell r="F170" t="str">
            <v>RitikaM@vbeyond.com</v>
          </cell>
          <cell r="G170">
            <v>4</v>
          </cell>
          <cell r="H170">
            <v>0</v>
          </cell>
          <cell r="I170">
            <v>0</v>
          </cell>
        </row>
        <row r="171">
          <cell r="B171" t="str">
            <v>Trust</v>
          </cell>
          <cell r="C171" t="str">
            <v>VB2379</v>
          </cell>
          <cell r="D171" t="str">
            <v>Eshika Mishra</v>
          </cell>
          <cell r="E171" t="str">
            <v>Shashank Yadav</v>
          </cell>
          <cell r="F171" t="str">
            <v>EshikaM@vbeyond.com</v>
          </cell>
          <cell r="G171">
            <v>0</v>
          </cell>
          <cell r="H171">
            <v>0</v>
          </cell>
          <cell r="I171">
            <v>0</v>
          </cell>
        </row>
        <row r="172">
          <cell r="B172" t="str">
            <v>Trust</v>
          </cell>
          <cell r="C172" t="str">
            <v>VB2391</v>
          </cell>
          <cell r="D172" t="str">
            <v xml:space="preserve">Urvashi Mishra </v>
          </cell>
          <cell r="E172" t="str">
            <v>Shashank Yadav</v>
          </cell>
          <cell r="F172" t="str">
            <v>UrvashiM@vbeyond.com</v>
          </cell>
          <cell r="G172">
            <v>0</v>
          </cell>
          <cell r="H172">
            <v>0</v>
          </cell>
          <cell r="I172">
            <v>0</v>
          </cell>
        </row>
        <row r="173">
          <cell r="B173" t="str">
            <v>Trust</v>
          </cell>
          <cell r="C173" t="str">
            <v>VB2154</v>
          </cell>
          <cell r="D173" t="str">
            <v>Mohd Akbar</v>
          </cell>
          <cell r="E173" t="str">
            <v>Shashank Yadav</v>
          </cell>
          <cell r="F173" t="str">
            <v>MohdA4@vbeyond.com</v>
          </cell>
          <cell r="G173">
            <v>5</v>
          </cell>
          <cell r="H173">
            <v>1</v>
          </cell>
          <cell r="I173">
            <v>0.2</v>
          </cell>
        </row>
        <row r="174">
          <cell r="B174" t="str">
            <v>Trust</v>
          </cell>
          <cell r="C174" t="str">
            <v>VB0498</v>
          </cell>
          <cell r="D174" t="str">
            <v>Abhishek Verma</v>
          </cell>
          <cell r="E174" t="str">
            <v>Shashank Yadav</v>
          </cell>
          <cell r="F174" t="str">
            <v>AbhishekV@vbeyond.com</v>
          </cell>
          <cell r="G174">
            <v>6</v>
          </cell>
          <cell r="H174">
            <v>3</v>
          </cell>
          <cell r="I174">
            <v>0.5</v>
          </cell>
        </row>
        <row r="175">
          <cell r="B175" t="str">
            <v>Trust</v>
          </cell>
          <cell r="C175" t="str">
            <v>VB2199</v>
          </cell>
          <cell r="D175" t="str">
            <v>Aditi Singh</v>
          </cell>
          <cell r="E175" t="str">
            <v>Shashank Yadav</v>
          </cell>
          <cell r="F175" t="str">
            <v>AditiS1@vbeyond.com</v>
          </cell>
          <cell r="G175">
            <v>4</v>
          </cell>
          <cell r="H175">
            <v>1</v>
          </cell>
          <cell r="I175">
            <v>0.25</v>
          </cell>
        </row>
        <row r="176">
          <cell r="B176" t="str">
            <v>Trust</v>
          </cell>
          <cell r="C176" t="str">
            <v>VB0520</v>
          </cell>
          <cell r="D176" t="str">
            <v>Shivanshu Rastogi</v>
          </cell>
          <cell r="E176" t="str">
            <v>Shashank Yadav</v>
          </cell>
          <cell r="F176" t="str">
            <v>ShivanshuR@Vbeyond.com</v>
          </cell>
          <cell r="G176">
            <v>6</v>
          </cell>
          <cell r="H176">
            <v>2</v>
          </cell>
          <cell r="I176">
            <v>0.33333333333333331</v>
          </cell>
        </row>
        <row r="177">
          <cell r="B177" t="str">
            <v>Trust</v>
          </cell>
          <cell r="C177" t="str">
            <v>VB2243</v>
          </cell>
          <cell r="D177" t="str">
            <v>Vishwajeet Tiwari</v>
          </cell>
          <cell r="E177" t="str">
            <v>Shashank Yadav</v>
          </cell>
          <cell r="F177" t="str">
            <v>VishwajeetT@vbeyond.com</v>
          </cell>
          <cell r="G177">
            <v>6</v>
          </cell>
          <cell r="H177">
            <v>2</v>
          </cell>
          <cell r="I177">
            <v>0.33333333333333331</v>
          </cell>
        </row>
        <row r="178">
          <cell r="B178" t="str">
            <v>Trust</v>
          </cell>
          <cell r="C178" t="str">
            <v>VB2116</v>
          </cell>
          <cell r="D178" t="str">
            <v>Shubham Saini</v>
          </cell>
          <cell r="E178" t="str">
            <v>Canada</v>
          </cell>
          <cell r="F178" t="str">
            <v>ShubhamS3@vbeyond.com</v>
          </cell>
          <cell r="G178">
            <v>5</v>
          </cell>
          <cell r="H178">
            <v>1</v>
          </cell>
          <cell r="I178">
            <v>0.2</v>
          </cell>
        </row>
        <row r="179">
          <cell r="B179" t="str">
            <v>Trust</v>
          </cell>
          <cell r="C179" t="str">
            <v>VB1869</v>
          </cell>
          <cell r="D179" t="str">
            <v>Rahul Srivastava</v>
          </cell>
          <cell r="E179" t="str">
            <v>Canada</v>
          </cell>
          <cell r="F179" t="str">
            <v>RahulS@vbeyond.com</v>
          </cell>
          <cell r="G179">
            <v>5</v>
          </cell>
          <cell r="H179">
            <v>1</v>
          </cell>
          <cell r="I179">
            <v>0.2</v>
          </cell>
        </row>
        <row r="180">
          <cell r="B180" t="str">
            <v>Trust</v>
          </cell>
          <cell r="C180" t="str">
            <v>VB2280</v>
          </cell>
          <cell r="D180" t="str">
            <v>Sameer Dev</v>
          </cell>
          <cell r="E180" t="str">
            <v>Canada</v>
          </cell>
          <cell r="F180" t="str">
            <v>SameerD@vbeyond.com</v>
          </cell>
          <cell r="G180">
            <v>4</v>
          </cell>
          <cell r="H180">
            <v>0</v>
          </cell>
          <cell r="I180">
            <v>0</v>
          </cell>
        </row>
        <row r="181">
          <cell r="B181" t="str">
            <v>Trust</v>
          </cell>
          <cell r="C181" t="str">
            <v>VB2289</v>
          </cell>
          <cell r="D181" t="str">
            <v>Ritu Jaiswal</v>
          </cell>
          <cell r="E181" t="str">
            <v>Canada</v>
          </cell>
          <cell r="F181" t="str">
            <v>RituJ@vbeyond.com</v>
          </cell>
          <cell r="G181">
            <v>4</v>
          </cell>
          <cell r="H181">
            <v>1</v>
          </cell>
          <cell r="I181">
            <v>0.25</v>
          </cell>
        </row>
        <row r="182">
          <cell r="B182" t="str">
            <v>WWT</v>
          </cell>
          <cell r="C182" t="str">
            <v>VB0805</v>
          </cell>
          <cell r="D182" t="str">
            <v>Akash Saxena</v>
          </cell>
          <cell r="E182" t="str">
            <v>Akash Saxena</v>
          </cell>
          <cell r="F182" t="str">
            <v>AkashS@Vbeyond.com</v>
          </cell>
          <cell r="G182">
            <v>0</v>
          </cell>
          <cell r="H182">
            <v>0</v>
          </cell>
          <cell r="I182">
            <v>0</v>
          </cell>
        </row>
        <row r="183">
          <cell r="B183" t="str">
            <v>WWT</v>
          </cell>
          <cell r="C183" t="str">
            <v>VB1217</v>
          </cell>
          <cell r="D183" t="str">
            <v>Prashant Pal</v>
          </cell>
          <cell r="E183" t="str">
            <v>Akash Saxena</v>
          </cell>
          <cell r="F183" t="str">
            <v>PrashantP@vbeyond.com</v>
          </cell>
          <cell r="G183">
            <v>7</v>
          </cell>
          <cell r="H183">
            <v>2</v>
          </cell>
          <cell r="I183">
            <v>0.2857142857142857</v>
          </cell>
        </row>
        <row r="184">
          <cell r="B184" t="str">
            <v>WWT</v>
          </cell>
          <cell r="C184" t="str">
            <v>VB2245</v>
          </cell>
          <cell r="D184" t="str">
            <v>Hema</v>
          </cell>
          <cell r="E184" t="str">
            <v>Akash Saxena</v>
          </cell>
          <cell r="F184" t="str">
            <v>Hema@vbeyond.com</v>
          </cell>
          <cell r="G184">
            <v>6</v>
          </cell>
          <cell r="H184">
            <v>3</v>
          </cell>
          <cell r="I184">
            <v>0.5</v>
          </cell>
        </row>
        <row r="185">
          <cell r="B185" t="str">
            <v>WWT</v>
          </cell>
          <cell r="C185" t="str">
            <v>VB2165</v>
          </cell>
          <cell r="D185" t="str">
            <v>Sneha Singh</v>
          </cell>
          <cell r="E185" t="str">
            <v>Akash Saxena</v>
          </cell>
          <cell r="F185" t="str">
            <v>SnehaS@vbeyond.com</v>
          </cell>
          <cell r="G185">
            <v>8</v>
          </cell>
          <cell r="H185">
            <v>2</v>
          </cell>
          <cell r="I185">
            <v>0.25</v>
          </cell>
        </row>
        <row r="186">
          <cell r="B186" t="str">
            <v>WWT</v>
          </cell>
          <cell r="C186" t="str">
            <v>VB2293</v>
          </cell>
          <cell r="D186" t="str">
            <v>Yashika Duggal</v>
          </cell>
          <cell r="E186" t="str">
            <v>Akash Saxena</v>
          </cell>
          <cell r="F186" t="str">
            <v>YashikaD@vbeyond.com</v>
          </cell>
          <cell r="G186">
            <v>3</v>
          </cell>
          <cell r="H186">
            <v>0</v>
          </cell>
          <cell r="I186">
            <v>0</v>
          </cell>
        </row>
        <row r="187">
          <cell r="B187" t="str">
            <v>WWT</v>
          </cell>
          <cell r="C187" t="str">
            <v>VB2366</v>
          </cell>
          <cell r="D187" t="str">
            <v>Abhineet Tiwari</v>
          </cell>
          <cell r="E187" t="str">
            <v>Akash Saxena</v>
          </cell>
          <cell r="F187" t="str">
            <v>Abhineet@vbeyond.com</v>
          </cell>
          <cell r="G187">
            <v>4</v>
          </cell>
          <cell r="H187">
            <v>0</v>
          </cell>
          <cell r="I187">
            <v>0</v>
          </cell>
        </row>
        <row r="188">
          <cell r="B188" t="str">
            <v>WWT</v>
          </cell>
          <cell r="C188" t="str">
            <v>VB1271</v>
          </cell>
          <cell r="D188" t="str">
            <v>Hemant Kumar</v>
          </cell>
          <cell r="E188" t="str">
            <v>Akash Saxena</v>
          </cell>
          <cell r="F188" t="str">
            <v>HemantK@vbeyond.com</v>
          </cell>
          <cell r="G188">
            <v>5</v>
          </cell>
          <cell r="H188">
            <v>4</v>
          </cell>
          <cell r="I188">
            <v>0.8</v>
          </cell>
        </row>
        <row r="189">
          <cell r="B189" t="str">
            <v>WWT</v>
          </cell>
          <cell r="C189" t="str">
            <v>VB1939</v>
          </cell>
          <cell r="D189" t="str">
            <v>Kartik Parashar</v>
          </cell>
          <cell r="E189" t="str">
            <v>Akash Saxena</v>
          </cell>
          <cell r="F189" t="str">
            <v>KartikP@vbeyond.com</v>
          </cell>
          <cell r="G189">
            <v>7</v>
          </cell>
          <cell r="H189">
            <v>1</v>
          </cell>
          <cell r="I189">
            <v>0.14285714285714285</v>
          </cell>
        </row>
        <row r="190">
          <cell r="B190" t="str">
            <v>WWT</v>
          </cell>
          <cell r="C190" t="str">
            <v>VB0749</v>
          </cell>
          <cell r="D190" t="str">
            <v>Abdul Rahman</v>
          </cell>
          <cell r="E190" t="str">
            <v>Abdul Rahman</v>
          </cell>
          <cell r="F190" t="str">
            <v>AbdulR@VBeyond.com</v>
          </cell>
          <cell r="G190">
            <v>0</v>
          </cell>
          <cell r="H190">
            <v>0</v>
          </cell>
          <cell r="I190">
            <v>0</v>
          </cell>
        </row>
        <row r="191">
          <cell r="B191" t="str">
            <v>WWT</v>
          </cell>
          <cell r="C191" t="str">
            <v>VB1699</v>
          </cell>
          <cell r="D191" t="str">
            <v>Mohd Ateeq</v>
          </cell>
          <cell r="E191" t="str">
            <v>Abdul Rahman</v>
          </cell>
          <cell r="F191" t="str">
            <v>MohdA@vbeyond.com</v>
          </cell>
          <cell r="G191">
            <v>7</v>
          </cell>
          <cell r="H191">
            <v>4</v>
          </cell>
          <cell r="I191">
            <v>0.5714285714285714</v>
          </cell>
        </row>
        <row r="192">
          <cell r="B192" t="str">
            <v>WWT</v>
          </cell>
          <cell r="C192" t="str">
            <v>VB2138</v>
          </cell>
          <cell r="D192" t="str">
            <v>Suraj Suman</v>
          </cell>
          <cell r="E192" t="str">
            <v>Abdul Rahman</v>
          </cell>
          <cell r="F192" t="str">
            <v>SurajS@vbeyond.com</v>
          </cell>
          <cell r="G192">
            <v>6</v>
          </cell>
          <cell r="H192">
            <v>1</v>
          </cell>
          <cell r="I192">
            <v>0.16666666666666666</v>
          </cell>
        </row>
        <row r="193">
          <cell r="B193" t="str">
            <v>WWT</v>
          </cell>
          <cell r="C193" t="str">
            <v>VB2285</v>
          </cell>
          <cell r="D193" t="str">
            <v>Mohd Junaid</v>
          </cell>
          <cell r="E193" t="str">
            <v>Abdul Rahman</v>
          </cell>
          <cell r="F193" t="str">
            <v>Junaid@vbeyond.com</v>
          </cell>
          <cell r="G193">
            <v>5</v>
          </cell>
          <cell r="H193">
            <v>0</v>
          </cell>
          <cell r="I193">
            <v>0</v>
          </cell>
        </row>
        <row r="194">
          <cell r="B194" t="str">
            <v>WWT</v>
          </cell>
          <cell r="C194" t="str">
            <v>VB2188</v>
          </cell>
          <cell r="D194" t="str">
            <v>Vishali Kundal</v>
          </cell>
          <cell r="E194" t="str">
            <v>Abdul Rahman</v>
          </cell>
          <cell r="F194" t="str">
            <v>VishaliK@vbeyond.com</v>
          </cell>
          <cell r="G194">
            <v>4</v>
          </cell>
          <cell r="H194">
            <v>0</v>
          </cell>
          <cell r="I194">
            <v>0</v>
          </cell>
        </row>
        <row r="195">
          <cell r="B195" t="str">
            <v>WWT</v>
          </cell>
          <cell r="C195" t="str">
            <v>VB2211</v>
          </cell>
          <cell r="D195" t="str">
            <v>Avinay Shrivastav</v>
          </cell>
          <cell r="E195" t="str">
            <v>Abdul Rahman</v>
          </cell>
          <cell r="F195" t="str">
            <v>AvinayS@vbeyond.com</v>
          </cell>
          <cell r="G195">
            <v>6</v>
          </cell>
          <cell r="H195">
            <v>2</v>
          </cell>
          <cell r="I195">
            <v>0.33333333333333331</v>
          </cell>
        </row>
        <row r="196">
          <cell r="B196" t="str">
            <v>WWT</v>
          </cell>
          <cell r="C196" t="str">
            <v>VB2335</v>
          </cell>
          <cell r="D196" t="str">
            <v>Mohd Azhar</v>
          </cell>
          <cell r="E196" t="str">
            <v>Abdul Rahman</v>
          </cell>
          <cell r="F196" t="str">
            <v>MohdA5@vbeyond.com</v>
          </cell>
          <cell r="G196">
            <v>6</v>
          </cell>
          <cell r="H196">
            <v>0</v>
          </cell>
          <cell r="I196">
            <v>0</v>
          </cell>
        </row>
        <row r="197">
          <cell r="B197" t="str">
            <v>WWH</v>
          </cell>
          <cell r="C197" t="str">
            <v>VB0441</v>
          </cell>
          <cell r="D197" t="str">
            <v>Abhishek Singh</v>
          </cell>
          <cell r="E197" t="str">
            <v>Abhishek Singh</v>
          </cell>
          <cell r="F197" t="str">
            <v>AbhishekS2@VBeyondHealthcare.com</v>
          </cell>
          <cell r="G197">
            <v>5</v>
          </cell>
          <cell r="H197">
            <v>0</v>
          </cell>
          <cell r="I197">
            <v>0</v>
          </cell>
        </row>
        <row r="198">
          <cell r="B198" t="str">
            <v>WWH</v>
          </cell>
          <cell r="C198" t="str">
            <v>VB1772</v>
          </cell>
          <cell r="D198" t="str">
            <v>Tushar Mishra</v>
          </cell>
          <cell r="E198" t="str">
            <v>Abhishek Singh</v>
          </cell>
          <cell r="F198" t="str">
            <v>Theom@VBeyondHealthcare.com</v>
          </cell>
          <cell r="G198">
            <v>33000</v>
          </cell>
          <cell r="H198">
            <v>18043.796900000001</v>
          </cell>
          <cell r="I198">
            <v>0.54678172424242433</v>
          </cell>
        </row>
        <row r="199">
          <cell r="B199" t="str">
            <v>WWH</v>
          </cell>
          <cell r="C199" t="str">
            <v>VB1895</v>
          </cell>
          <cell r="D199" t="str">
            <v>Abhinesh Yadav</v>
          </cell>
          <cell r="E199" t="str">
            <v>Abhishek Singh</v>
          </cell>
          <cell r="F199" t="str">
            <v>Albert@VBeyondHealthcare.com</v>
          </cell>
          <cell r="G199">
            <v>36000</v>
          </cell>
          <cell r="H199">
            <v>45813.281864999997</v>
          </cell>
          <cell r="I199">
            <v>1.2725911629166666</v>
          </cell>
        </row>
        <row r="200">
          <cell r="B200" t="str">
            <v>WWH</v>
          </cell>
          <cell r="C200" t="str">
            <v>VB2032</v>
          </cell>
          <cell r="D200" t="str">
            <v>Anuj Kumar</v>
          </cell>
          <cell r="E200" t="str">
            <v>Abhishek Singh</v>
          </cell>
          <cell r="F200" t="str">
            <v>David@VBeyondHealthcare.com</v>
          </cell>
          <cell r="G200">
            <v>33000</v>
          </cell>
          <cell r="H200">
            <v>1879.46</v>
          </cell>
          <cell r="I200">
            <v>5.6953333333333335E-2</v>
          </cell>
        </row>
        <row r="201">
          <cell r="B201" t="str">
            <v>WWH</v>
          </cell>
          <cell r="C201" t="str">
            <v>VB1901</v>
          </cell>
          <cell r="D201" t="str">
            <v>Vishal Jaiswal</v>
          </cell>
          <cell r="E201" t="str">
            <v>Abhishek Singh</v>
          </cell>
          <cell r="F201" t="str">
            <v>Victor@VBeyondHealthcare.com</v>
          </cell>
          <cell r="G201">
            <v>36000</v>
          </cell>
          <cell r="H201">
            <v>1496.8558000000016</v>
          </cell>
          <cell r="I201">
            <v>4.1579327777777821E-2</v>
          </cell>
        </row>
        <row r="202">
          <cell r="B202" t="str">
            <v>WWH</v>
          </cell>
          <cell r="C202" t="str">
            <v>VB2060</v>
          </cell>
          <cell r="D202" t="str">
            <v>Sachin Singh</v>
          </cell>
          <cell r="E202" t="str">
            <v>Abhishek Singh</v>
          </cell>
          <cell r="F202" t="str">
            <v>SachinS@VBeyondHealthcare.com</v>
          </cell>
          <cell r="G202">
            <v>27000</v>
          </cell>
          <cell r="H202">
            <v>13827</v>
          </cell>
          <cell r="I202">
            <v>0.51211111111111107</v>
          </cell>
        </row>
        <row r="203">
          <cell r="B203" t="str">
            <v>WWH</v>
          </cell>
          <cell r="C203" t="str">
            <v>VB2142</v>
          </cell>
          <cell r="D203" t="str">
            <v>Aman Singh</v>
          </cell>
          <cell r="E203" t="str">
            <v>Abhishek Singh</v>
          </cell>
          <cell r="F203" t="str">
            <v>amans2@vbeyondhealthcare.com</v>
          </cell>
          <cell r="G203">
            <v>42000</v>
          </cell>
          <cell r="H203">
            <v>12753.673750000002</v>
          </cell>
          <cell r="I203">
            <v>0.30365889880952385</v>
          </cell>
        </row>
        <row r="204">
          <cell r="B204" t="str">
            <v>WWH</v>
          </cell>
          <cell r="C204" t="str">
            <v>VB2319</v>
          </cell>
          <cell r="D204" t="str">
            <v>Vinayak Srivastava</v>
          </cell>
          <cell r="E204" t="str">
            <v>Abhishek Singh</v>
          </cell>
          <cell r="F204" t="str">
            <v>William@VBeyondHealthcare.com</v>
          </cell>
          <cell r="G204">
            <v>15000</v>
          </cell>
          <cell r="H204">
            <v>0</v>
          </cell>
          <cell r="I204">
            <v>0</v>
          </cell>
        </row>
        <row r="205">
          <cell r="B205" t="str">
            <v>WWH</v>
          </cell>
          <cell r="C205" t="str">
            <v>VB2333</v>
          </cell>
          <cell r="D205" t="str">
            <v>Nikki Yadav</v>
          </cell>
          <cell r="E205" t="str">
            <v>Abhishek Singh</v>
          </cell>
          <cell r="F205" t="str">
            <v>NikkiY@vbeyond.com</v>
          </cell>
          <cell r="G205">
            <v>32000</v>
          </cell>
          <cell r="H205">
            <v>0</v>
          </cell>
          <cell r="I205">
            <v>0</v>
          </cell>
        </row>
        <row r="206">
          <cell r="B206" t="str">
            <v>WWH</v>
          </cell>
          <cell r="C206" t="str">
            <v>VB2334</v>
          </cell>
          <cell r="D206" t="str">
            <v>Mohammad Taha Khan</v>
          </cell>
          <cell r="E206" t="str">
            <v>Abhishek Singh</v>
          </cell>
          <cell r="F206" t="str">
            <v>TahaK@Vbeyond.com</v>
          </cell>
          <cell r="G206">
            <v>32000</v>
          </cell>
          <cell r="H206">
            <v>0</v>
          </cell>
          <cell r="I206">
            <v>0</v>
          </cell>
        </row>
        <row r="207">
          <cell r="B207" t="str">
            <v>WWH</v>
          </cell>
          <cell r="C207" t="str">
            <v>VB0345</v>
          </cell>
          <cell r="D207" t="str">
            <v>Ranveer Kumar</v>
          </cell>
          <cell r="E207" t="str">
            <v>Ranveer Kumar</v>
          </cell>
          <cell r="F207" t="str">
            <v>RayK@VBeyondHealthcare.com</v>
          </cell>
          <cell r="G207">
            <v>0</v>
          </cell>
          <cell r="H207">
            <v>0</v>
          </cell>
          <cell r="I207">
            <v>0</v>
          </cell>
        </row>
        <row r="208">
          <cell r="B208" t="str">
            <v>WWH</v>
          </cell>
          <cell r="C208" t="str">
            <v>VB0330</v>
          </cell>
          <cell r="D208" t="str">
            <v>Uttam Chandra</v>
          </cell>
          <cell r="E208" t="str">
            <v>Ranveer Kumar</v>
          </cell>
          <cell r="F208" t="str">
            <v>UzielS@VBeyondHealthcare.com</v>
          </cell>
          <cell r="G208">
            <v>51000</v>
          </cell>
          <cell r="H208">
            <v>999.65624999999909</v>
          </cell>
          <cell r="I208">
            <v>1.9601102941176451E-2</v>
          </cell>
        </row>
        <row r="209">
          <cell r="B209" t="str">
            <v>WWH</v>
          </cell>
          <cell r="C209" t="str">
            <v>VB2190</v>
          </cell>
          <cell r="D209" t="str">
            <v>Aviral Sachan</v>
          </cell>
          <cell r="E209" t="str">
            <v>Ranveer Kumar</v>
          </cell>
          <cell r="F209" t="str">
            <v>NickA@VBeyondHealthcare.com</v>
          </cell>
          <cell r="G209">
            <v>36000</v>
          </cell>
          <cell r="H209">
            <v>0</v>
          </cell>
          <cell r="I209">
            <v>0</v>
          </cell>
        </row>
        <row r="210">
          <cell r="B210" t="str">
            <v>WWH</v>
          </cell>
          <cell r="C210" t="str">
            <v>VB2303</v>
          </cell>
          <cell r="D210" t="str">
            <v>Raj Pratap Singh Rathore</v>
          </cell>
          <cell r="E210" t="str">
            <v>Ranveer Kumar</v>
          </cell>
          <cell r="F210" t="str">
            <v>RajR@VBeyondHealthcare.com</v>
          </cell>
          <cell r="G210">
            <v>36000</v>
          </cell>
          <cell r="H210">
            <v>1</v>
          </cell>
          <cell r="I210">
            <v>2.7777777777777779E-5</v>
          </cell>
        </row>
        <row r="211">
          <cell r="B211" t="str">
            <v>WWH</v>
          </cell>
          <cell r="C211" t="str">
            <v>VB1803</v>
          </cell>
          <cell r="D211" t="str">
            <v>Ananya Agarwal</v>
          </cell>
          <cell r="E211" t="str">
            <v>Ranveer Kumar</v>
          </cell>
          <cell r="F211" t="str">
            <v>Anna@VBeyondHealthcare.com</v>
          </cell>
          <cell r="G211">
            <v>27000</v>
          </cell>
          <cell r="H211">
            <v>1</v>
          </cell>
          <cell r="I211">
            <v>3.7037037037037037E-5</v>
          </cell>
        </row>
        <row r="212">
          <cell r="B212" t="str">
            <v>WWH</v>
          </cell>
          <cell r="C212" t="str">
            <v>VB2125</v>
          </cell>
          <cell r="D212" t="str">
            <v>Tushar Sarkar</v>
          </cell>
          <cell r="E212" t="str">
            <v>Ranveer Kumar</v>
          </cell>
          <cell r="F212" t="str">
            <v>Thomas@VBeyondHealthcare.com</v>
          </cell>
          <cell r="G212">
            <v>21000</v>
          </cell>
          <cell r="H212">
            <v>-825.52950999999894</v>
          </cell>
          <cell r="I212">
            <v>-3.9310929047619E-2</v>
          </cell>
        </row>
        <row r="213">
          <cell r="B213" t="str">
            <v>WWH</v>
          </cell>
          <cell r="C213" t="str">
            <v>VB2266</v>
          </cell>
          <cell r="D213" t="str">
            <v>Anurag Tripathi</v>
          </cell>
          <cell r="E213" t="str">
            <v>Ranveer Kumar</v>
          </cell>
          <cell r="F213" t="str">
            <v>AnuragT1@VBeyondHealthcare.com</v>
          </cell>
          <cell r="G213">
            <v>27000</v>
          </cell>
          <cell r="H213">
            <v>0</v>
          </cell>
          <cell r="I213">
            <v>0</v>
          </cell>
        </row>
        <row r="214">
          <cell r="B214" t="str">
            <v>WWH</v>
          </cell>
          <cell r="C214" t="str">
            <v>VB2290</v>
          </cell>
          <cell r="D214" t="str">
            <v>Saif Khan</v>
          </cell>
          <cell r="E214" t="str">
            <v>Ranveer Kumar</v>
          </cell>
          <cell r="F214" t="str">
            <v>SaifK1@VBeyondHealthcare.com</v>
          </cell>
          <cell r="G214">
            <v>15000</v>
          </cell>
          <cell r="H214">
            <v>0</v>
          </cell>
          <cell r="I214">
            <v>0</v>
          </cell>
        </row>
        <row r="215">
          <cell r="B215" t="str">
            <v>WWH</v>
          </cell>
          <cell r="C215" t="str">
            <v>VB2301</v>
          </cell>
          <cell r="D215" t="str">
            <v>Aysha Nafasat</v>
          </cell>
          <cell r="E215" t="str">
            <v>Ranveer Kumar</v>
          </cell>
          <cell r="F215" t="str">
            <v>AyshaN@VBeyondHealthcare.com</v>
          </cell>
          <cell r="G215">
            <v>12000</v>
          </cell>
          <cell r="H215">
            <v>0</v>
          </cell>
          <cell r="I215">
            <v>0</v>
          </cell>
        </row>
        <row r="216">
          <cell r="B216" t="str">
            <v>WWH</v>
          </cell>
          <cell r="C216" t="str">
            <v>VB2215</v>
          </cell>
          <cell r="D216" t="str">
            <v>Tanushka Tiwari</v>
          </cell>
          <cell r="E216" t="str">
            <v>Ranveer Kumar</v>
          </cell>
          <cell r="F216" t="str">
            <v>TanushkaT@VBeyondHealthcare.com</v>
          </cell>
          <cell r="G216">
            <v>42000</v>
          </cell>
          <cell r="H216">
            <v>0</v>
          </cell>
          <cell r="I216">
            <v>0</v>
          </cell>
        </row>
        <row r="217">
          <cell r="B217" t="str">
            <v>WWH</v>
          </cell>
          <cell r="C217" t="str">
            <v>VB1768</v>
          </cell>
          <cell r="D217" t="str">
            <v>Shailesh Sharma</v>
          </cell>
          <cell r="E217" t="str">
            <v>Shailesh Sharma</v>
          </cell>
          <cell r="F217" t="str">
            <v>sam.s@vbeyondhealthcare.com</v>
          </cell>
          <cell r="G217">
            <v>0</v>
          </cell>
          <cell r="H217">
            <v>0</v>
          </cell>
          <cell r="I217">
            <v>0</v>
          </cell>
        </row>
        <row r="218">
          <cell r="B218" t="str">
            <v>WWH</v>
          </cell>
          <cell r="C218" t="str">
            <v xml:space="preserve">VB1742 </v>
          </cell>
          <cell r="D218" t="str">
            <v>Anjali Sah (Annie)</v>
          </cell>
          <cell r="E218" t="str">
            <v>Shailesh Sharma</v>
          </cell>
          <cell r="F218" t="str">
            <v>Annie@VBeyondHealthcare.com</v>
          </cell>
          <cell r="G218">
            <v>30000</v>
          </cell>
          <cell r="H218">
            <v>20010.5</v>
          </cell>
          <cell r="I218">
            <v>0.6670166666666667</v>
          </cell>
        </row>
        <row r="219">
          <cell r="B219" t="str">
            <v>WWH</v>
          </cell>
          <cell r="C219" t="str">
            <v>VB1876</v>
          </cell>
          <cell r="D219" t="str">
            <v>Shivam Chaurasia (Samson)</v>
          </cell>
          <cell r="E219" t="str">
            <v>Shailesh Sharma</v>
          </cell>
          <cell r="F219" t="str">
            <v>Samson@VBeyondHealthcare.com</v>
          </cell>
          <cell r="G219">
            <v>28000</v>
          </cell>
          <cell r="H219">
            <v>1397.7690999999977</v>
          </cell>
          <cell r="I219">
            <v>4.9920324999999918E-2</v>
          </cell>
        </row>
        <row r="220">
          <cell r="B220" t="str">
            <v>WWH</v>
          </cell>
          <cell r="C220" t="str">
            <v>VB1885</v>
          </cell>
          <cell r="D220" t="str">
            <v>Mohini Chand</v>
          </cell>
          <cell r="E220" t="str">
            <v>Shailesh Sharma</v>
          </cell>
          <cell r="F220" t="str">
            <v>MohiniC@VBeyondHealthcare.com</v>
          </cell>
          <cell r="G220">
            <v>28000</v>
          </cell>
          <cell r="H220">
            <v>2940.5669999999918</v>
          </cell>
          <cell r="I220">
            <v>0.1050202499999997</v>
          </cell>
        </row>
        <row r="221">
          <cell r="B221" t="str">
            <v>WWH</v>
          </cell>
          <cell r="C221" t="str">
            <v>VB2205</v>
          </cell>
          <cell r="D221" t="str">
            <v>Falguni Srivastava (Faith)</v>
          </cell>
          <cell r="E221" t="str">
            <v>Shailesh Sharma</v>
          </cell>
          <cell r="F221" t="str">
            <v>Faith@VBeyondHealthcare.com</v>
          </cell>
          <cell r="G221">
            <v>22000</v>
          </cell>
          <cell r="H221">
            <v>0</v>
          </cell>
          <cell r="I221">
            <v>0</v>
          </cell>
        </row>
        <row r="222">
          <cell r="B222" t="str">
            <v>WWH</v>
          </cell>
          <cell r="C222" t="str">
            <v>VB2230</v>
          </cell>
          <cell r="D222" t="str">
            <v>Ashish Mishra (Asher)</v>
          </cell>
          <cell r="E222" t="str">
            <v>Shailesh Sharma</v>
          </cell>
          <cell r="F222" t="str">
            <v>Asher@VBeyondHealthcare.com</v>
          </cell>
          <cell r="G222">
            <v>35000</v>
          </cell>
          <cell r="H222">
            <v>1</v>
          </cell>
          <cell r="I222">
            <v>2.8571428571428571E-5</v>
          </cell>
        </row>
        <row r="223">
          <cell r="B223" t="str">
            <v>WWH</v>
          </cell>
          <cell r="C223" t="str">
            <v>VB2268</v>
          </cell>
          <cell r="D223" t="str">
            <v>Ajay Chandra Dalakoti (AJ)</v>
          </cell>
          <cell r="E223" t="str">
            <v>Shailesh Sharma</v>
          </cell>
          <cell r="F223" t="str">
            <v>AJ@VBeyondHealthcare.com</v>
          </cell>
          <cell r="G223">
            <v>28000</v>
          </cell>
          <cell r="H223">
            <v>10079.854499999999</v>
          </cell>
          <cell r="I223">
            <v>0.35999480357142855</v>
          </cell>
        </row>
        <row r="224">
          <cell r="B224" t="str">
            <v>WWH</v>
          </cell>
          <cell r="C224" t="str">
            <v>VB2276</v>
          </cell>
          <cell r="D224" t="str">
            <v>Banpreet Kaur (Bani)</v>
          </cell>
          <cell r="E224" t="str">
            <v>Shailesh Sharma</v>
          </cell>
          <cell r="F224" t="str">
            <v>Bani@VBeyondHealthcare.com</v>
          </cell>
          <cell r="G224">
            <v>28000</v>
          </cell>
          <cell r="H224">
            <v>12790.817500000005</v>
          </cell>
          <cell r="I224">
            <v>0.45681491071428587</v>
          </cell>
        </row>
        <row r="225">
          <cell r="B225" t="str">
            <v>WWH</v>
          </cell>
        </row>
        <row r="226">
          <cell r="B226" t="str">
            <v>WWH</v>
          </cell>
        </row>
        <row r="227">
          <cell r="B227" t="str">
            <v>WWH</v>
          </cell>
        </row>
        <row r="228">
          <cell r="B228" t="str">
            <v>WWH</v>
          </cell>
        </row>
        <row r="229">
          <cell r="B229" t="str">
            <v>WWH</v>
          </cell>
        </row>
        <row r="230">
          <cell r="B230" t="str">
            <v>WWH</v>
          </cell>
        </row>
      </sheetData>
      <sheetData sheetId="25"/>
      <sheetData sheetId="26"/>
      <sheetData sheetId="27"/>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3890C-2A87-46EB-84E3-F8B5F958D581}">
  <sheetPr>
    <tabColor rgb="FF92D050"/>
  </sheetPr>
  <dimension ref="A1:O936"/>
  <sheetViews>
    <sheetView showGridLines="0" tabSelected="1" zoomScale="80" zoomScaleNormal="80" workbookViewId="0">
      <selection activeCell="C924" sqref="C924"/>
    </sheetView>
  </sheetViews>
  <sheetFormatPr defaultColWidth="14.6640625" defaultRowHeight="14.4" x14ac:dyDescent="0.3"/>
  <cols>
    <col min="1" max="1" width="24.88671875" style="4" bestFit="1" customWidth="1"/>
    <col min="2" max="2" width="36" style="4" bestFit="1" customWidth="1"/>
    <col min="3" max="3" width="24.88671875" style="4" bestFit="1" customWidth="1"/>
    <col min="4" max="4" width="16.109375" style="4" bestFit="1" customWidth="1"/>
    <col min="5" max="5" width="16.88671875" style="4" customWidth="1"/>
    <col min="6" max="6" width="24.33203125" style="4" bestFit="1" customWidth="1"/>
    <col min="7" max="7" width="17.109375" style="4" bestFit="1" customWidth="1"/>
    <col min="8" max="8" width="15.77734375" style="4" bestFit="1" customWidth="1"/>
    <col min="9" max="9" width="12.88671875" style="4" bestFit="1" customWidth="1"/>
    <col min="10" max="10" width="11.109375" style="4" bestFit="1" customWidth="1"/>
    <col min="11" max="11" width="13.88671875" style="4" bestFit="1" customWidth="1"/>
    <col min="12" max="12" width="13.77734375" style="4" bestFit="1" customWidth="1"/>
    <col min="13" max="13" width="12.44140625" style="4" bestFit="1" customWidth="1"/>
    <col min="14" max="14" width="9.5546875" style="4" bestFit="1" customWidth="1"/>
    <col min="15" max="15" width="13.33203125" style="4" bestFit="1" customWidth="1"/>
    <col min="16" max="16384" width="14.6640625" style="4"/>
  </cols>
  <sheetData>
    <row r="1" spans="1:15" ht="43.2" x14ac:dyDescent="0.3">
      <c r="A1" s="1" t="s">
        <v>0</v>
      </c>
      <c r="B1" s="1" t="s">
        <v>1</v>
      </c>
      <c r="C1" s="1" t="s">
        <v>2</v>
      </c>
      <c r="D1" s="1" t="s">
        <v>3</v>
      </c>
      <c r="E1" s="1" t="s">
        <v>4</v>
      </c>
      <c r="F1" s="1" t="s">
        <v>5</v>
      </c>
      <c r="G1" s="1" t="s">
        <v>6</v>
      </c>
      <c r="H1" s="1" t="s">
        <v>7</v>
      </c>
      <c r="I1" s="1" t="s">
        <v>8</v>
      </c>
      <c r="J1" s="1" t="s">
        <v>9</v>
      </c>
      <c r="K1" s="2" t="s">
        <v>10</v>
      </c>
      <c r="L1" s="2" t="s">
        <v>11</v>
      </c>
      <c r="M1" s="3"/>
      <c r="N1" s="3"/>
    </row>
    <row r="2" spans="1:15" x14ac:dyDescent="0.3">
      <c r="A2" s="5" t="s">
        <v>12</v>
      </c>
      <c r="B2" s="4" t="str">
        <f>_xlfn.XLOOKUP($C2,'[1]Basic EMP Data - 2026'!$D$3:$D$224,'[1]Basic EMP Data - 2026'!$C$3:$C$224)</f>
        <v>VB1372</v>
      </c>
      <c r="C2" s="6" t="s">
        <v>13</v>
      </c>
      <c r="D2" s="5" t="str">
        <f>VLOOKUP($B2,'[1]Basic EMP Data - 2026'!$C$3:$F$224,3,0)</f>
        <v>Rohit Gupta</v>
      </c>
      <c r="E2" s="5">
        <f>VLOOKUP($B2,'[1]Basic EMP Data - 2026'!$C$3:$I$224,5,0)</f>
        <v>6</v>
      </c>
      <c r="F2" s="5">
        <f>VLOOKUP($B2,'[1]Basic EMP Data - 2026'!$C$3:$I$224,6,0)</f>
        <v>2</v>
      </c>
      <c r="G2" s="7">
        <f>F2/E2</f>
        <v>0.33333333333333331</v>
      </c>
      <c r="H2" s="8">
        <f>SUM(L4:L22)</f>
        <v>3204.6735000000008</v>
      </c>
      <c r="I2" s="9" cm="1">
        <f t="array" ref="I2">_xlfn.IFS($G2&lt;=34%,0%,$G2&lt;=75%,3%,$G2&lt;=120%,4%,$G2&gt;120%,5%)</f>
        <v>0</v>
      </c>
      <c r="J2" s="8" cm="1">
        <f t="array" ref="J2">SUMPRODUCT((C4:C22=2026)*M4:M22*2)</f>
        <v>0</v>
      </c>
      <c r="K2" s="5">
        <f>SUM(N4:N22)</f>
        <v>0</v>
      </c>
      <c r="L2" s="8">
        <f>J2-K2</f>
        <v>0</v>
      </c>
      <c r="M2" s="3"/>
      <c r="N2" s="3"/>
    </row>
    <row r="3" spans="1:15" ht="43.2" x14ac:dyDescent="0.3">
      <c r="A3" s="10" t="s">
        <v>2</v>
      </c>
      <c r="B3" s="10" t="s">
        <v>14</v>
      </c>
      <c r="C3" s="10" t="s">
        <v>15</v>
      </c>
      <c r="D3" s="10" t="s">
        <v>16</v>
      </c>
      <c r="E3" s="10" t="s">
        <v>17</v>
      </c>
      <c r="F3" s="10" t="s">
        <v>18</v>
      </c>
      <c r="G3" s="10" t="s">
        <v>19</v>
      </c>
      <c r="H3" s="10" t="s">
        <v>20</v>
      </c>
      <c r="I3" s="10" t="s">
        <v>21</v>
      </c>
      <c r="J3" s="10" t="s">
        <v>22</v>
      </c>
      <c r="K3" s="10" t="s">
        <v>23</v>
      </c>
      <c r="L3" s="10" t="s">
        <v>24</v>
      </c>
      <c r="M3" s="10" t="s">
        <v>25</v>
      </c>
      <c r="N3" s="10" t="s">
        <v>26</v>
      </c>
      <c r="O3" s="10" t="s">
        <v>27</v>
      </c>
    </row>
    <row r="4" spans="1:15" x14ac:dyDescent="0.3">
      <c r="A4" s="11" t="str">
        <f>C2</f>
        <v>Ekta Singh</v>
      </c>
      <c r="B4" s="5" t="str" cm="1">
        <f t="array" ref="B4:M5">_xlfn.LET(
  _xlpm.data, _xlfn._xlws.FILTER('[1]Finanace - Incentive Data'!A:CA, '[1]Finanace - Incentive Data'!H:H=$C2),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Prerana Chandrashekhar Jadhav</v>
      </c>
      <c r="C4" s="12">
        <v>2026</v>
      </c>
      <c r="D4" s="13">
        <v>46100</v>
      </c>
      <c r="E4" s="13">
        <v>0</v>
      </c>
      <c r="F4" s="5" t="str">
        <v>Xceedence</v>
      </c>
      <c r="G4" s="14" t="str">
        <v>PLC-4787</v>
      </c>
      <c r="H4" s="15" t="str">
        <v>W2</v>
      </c>
      <c r="I4" s="12" t="str">
        <v>-</v>
      </c>
      <c r="J4" s="5" t="str">
        <v>-</v>
      </c>
      <c r="K4" s="5">
        <v>384</v>
      </c>
      <c r="L4" s="8">
        <v>1942.5135000000005</v>
      </c>
      <c r="M4" s="8">
        <v>0</v>
      </c>
      <c r="N4" s="8">
        <f>SUMIFS('[1]Finanace - Incentive Data'!BE:BE,'[1]Finanace - Incentive Data'!BS:BS,"Y",'[1]Finanace - Incentive Data'!H:H,$C$2,'[1]Finanace - Incentive Data'!R:R,$B4)</f>
        <v>0</v>
      </c>
      <c r="O4" s="8">
        <f>M4-N4</f>
        <v>0</v>
      </c>
    </row>
    <row r="5" spans="1:15" x14ac:dyDescent="0.3">
      <c r="A5" s="11"/>
      <c r="B5" s="5" t="str">
        <v>Ramya Sudha Muttavarapu</v>
      </c>
      <c r="C5" s="12">
        <v>2026</v>
      </c>
      <c r="D5" s="13">
        <v>46093</v>
      </c>
      <c r="E5" s="13">
        <v>0</v>
      </c>
      <c r="F5" s="5" t="str">
        <v>CoForge</v>
      </c>
      <c r="G5" s="14" t="str">
        <v>PLC-4724</v>
      </c>
      <c r="H5" s="15" t="str">
        <v>C2C</v>
      </c>
      <c r="I5" s="12" t="str">
        <v>-</v>
      </c>
      <c r="J5" s="5" t="str">
        <v>-</v>
      </c>
      <c r="K5" s="5">
        <v>424</v>
      </c>
      <c r="L5" s="8">
        <v>1262.1600000000001</v>
      </c>
      <c r="M5" s="8">
        <v>0</v>
      </c>
      <c r="N5" s="8">
        <f>SUMIFS('[1]Finanace - Incentive Data'!BE:BE,'[1]Finanace - Incentive Data'!BS:BS,"Y",'[1]Finanace - Incentive Data'!H:H,$C$2,'[1]Finanace - Incentive Data'!R:R,$B5)</f>
        <v>0</v>
      </c>
      <c r="O5" s="8">
        <f>M5-N5</f>
        <v>0</v>
      </c>
    </row>
    <row r="6" spans="1:15" x14ac:dyDescent="0.3">
      <c r="A6" s="11"/>
      <c r="B6" s="5"/>
      <c r="C6" s="12"/>
      <c r="D6" s="13"/>
      <c r="E6" s="13"/>
      <c r="F6" s="5"/>
      <c r="G6" s="14"/>
      <c r="H6" s="15"/>
      <c r="I6" s="12"/>
      <c r="J6" s="5"/>
      <c r="K6" s="5"/>
      <c r="L6" s="8"/>
      <c r="M6" s="8"/>
      <c r="N6" s="8">
        <f>SUMIFS('[1]Finanace - Incentive Data'!BE:BE,'[1]Finanace - Incentive Data'!BS:BS,"Y",'[1]Finanace - Incentive Data'!H:H,$C$2,'[1]Finanace - Incentive Data'!R:R,$B6)</f>
        <v>0</v>
      </c>
      <c r="O6" s="8">
        <f t="shared" ref="O6:O22" si="0">M6-N6</f>
        <v>0</v>
      </c>
    </row>
    <row r="7" spans="1:15" x14ac:dyDescent="0.3">
      <c r="A7" s="11"/>
      <c r="B7" s="5"/>
      <c r="C7" s="12"/>
      <c r="D7" s="13"/>
      <c r="E7" s="13"/>
      <c r="F7" s="5"/>
      <c r="G7" s="14"/>
      <c r="H7" s="15"/>
      <c r="I7" s="12"/>
      <c r="J7" s="5"/>
      <c r="K7" s="5"/>
      <c r="L7" s="8"/>
      <c r="M7" s="8"/>
      <c r="N7" s="8">
        <f>SUMIFS('[1]Finanace - Incentive Data'!BE:BE,'[1]Finanace - Incentive Data'!BS:BS,"Y",'[1]Finanace - Incentive Data'!H:H,$C$2,'[1]Finanace - Incentive Data'!R:R,$B7)</f>
        <v>0</v>
      </c>
      <c r="O7" s="8">
        <f t="shared" si="0"/>
        <v>0</v>
      </c>
    </row>
    <row r="8" spans="1:15" x14ac:dyDescent="0.3">
      <c r="A8" s="11"/>
      <c r="B8" s="5"/>
      <c r="C8" s="12"/>
      <c r="D8" s="13"/>
      <c r="E8" s="13"/>
      <c r="F8" s="5"/>
      <c r="G8" s="14"/>
      <c r="H8" s="15"/>
      <c r="I8" s="12"/>
      <c r="J8" s="5"/>
      <c r="K8" s="5"/>
      <c r="L8" s="8"/>
      <c r="M8" s="8"/>
      <c r="N8" s="8">
        <f>SUMIFS('[1]Finanace - Incentive Data'!BE:BE,'[1]Finanace - Incentive Data'!BS:BS,"Y",'[1]Finanace - Incentive Data'!H:H,$C$2,'[1]Finanace - Incentive Data'!R:R,$B8)</f>
        <v>0</v>
      </c>
      <c r="O8" s="8">
        <f t="shared" si="0"/>
        <v>0</v>
      </c>
    </row>
    <row r="9" spans="1:15" x14ac:dyDescent="0.3">
      <c r="A9" s="11"/>
      <c r="B9" s="5"/>
      <c r="C9" s="12"/>
      <c r="D9" s="13"/>
      <c r="E9" s="13"/>
      <c r="F9" s="5"/>
      <c r="G9" s="14"/>
      <c r="H9" s="15"/>
      <c r="I9" s="12"/>
      <c r="J9" s="5"/>
      <c r="K9" s="5"/>
      <c r="L9" s="8"/>
      <c r="M9" s="8"/>
      <c r="N9" s="8">
        <f>SUMIFS('[1]Finanace - Incentive Data'!BE:BE,'[1]Finanace - Incentive Data'!BS:BS,"Y",'[1]Finanace - Incentive Data'!H:H,$C$2,'[1]Finanace - Incentive Data'!R:R,$B9)</f>
        <v>0</v>
      </c>
      <c r="O9" s="8">
        <f t="shared" si="0"/>
        <v>0</v>
      </c>
    </row>
    <row r="10" spans="1:15" x14ac:dyDescent="0.3">
      <c r="A10" s="11"/>
      <c r="B10" s="5"/>
      <c r="C10" s="12"/>
      <c r="D10" s="13"/>
      <c r="E10" s="13"/>
      <c r="F10" s="5"/>
      <c r="G10" s="14"/>
      <c r="H10" s="15"/>
      <c r="I10" s="12"/>
      <c r="J10" s="5"/>
      <c r="K10" s="5"/>
      <c r="L10" s="8"/>
      <c r="M10" s="8"/>
      <c r="N10" s="8">
        <f>SUMIFS('[1]Finanace - Incentive Data'!BE:BE,'[1]Finanace - Incentive Data'!BS:BS,"Y",'[1]Finanace - Incentive Data'!H:H,$C$2,'[1]Finanace - Incentive Data'!R:R,$B10)</f>
        <v>0</v>
      </c>
      <c r="O10" s="8">
        <f t="shared" si="0"/>
        <v>0</v>
      </c>
    </row>
    <row r="11" spans="1:15" x14ac:dyDescent="0.3">
      <c r="A11" s="11"/>
      <c r="B11" s="5"/>
      <c r="C11" s="12"/>
      <c r="D11" s="13"/>
      <c r="E11" s="13"/>
      <c r="F11" s="5"/>
      <c r="G11" s="14"/>
      <c r="H11" s="15"/>
      <c r="I11" s="12"/>
      <c r="J11" s="5"/>
      <c r="K11" s="5"/>
      <c r="L11" s="8"/>
      <c r="M11" s="8"/>
      <c r="N11" s="8">
        <f>SUMIFS('[1]Finanace - Incentive Data'!BE:BE,'[1]Finanace - Incentive Data'!BS:BS,"Y",'[1]Finanace - Incentive Data'!H:H,$C$2,'[1]Finanace - Incentive Data'!R:R,$B11)</f>
        <v>0</v>
      </c>
      <c r="O11" s="8">
        <f t="shared" si="0"/>
        <v>0</v>
      </c>
    </row>
    <row r="12" spans="1:15" x14ac:dyDescent="0.3">
      <c r="A12" s="11"/>
      <c r="B12" s="5"/>
      <c r="C12" s="12"/>
      <c r="D12" s="13"/>
      <c r="E12" s="13"/>
      <c r="F12" s="5"/>
      <c r="G12" s="14"/>
      <c r="H12" s="15"/>
      <c r="I12" s="12"/>
      <c r="J12" s="5"/>
      <c r="K12" s="5"/>
      <c r="L12" s="8"/>
      <c r="M12" s="8"/>
      <c r="N12" s="8">
        <f>SUMIFS('[1]Finanace - Incentive Data'!BE:BE,'[1]Finanace - Incentive Data'!BS:BS,"Y",'[1]Finanace - Incentive Data'!H:H,$C$2,'[1]Finanace - Incentive Data'!R:R,$B12)</f>
        <v>0</v>
      </c>
      <c r="O12" s="8">
        <f t="shared" si="0"/>
        <v>0</v>
      </c>
    </row>
    <row r="13" spans="1:15" x14ac:dyDescent="0.3">
      <c r="A13" s="11"/>
      <c r="B13" s="5"/>
      <c r="C13" s="12"/>
      <c r="D13" s="13"/>
      <c r="E13" s="13"/>
      <c r="F13" s="5"/>
      <c r="G13" s="14"/>
      <c r="H13" s="15"/>
      <c r="I13" s="12"/>
      <c r="J13" s="5"/>
      <c r="K13" s="5"/>
      <c r="L13" s="8"/>
      <c r="M13" s="8"/>
      <c r="N13" s="8">
        <f>SUMIFS('[1]Finanace - Incentive Data'!BE:BE,'[1]Finanace - Incentive Data'!BS:BS,"Y",'[1]Finanace - Incentive Data'!H:H,$C$2,'[1]Finanace - Incentive Data'!R:R,$B13)</f>
        <v>0</v>
      </c>
      <c r="O13" s="8">
        <f t="shared" si="0"/>
        <v>0</v>
      </c>
    </row>
    <row r="14" spans="1:15" x14ac:dyDescent="0.3">
      <c r="A14" s="11"/>
      <c r="B14" s="5"/>
      <c r="C14" s="12"/>
      <c r="D14" s="13"/>
      <c r="E14" s="13"/>
      <c r="F14" s="5"/>
      <c r="G14" s="14"/>
      <c r="H14" s="15"/>
      <c r="I14" s="12"/>
      <c r="J14" s="5"/>
      <c r="K14" s="5"/>
      <c r="L14" s="8"/>
      <c r="M14" s="8"/>
      <c r="N14" s="8">
        <f>SUMIFS('[1]Finanace - Incentive Data'!BE:BE,'[1]Finanace - Incentive Data'!BS:BS,"Y",'[1]Finanace - Incentive Data'!H:H,$C$2,'[1]Finanace - Incentive Data'!R:R,$B14)</f>
        <v>0</v>
      </c>
      <c r="O14" s="8">
        <f t="shared" si="0"/>
        <v>0</v>
      </c>
    </row>
    <row r="15" spans="1:15" x14ac:dyDescent="0.3">
      <c r="A15" s="11"/>
      <c r="B15" s="5"/>
      <c r="C15" s="12"/>
      <c r="D15" s="13"/>
      <c r="E15" s="13"/>
      <c r="F15" s="5"/>
      <c r="G15" s="14"/>
      <c r="H15" s="15"/>
      <c r="I15" s="12"/>
      <c r="J15" s="5"/>
      <c r="K15" s="5"/>
      <c r="L15" s="8"/>
      <c r="M15" s="8"/>
      <c r="N15" s="8">
        <f>SUMIFS('[1]Finanace - Incentive Data'!BE:BE,'[1]Finanace - Incentive Data'!BS:BS,"Y",'[1]Finanace - Incentive Data'!H:H,$C$2,'[1]Finanace - Incentive Data'!R:R,$B15)</f>
        <v>0</v>
      </c>
      <c r="O15" s="8">
        <f t="shared" si="0"/>
        <v>0</v>
      </c>
    </row>
    <row r="16" spans="1:15" x14ac:dyDescent="0.3">
      <c r="A16" s="11"/>
      <c r="B16" s="5"/>
      <c r="C16" s="12"/>
      <c r="D16" s="13"/>
      <c r="E16" s="13"/>
      <c r="F16" s="5"/>
      <c r="G16" s="14"/>
      <c r="H16" s="15"/>
      <c r="I16" s="12"/>
      <c r="J16" s="5"/>
      <c r="K16" s="5"/>
      <c r="L16" s="8"/>
      <c r="M16" s="8"/>
      <c r="N16" s="8">
        <f>SUMIFS('[1]Finanace - Incentive Data'!BE:BE,'[1]Finanace - Incentive Data'!BS:BS,"Y",'[1]Finanace - Incentive Data'!H:H,$C$2,'[1]Finanace - Incentive Data'!R:R,$B16)</f>
        <v>0</v>
      </c>
      <c r="O16" s="8">
        <f t="shared" si="0"/>
        <v>0</v>
      </c>
    </row>
    <row r="17" spans="1:15" x14ac:dyDescent="0.3">
      <c r="A17" s="11"/>
      <c r="B17" s="5"/>
      <c r="C17" s="12"/>
      <c r="D17" s="13"/>
      <c r="E17" s="13"/>
      <c r="F17" s="5"/>
      <c r="G17" s="14"/>
      <c r="H17" s="15"/>
      <c r="I17" s="12"/>
      <c r="J17" s="5"/>
      <c r="K17" s="5"/>
      <c r="L17" s="8"/>
      <c r="M17" s="8"/>
      <c r="N17" s="8">
        <f>SUMIFS('[1]Finanace - Incentive Data'!BE:BE,'[1]Finanace - Incentive Data'!BS:BS,"Y",'[1]Finanace - Incentive Data'!H:H,$C$2,'[1]Finanace - Incentive Data'!R:R,$B17)</f>
        <v>0</v>
      </c>
      <c r="O17" s="8">
        <f t="shared" si="0"/>
        <v>0</v>
      </c>
    </row>
    <row r="18" spans="1:15" x14ac:dyDescent="0.3">
      <c r="A18" s="11"/>
      <c r="B18" s="5"/>
      <c r="C18" s="12"/>
      <c r="D18" s="13"/>
      <c r="E18" s="13"/>
      <c r="F18" s="5"/>
      <c r="G18" s="14"/>
      <c r="H18" s="15"/>
      <c r="I18" s="12"/>
      <c r="J18" s="5"/>
      <c r="K18" s="5"/>
      <c r="L18" s="8"/>
      <c r="M18" s="8"/>
      <c r="N18" s="8">
        <f>SUMIFS('[1]Finanace - Incentive Data'!BE:BE,'[1]Finanace - Incentive Data'!BS:BS,"Y",'[1]Finanace - Incentive Data'!H:H,$C$2,'[1]Finanace - Incentive Data'!R:R,$B18)</f>
        <v>0</v>
      </c>
      <c r="O18" s="8">
        <f t="shared" si="0"/>
        <v>0</v>
      </c>
    </row>
    <row r="19" spans="1:15" x14ac:dyDescent="0.3">
      <c r="A19" s="11"/>
      <c r="B19" s="5"/>
      <c r="C19" s="12"/>
      <c r="D19" s="13"/>
      <c r="E19" s="13"/>
      <c r="F19" s="5"/>
      <c r="G19" s="14"/>
      <c r="H19" s="15"/>
      <c r="I19" s="12"/>
      <c r="J19" s="5"/>
      <c r="K19" s="5"/>
      <c r="L19" s="8"/>
      <c r="M19" s="8"/>
      <c r="N19" s="8">
        <f>SUMIFS('[1]Finanace - Incentive Data'!BE:BE,'[1]Finanace - Incentive Data'!BS:BS,"Y",'[1]Finanace - Incentive Data'!H:H,$C$2,'[1]Finanace - Incentive Data'!R:R,$B19)</f>
        <v>0</v>
      </c>
      <c r="O19" s="8">
        <f t="shared" si="0"/>
        <v>0</v>
      </c>
    </row>
    <row r="20" spans="1:15" x14ac:dyDescent="0.3">
      <c r="A20" s="11"/>
      <c r="B20" s="5"/>
      <c r="C20" s="12"/>
      <c r="D20" s="13"/>
      <c r="E20" s="13"/>
      <c r="F20" s="5"/>
      <c r="G20" s="14"/>
      <c r="H20" s="15"/>
      <c r="I20" s="12"/>
      <c r="J20" s="5"/>
      <c r="K20" s="5"/>
      <c r="L20" s="8"/>
      <c r="M20" s="8"/>
      <c r="N20" s="8">
        <f>SUMIFS('[1]Finanace - Incentive Data'!BE:BE,'[1]Finanace - Incentive Data'!BS:BS,"Y",'[1]Finanace - Incentive Data'!H:H,$C$2,'[1]Finanace - Incentive Data'!R:R,$B20)</f>
        <v>0</v>
      </c>
      <c r="O20" s="8">
        <f t="shared" si="0"/>
        <v>0</v>
      </c>
    </row>
    <row r="21" spans="1:15" x14ac:dyDescent="0.3">
      <c r="A21" s="11"/>
      <c r="B21" s="5"/>
      <c r="C21" s="12"/>
      <c r="D21" s="13"/>
      <c r="E21" s="13"/>
      <c r="F21" s="5"/>
      <c r="G21" s="14"/>
      <c r="H21" s="15"/>
      <c r="I21" s="12"/>
      <c r="J21" s="5"/>
      <c r="K21" s="5"/>
      <c r="L21" s="8"/>
      <c r="M21" s="8"/>
      <c r="N21" s="8">
        <f>SUMIFS('[1]Finanace - Incentive Data'!BE:BE,'[1]Finanace - Incentive Data'!BS:BS,"Y",'[1]Finanace - Incentive Data'!H:H,$C$2,'[1]Finanace - Incentive Data'!R:R,$B21)</f>
        <v>0</v>
      </c>
      <c r="O21" s="8">
        <f t="shared" si="0"/>
        <v>0</v>
      </c>
    </row>
    <row r="22" spans="1:15" x14ac:dyDescent="0.3">
      <c r="A22" s="11"/>
      <c r="B22" s="5"/>
      <c r="C22" s="12"/>
      <c r="D22" s="13"/>
      <c r="E22" s="13"/>
      <c r="F22" s="5"/>
      <c r="G22" s="14"/>
      <c r="H22" s="15"/>
      <c r="I22" s="12"/>
      <c r="J22" s="5"/>
      <c r="K22" s="5"/>
      <c r="L22" s="8"/>
      <c r="M22" s="8"/>
      <c r="N22" s="8">
        <f>SUMIFS('[1]Finanace - Incentive Data'!BE:BE,'[1]Finanace - Incentive Data'!BS:BS,"Y",'[1]Finanace - Incentive Data'!H:H,$C$2,'[1]Finanace - Incentive Data'!R:R,$B22)</f>
        <v>0</v>
      </c>
      <c r="O22" s="8">
        <f t="shared" si="0"/>
        <v>0</v>
      </c>
    </row>
    <row r="27" spans="1:15" ht="43.2" x14ac:dyDescent="0.3">
      <c r="A27" s="1" t="s">
        <v>0</v>
      </c>
      <c r="B27" s="1" t="s">
        <v>1</v>
      </c>
      <c r="C27" s="1" t="s">
        <v>2</v>
      </c>
      <c r="D27" s="1" t="s">
        <v>3</v>
      </c>
      <c r="E27" s="1" t="s">
        <v>4</v>
      </c>
      <c r="F27" s="1" t="s">
        <v>5</v>
      </c>
      <c r="G27" s="1" t="s">
        <v>6</v>
      </c>
      <c r="H27" s="1" t="s">
        <v>7</v>
      </c>
      <c r="I27" s="1" t="s">
        <v>8</v>
      </c>
      <c r="J27" s="1" t="s">
        <v>9</v>
      </c>
      <c r="K27" s="2" t="s">
        <v>10</v>
      </c>
      <c r="L27" s="2" t="s">
        <v>11</v>
      </c>
      <c r="M27" s="3"/>
      <c r="N27" s="3"/>
    </row>
    <row r="28" spans="1:15" x14ac:dyDescent="0.3">
      <c r="A28" s="5" t="s">
        <v>12</v>
      </c>
      <c r="B28" s="4" t="str">
        <f>_xlfn.XLOOKUP($C28,'[1]Basic EMP Data - 2026'!$D$3:$D$224,'[1]Basic EMP Data - 2026'!$C$3:$C$224)</f>
        <v>VB1144</v>
      </c>
      <c r="C28" s="6" t="s">
        <v>28</v>
      </c>
      <c r="D28" s="5" t="str">
        <f>VLOOKUP($B28,'[1]Basic EMP Data - 2026'!$C$3:$F$224,3,0)</f>
        <v>Rohit Gupta</v>
      </c>
      <c r="E28" s="5">
        <f>VLOOKUP($B28,'[1]Basic EMP Data - 2026'!$C$3:$I$224,5,0)</f>
        <v>7</v>
      </c>
      <c r="F28" s="5">
        <f>VLOOKUP($B28,'[1]Basic EMP Data - 2026'!$C$3:$I$224,6,0)</f>
        <v>2</v>
      </c>
      <c r="G28" s="7">
        <f>F28/E28</f>
        <v>0.2857142857142857</v>
      </c>
      <c r="H28" s="8">
        <f>SUM(L30:L48)</f>
        <v>18169.04</v>
      </c>
      <c r="I28" s="9" cm="1">
        <f t="array" ref="I28">_xlfn.IFS($G28&lt;=34%,0%,$G28&lt;=75%,3%,$G28&lt;=120%,4%,$G28&gt;120%,5%)</f>
        <v>0</v>
      </c>
      <c r="J28" s="8" cm="1">
        <f t="array" ref="J28">SUMPRODUCT((C30:C48=2026)*M30:M48*2)</f>
        <v>0</v>
      </c>
      <c r="K28" s="5">
        <f>SUM(N30:N48)</f>
        <v>0</v>
      </c>
      <c r="L28" s="8">
        <f>J28-K28</f>
        <v>0</v>
      </c>
      <c r="M28" s="3"/>
      <c r="N28" s="3"/>
    </row>
    <row r="29" spans="1:15" ht="43.2" x14ac:dyDescent="0.3">
      <c r="A29" s="10" t="s">
        <v>2</v>
      </c>
      <c r="B29" s="10" t="s">
        <v>14</v>
      </c>
      <c r="C29" s="10" t="s">
        <v>15</v>
      </c>
      <c r="D29" s="10" t="s">
        <v>16</v>
      </c>
      <c r="E29" s="10" t="s">
        <v>17</v>
      </c>
      <c r="F29" s="10" t="s">
        <v>18</v>
      </c>
      <c r="G29" s="10" t="s">
        <v>19</v>
      </c>
      <c r="H29" s="10" t="s">
        <v>20</v>
      </c>
      <c r="I29" s="10" t="s">
        <v>21</v>
      </c>
      <c r="J29" s="10" t="s">
        <v>22</v>
      </c>
      <c r="K29" s="10" t="s">
        <v>23</v>
      </c>
      <c r="L29" s="10" t="s">
        <v>24</v>
      </c>
      <c r="M29" s="10" t="s">
        <v>25</v>
      </c>
      <c r="N29" s="10" t="s">
        <v>26</v>
      </c>
      <c r="O29" s="10" t="s">
        <v>27</v>
      </c>
    </row>
    <row r="30" spans="1:15" x14ac:dyDescent="0.3">
      <c r="A30" s="11" t="str">
        <f>C28</f>
        <v>Akhilesh Gupta</v>
      </c>
      <c r="B30" s="5" t="str" cm="1">
        <f t="array" ref="B30:M31">_xlfn.LET(
  _xlpm.data, _xlfn._xlws.FILTER('[1]Finanace - Incentive Data'!A:CA, '[1]Finanace - Incentive Data'!H:H=$C28),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John Baerthlein</v>
      </c>
      <c r="C30" s="12">
        <v>2026</v>
      </c>
      <c r="D30" s="13">
        <v>46076</v>
      </c>
      <c r="E30" s="13">
        <v>0</v>
      </c>
      <c r="F30" s="5" t="str">
        <v>Xceedence</v>
      </c>
      <c r="G30" s="14" t="str">
        <v>PLC-4749</v>
      </c>
      <c r="H30" s="15" t="str">
        <v>FTE</v>
      </c>
      <c r="I30" s="12" t="str">
        <v>-</v>
      </c>
      <c r="J30" s="5" t="str">
        <v>-</v>
      </c>
      <c r="K30" s="5">
        <v>1</v>
      </c>
      <c r="L30" s="8">
        <v>15000</v>
      </c>
      <c r="M30" s="8">
        <v>0</v>
      </c>
      <c r="N30" s="8">
        <f>SUMIFS('[1]Finanace - Incentive Data'!BE:BE,'[1]Finanace - Incentive Data'!BS:BS,"Y",'[1]Finanace - Incentive Data'!H:H,$C$28,'[1]Finanace - Incentive Data'!R:R,$B30)</f>
        <v>0</v>
      </c>
      <c r="O30" s="8">
        <f>M30-N30</f>
        <v>0</v>
      </c>
    </row>
    <row r="31" spans="1:15" x14ac:dyDescent="0.3">
      <c r="A31" s="11"/>
      <c r="B31" s="5" t="str">
        <v>Venkata Ananda Sai Ravella</v>
      </c>
      <c r="C31" s="12">
        <v>2026</v>
      </c>
      <c r="D31" s="13">
        <v>46091</v>
      </c>
      <c r="E31" s="13">
        <v>0</v>
      </c>
      <c r="F31" s="5" t="str">
        <v>CoForge</v>
      </c>
      <c r="G31" s="14" t="str">
        <v>PLC-4748</v>
      </c>
      <c r="H31" s="15" t="str">
        <v>C2C</v>
      </c>
      <c r="I31" s="12" t="str">
        <v>-</v>
      </c>
      <c r="J31" s="5" t="str">
        <v>-</v>
      </c>
      <c r="K31" s="5">
        <v>456</v>
      </c>
      <c r="L31" s="8">
        <v>3169.04</v>
      </c>
      <c r="M31" s="8">
        <v>0</v>
      </c>
      <c r="N31" s="8">
        <f>SUMIFS('[1]Finanace - Incentive Data'!BE:BE,'[1]Finanace - Incentive Data'!BS:BS,"Y",'[1]Finanace - Incentive Data'!H:H,$C$28,'[1]Finanace - Incentive Data'!R:R,$B31)</f>
        <v>0</v>
      </c>
      <c r="O31" s="8">
        <f>M31-N31</f>
        <v>0</v>
      </c>
    </row>
    <row r="32" spans="1:15" x14ac:dyDescent="0.3">
      <c r="A32" s="11"/>
      <c r="B32" s="5"/>
      <c r="C32" s="12"/>
      <c r="D32" s="13"/>
      <c r="E32" s="13"/>
      <c r="F32" s="5"/>
      <c r="G32" s="14"/>
      <c r="H32" s="15"/>
      <c r="I32" s="12"/>
      <c r="J32" s="5"/>
      <c r="K32" s="5"/>
      <c r="L32" s="8"/>
      <c r="M32" s="8"/>
      <c r="N32" s="8">
        <f>SUMIFS('[1]Finanace - Incentive Data'!BE:BE,'[1]Finanace - Incentive Data'!BS:BS,"Y",'[1]Finanace - Incentive Data'!H:H,$C$28,'[1]Finanace - Incentive Data'!R:R,$B32)</f>
        <v>0</v>
      </c>
      <c r="O32" s="8">
        <f t="shared" ref="O32:O48" si="1">M32-N32</f>
        <v>0</v>
      </c>
    </row>
    <row r="33" spans="1:15" x14ac:dyDescent="0.3">
      <c r="A33" s="11"/>
      <c r="B33" s="5"/>
      <c r="C33" s="12"/>
      <c r="D33" s="13"/>
      <c r="E33" s="13"/>
      <c r="F33" s="5"/>
      <c r="G33" s="14"/>
      <c r="H33" s="15"/>
      <c r="I33" s="12"/>
      <c r="J33" s="5"/>
      <c r="K33" s="5"/>
      <c r="L33" s="8"/>
      <c r="M33" s="8"/>
      <c r="N33" s="8">
        <f>SUMIFS('[1]Finanace - Incentive Data'!BE:BE,'[1]Finanace - Incentive Data'!BS:BS,"Y",'[1]Finanace - Incentive Data'!H:H,$C$28,'[1]Finanace - Incentive Data'!R:R,$B33)</f>
        <v>0</v>
      </c>
      <c r="O33" s="8">
        <f t="shared" si="1"/>
        <v>0</v>
      </c>
    </row>
    <row r="34" spans="1:15" x14ac:dyDescent="0.3">
      <c r="A34" s="11"/>
      <c r="B34" s="5"/>
      <c r="C34" s="12"/>
      <c r="D34" s="13"/>
      <c r="E34" s="13"/>
      <c r="F34" s="5"/>
      <c r="G34" s="14"/>
      <c r="H34" s="15"/>
      <c r="I34" s="12"/>
      <c r="J34" s="5"/>
      <c r="K34" s="5"/>
      <c r="L34" s="8"/>
      <c r="M34" s="8"/>
      <c r="N34" s="8">
        <f>SUMIFS('[1]Finanace - Incentive Data'!BE:BE,'[1]Finanace - Incentive Data'!BS:BS,"Y",'[1]Finanace - Incentive Data'!H:H,$C$28,'[1]Finanace - Incentive Data'!R:R,$B34)</f>
        <v>0</v>
      </c>
      <c r="O34" s="8">
        <f t="shared" si="1"/>
        <v>0</v>
      </c>
    </row>
    <row r="35" spans="1:15" x14ac:dyDescent="0.3">
      <c r="A35" s="11"/>
      <c r="B35" s="5"/>
      <c r="C35" s="12"/>
      <c r="D35" s="13"/>
      <c r="E35" s="13"/>
      <c r="F35" s="5"/>
      <c r="G35" s="14"/>
      <c r="H35" s="15"/>
      <c r="I35" s="12"/>
      <c r="J35" s="5"/>
      <c r="K35" s="5"/>
      <c r="L35" s="8"/>
      <c r="M35" s="8"/>
      <c r="N35" s="8">
        <f>SUMIFS('[1]Finanace - Incentive Data'!BE:BE,'[1]Finanace - Incentive Data'!BS:BS,"Y",'[1]Finanace - Incentive Data'!H:H,$C$28,'[1]Finanace - Incentive Data'!R:R,$B35)</f>
        <v>0</v>
      </c>
      <c r="O35" s="8">
        <f t="shared" si="1"/>
        <v>0</v>
      </c>
    </row>
    <row r="36" spans="1:15" x14ac:dyDescent="0.3">
      <c r="A36" s="11"/>
      <c r="B36" s="5"/>
      <c r="C36" s="12"/>
      <c r="D36" s="13"/>
      <c r="E36" s="13"/>
      <c r="F36" s="5"/>
      <c r="G36" s="14"/>
      <c r="H36" s="15"/>
      <c r="I36" s="12"/>
      <c r="J36" s="5"/>
      <c r="K36" s="5"/>
      <c r="L36" s="8"/>
      <c r="M36" s="8"/>
      <c r="N36" s="8">
        <f>SUMIFS('[1]Finanace - Incentive Data'!BE:BE,'[1]Finanace - Incentive Data'!BS:BS,"Y",'[1]Finanace - Incentive Data'!H:H,$C$28,'[1]Finanace - Incentive Data'!R:R,$B36)</f>
        <v>0</v>
      </c>
      <c r="O36" s="8">
        <f t="shared" si="1"/>
        <v>0</v>
      </c>
    </row>
    <row r="37" spans="1:15" x14ac:dyDescent="0.3">
      <c r="A37" s="11"/>
      <c r="B37" s="5"/>
      <c r="C37" s="12"/>
      <c r="D37" s="13"/>
      <c r="E37" s="13"/>
      <c r="F37" s="5"/>
      <c r="G37" s="14"/>
      <c r="H37" s="15"/>
      <c r="I37" s="12"/>
      <c r="J37" s="5"/>
      <c r="K37" s="5"/>
      <c r="L37" s="8"/>
      <c r="M37" s="8"/>
      <c r="N37" s="8">
        <f>SUMIFS('[1]Finanace - Incentive Data'!BE:BE,'[1]Finanace - Incentive Data'!BS:BS,"Y",'[1]Finanace - Incentive Data'!H:H,$C$28,'[1]Finanace - Incentive Data'!R:R,$B37)</f>
        <v>0</v>
      </c>
      <c r="O37" s="8">
        <f t="shared" si="1"/>
        <v>0</v>
      </c>
    </row>
    <row r="38" spans="1:15" x14ac:dyDescent="0.3">
      <c r="A38" s="11"/>
      <c r="B38" s="5"/>
      <c r="C38" s="12"/>
      <c r="D38" s="13"/>
      <c r="E38" s="13"/>
      <c r="F38" s="5"/>
      <c r="G38" s="14"/>
      <c r="H38" s="15"/>
      <c r="I38" s="12"/>
      <c r="J38" s="5"/>
      <c r="K38" s="5"/>
      <c r="L38" s="8"/>
      <c r="M38" s="8"/>
      <c r="N38" s="8">
        <f>SUMIFS('[1]Finanace - Incentive Data'!BE:BE,'[1]Finanace - Incentive Data'!BS:BS,"Y",'[1]Finanace - Incentive Data'!H:H,$C$28,'[1]Finanace - Incentive Data'!R:R,$B38)</f>
        <v>0</v>
      </c>
      <c r="O38" s="8">
        <f t="shared" si="1"/>
        <v>0</v>
      </c>
    </row>
    <row r="39" spans="1:15" x14ac:dyDescent="0.3">
      <c r="A39" s="11"/>
      <c r="B39" s="5"/>
      <c r="C39" s="12"/>
      <c r="D39" s="13"/>
      <c r="E39" s="13"/>
      <c r="F39" s="5"/>
      <c r="G39" s="14"/>
      <c r="H39" s="15"/>
      <c r="I39" s="12"/>
      <c r="J39" s="5"/>
      <c r="K39" s="5"/>
      <c r="L39" s="8"/>
      <c r="M39" s="8"/>
      <c r="N39" s="8">
        <f>SUMIFS('[1]Finanace - Incentive Data'!BE:BE,'[1]Finanace - Incentive Data'!BS:BS,"Y",'[1]Finanace - Incentive Data'!H:H,$C$28,'[1]Finanace - Incentive Data'!R:R,$B39)</f>
        <v>0</v>
      </c>
      <c r="O39" s="8">
        <f t="shared" si="1"/>
        <v>0</v>
      </c>
    </row>
    <row r="40" spans="1:15" x14ac:dyDescent="0.3">
      <c r="A40" s="11"/>
      <c r="B40" s="5"/>
      <c r="C40" s="12"/>
      <c r="D40" s="13"/>
      <c r="E40" s="13"/>
      <c r="F40" s="5"/>
      <c r="G40" s="14"/>
      <c r="H40" s="15"/>
      <c r="I40" s="12"/>
      <c r="J40" s="5"/>
      <c r="K40" s="5"/>
      <c r="L40" s="8"/>
      <c r="M40" s="8"/>
      <c r="N40" s="8">
        <f>SUMIFS('[1]Finanace - Incentive Data'!BE:BE,'[1]Finanace - Incentive Data'!BS:BS,"Y",'[1]Finanace - Incentive Data'!H:H,$C$28,'[1]Finanace - Incentive Data'!R:R,$B40)</f>
        <v>0</v>
      </c>
      <c r="O40" s="8">
        <f t="shared" si="1"/>
        <v>0</v>
      </c>
    </row>
    <row r="41" spans="1:15" x14ac:dyDescent="0.3">
      <c r="A41" s="11"/>
      <c r="B41" s="5"/>
      <c r="C41" s="12"/>
      <c r="D41" s="13"/>
      <c r="E41" s="13"/>
      <c r="F41" s="5"/>
      <c r="G41" s="14"/>
      <c r="H41" s="15"/>
      <c r="I41" s="12"/>
      <c r="J41" s="5"/>
      <c r="K41" s="5"/>
      <c r="L41" s="8"/>
      <c r="M41" s="8"/>
      <c r="N41" s="8">
        <f>SUMIFS('[1]Finanace - Incentive Data'!BE:BE,'[1]Finanace - Incentive Data'!BS:BS,"Y",'[1]Finanace - Incentive Data'!H:H,$C$28,'[1]Finanace - Incentive Data'!R:R,$B41)</f>
        <v>0</v>
      </c>
      <c r="O41" s="8">
        <f t="shared" si="1"/>
        <v>0</v>
      </c>
    </row>
    <row r="42" spans="1:15" x14ac:dyDescent="0.3">
      <c r="A42" s="11"/>
      <c r="B42" s="5"/>
      <c r="C42" s="12"/>
      <c r="D42" s="13"/>
      <c r="E42" s="13"/>
      <c r="F42" s="5"/>
      <c r="G42" s="14"/>
      <c r="H42" s="15"/>
      <c r="I42" s="12"/>
      <c r="J42" s="5"/>
      <c r="K42" s="5"/>
      <c r="L42" s="8"/>
      <c r="M42" s="8"/>
      <c r="N42" s="8">
        <f>SUMIFS('[1]Finanace - Incentive Data'!BE:BE,'[1]Finanace - Incentive Data'!BS:BS,"Y",'[1]Finanace - Incentive Data'!H:H,$C$28,'[1]Finanace - Incentive Data'!R:R,$B42)</f>
        <v>0</v>
      </c>
      <c r="O42" s="8">
        <f t="shared" si="1"/>
        <v>0</v>
      </c>
    </row>
    <row r="43" spans="1:15" x14ac:dyDescent="0.3">
      <c r="A43" s="11"/>
      <c r="B43" s="5"/>
      <c r="C43" s="12"/>
      <c r="D43" s="13"/>
      <c r="E43" s="13"/>
      <c r="F43" s="5"/>
      <c r="G43" s="14"/>
      <c r="H43" s="15"/>
      <c r="I43" s="12"/>
      <c r="J43" s="5"/>
      <c r="K43" s="5"/>
      <c r="L43" s="8"/>
      <c r="M43" s="8"/>
      <c r="N43" s="8">
        <f>SUMIFS('[1]Finanace - Incentive Data'!BE:BE,'[1]Finanace - Incentive Data'!BS:BS,"Y",'[1]Finanace - Incentive Data'!H:H,$C$28,'[1]Finanace - Incentive Data'!R:R,$B43)</f>
        <v>0</v>
      </c>
      <c r="O43" s="8">
        <f t="shared" si="1"/>
        <v>0</v>
      </c>
    </row>
    <row r="44" spans="1:15" x14ac:dyDescent="0.3">
      <c r="A44" s="11"/>
      <c r="B44" s="5"/>
      <c r="C44" s="12"/>
      <c r="D44" s="13"/>
      <c r="E44" s="13"/>
      <c r="F44" s="5"/>
      <c r="G44" s="14"/>
      <c r="H44" s="15"/>
      <c r="I44" s="12"/>
      <c r="J44" s="5"/>
      <c r="K44" s="5"/>
      <c r="L44" s="8"/>
      <c r="M44" s="8"/>
      <c r="N44" s="8">
        <f>SUMIFS('[1]Finanace - Incentive Data'!BE:BE,'[1]Finanace - Incentive Data'!BS:BS,"Y",'[1]Finanace - Incentive Data'!H:H,$C$28,'[1]Finanace - Incentive Data'!R:R,$B44)</f>
        <v>0</v>
      </c>
      <c r="O44" s="8">
        <f t="shared" si="1"/>
        <v>0</v>
      </c>
    </row>
    <row r="45" spans="1:15" x14ac:dyDescent="0.3">
      <c r="A45" s="11"/>
      <c r="B45" s="5"/>
      <c r="C45" s="12"/>
      <c r="D45" s="13"/>
      <c r="E45" s="13"/>
      <c r="F45" s="5"/>
      <c r="G45" s="14"/>
      <c r="H45" s="15"/>
      <c r="I45" s="12"/>
      <c r="J45" s="5"/>
      <c r="K45" s="5"/>
      <c r="L45" s="8"/>
      <c r="M45" s="8"/>
      <c r="N45" s="8">
        <f>SUMIFS('[1]Finanace - Incentive Data'!BE:BE,'[1]Finanace - Incentive Data'!BS:BS,"Y",'[1]Finanace - Incentive Data'!H:H,$C$28,'[1]Finanace - Incentive Data'!R:R,$B45)</f>
        <v>0</v>
      </c>
      <c r="O45" s="8">
        <f t="shared" si="1"/>
        <v>0</v>
      </c>
    </row>
    <row r="46" spans="1:15" x14ac:dyDescent="0.3">
      <c r="A46" s="11"/>
      <c r="B46" s="5"/>
      <c r="C46" s="12"/>
      <c r="D46" s="13"/>
      <c r="E46" s="13"/>
      <c r="F46" s="5"/>
      <c r="G46" s="14"/>
      <c r="H46" s="15"/>
      <c r="I46" s="12"/>
      <c r="J46" s="5"/>
      <c r="K46" s="5"/>
      <c r="L46" s="8"/>
      <c r="M46" s="8"/>
      <c r="N46" s="8">
        <f>SUMIFS('[1]Finanace - Incentive Data'!BE:BE,'[1]Finanace - Incentive Data'!BS:BS,"Y",'[1]Finanace - Incentive Data'!H:H,$C$28,'[1]Finanace - Incentive Data'!R:R,$B46)</f>
        <v>0</v>
      </c>
      <c r="O46" s="8">
        <f t="shared" si="1"/>
        <v>0</v>
      </c>
    </row>
    <row r="47" spans="1:15" x14ac:dyDescent="0.3">
      <c r="A47" s="11"/>
      <c r="B47" s="5"/>
      <c r="C47" s="12"/>
      <c r="D47" s="13"/>
      <c r="E47" s="13"/>
      <c r="F47" s="5"/>
      <c r="G47" s="14"/>
      <c r="H47" s="15"/>
      <c r="I47" s="12"/>
      <c r="J47" s="5"/>
      <c r="K47" s="5"/>
      <c r="L47" s="8"/>
      <c r="M47" s="8"/>
      <c r="N47" s="8">
        <f>SUMIFS('[1]Finanace - Incentive Data'!BE:BE,'[1]Finanace - Incentive Data'!BS:BS,"Y",'[1]Finanace - Incentive Data'!H:H,$C$28,'[1]Finanace - Incentive Data'!R:R,$B47)</f>
        <v>0</v>
      </c>
      <c r="O47" s="8">
        <f t="shared" si="1"/>
        <v>0</v>
      </c>
    </row>
    <row r="48" spans="1:15" x14ac:dyDescent="0.3">
      <c r="A48" s="11"/>
      <c r="B48" s="5"/>
      <c r="C48" s="12"/>
      <c r="D48" s="13"/>
      <c r="E48" s="13"/>
      <c r="F48" s="5"/>
      <c r="G48" s="14"/>
      <c r="H48" s="15"/>
      <c r="I48" s="12"/>
      <c r="J48" s="5"/>
      <c r="K48" s="5"/>
      <c r="L48" s="8"/>
      <c r="M48" s="8"/>
      <c r="N48" s="8">
        <f>SUMIFS('[1]Finanace - Incentive Data'!BE:BE,'[1]Finanace - Incentive Data'!BS:BS,"Y",'[1]Finanace - Incentive Data'!H:H,$C$28,'[1]Finanace - Incentive Data'!R:R,$B48)</f>
        <v>0</v>
      </c>
      <c r="O48" s="8">
        <f t="shared" si="1"/>
        <v>0</v>
      </c>
    </row>
    <row r="51" spans="1:15" ht="43.2" x14ac:dyDescent="0.3">
      <c r="A51" s="1" t="s">
        <v>0</v>
      </c>
      <c r="B51" s="1" t="s">
        <v>1</v>
      </c>
      <c r="C51" s="1" t="s">
        <v>2</v>
      </c>
      <c r="D51" s="1" t="s">
        <v>3</v>
      </c>
      <c r="E51" s="1" t="s">
        <v>4</v>
      </c>
      <c r="F51" s="1" t="s">
        <v>5</v>
      </c>
      <c r="G51" s="1" t="s">
        <v>6</v>
      </c>
      <c r="H51" s="1" t="s">
        <v>7</v>
      </c>
      <c r="I51" s="1" t="s">
        <v>8</v>
      </c>
      <c r="J51" s="1" t="s">
        <v>9</v>
      </c>
      <c r="K51" s="2" t="s">
        <v>10</v>
      </c>
      <c r="L51" s="2" t="s">
        <v>11</v>
      </c>
      <c r="M51" s="3"/>
      <c r="N51" s="3"/>
    </row>
    <row r="52" spans="1:15" x14ac:dyDescent="0.3">
      <c r="A52" s="5" t="s">
        <v>12</v>
      </c>
      <c r="B52" s="4" t="str">
        <f>_xlfn.XLOOKUP($C52,'[1]Basic EMP Data - 2026'!$D$3:$D$224,'[1]Basic EMP Data - 2026'!$C$3:$C$224)</f>
        <v>VB0631</v>
      </c>
      <c r="C52" s="6" t="s">
        <v>29</v>
      </c>
      <c r="D52" s="5" t="str">
        <f>VLOOKUP($B52,'[1]Basic EMP Data - 2026'!$C$3:$F$224,3,0)</f>
        <v>Rohit Gupta</v>
      </c>
      <c r="E52" s="5">
        <f>VLOOKUP($B52,'[1]Basic EMP Data - 2026'!$C$3:$I$224,5,0)</f>
        <v>8</v>
      </c>
      <c r="F52" s="5">
        <f>VLOOKUP($B52,'[1]Basic EMP Data - 2026'!$C$3:$I$224,6,0)</f>
        <v>1</v>
      </c>
      <c r="G52" s="7">
        <f>F52/E52</f>
        <v>0.125</v>
      </c>
      <c r="H52" s="8">
        <f>SUM(L54:L72)</f>
        <v>3852.64</v>
      </c>
      <c r="I52" s="9" cm="1">
        <f t="array" ref="I52">_xlfn.IFS($G52&lt;=34%,0%,$G52&lt;=75%,3%,$G52&lt;=120%,4%,$G52&gt;120%,5%)</f>
        <v>0</v>
      </c>
      <c r="J52" s="8" cm="1">
        <f t="array" ref="J52">SUMPRODUCT((C54:C72=2026)*M54:M72*2)</f>
        <v>0</v>
      </c>
      <c r="K52" s="5">
        <f>SUM(N54:N72)</f>
        <v>0</v>
      </c>
      <c r="L52" s="8">
        <f>J52-K52</f>
        <v>0</v>
      </c>
      <c r="M52" s="3"/>
      <c r="N52" s="3"/>
    </row>
    <row r="53" spans="1:15" ht="43.2" x14ac:dyDescent="0.3">
      <c r="A53" s="10" t="s">
        <v>2</v>
      </c>
      <c r="B53" s="10" t="s">
        <v>14</v>
      </c>
      <c r="C53" s="10" t="s">
        <v>15</v>
      </c>
      <c r="D53" s="10" t="s">
        <v>16</v>
      </c>
      <c r="E53" s="10" t="s">
        <v>17</v>
      </c>
      <c r="F53" s="10" t="s">
        <v>18</v>
      </c>
      <c r="G53" s="10" t="s">
        <v>19</v>
      </c>
      <c r="H53" s="10" t="s">
        <v>20</v>
      </c>
      <c r="I53" s="10" t="s">
        <v>21</v>
      </c>
      <c r="J53" s="10" t="s">
        <v>22</v>
      </c>
      <c r="K53" s="10" t="s">
        <v>23</v>
      </c>
      <c r="L53" s="10" t="s">
        <v>24</v>
      </c>
      <c r="M53" s="10" t="s">
        <v>25</v>
      </c>
      <c r="N53" s="10" t="s">
        <v>26</v>
      </c>
      <c r="O53" s="10" t="s">
        <v>27</v>
      </c>
    </row>
    <row r="54" spans="1:15" x14ac:dyDescent="0.3">
      <c r="A54" s="11" t="str">
        <f>C52</f>
        <v>Saif Ahmad Ansari</v>
      </c>
      <c r="B54" s="5" t="str" cm="1">
        <f t="array" ref="B54:M54">_xlfn.LET(
  _xlpm.data, _xlfn._xlws.FILTER('[1]Finanace - Incentive Data'!A:CA, '[1]Finanace - Incentive Data'!H:H=$C52),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Jagan Kurma</v>
      </c>
      <c r="C54" s="12">
        <v>2026</v>
      </c>
      <c r="D54" s="13">
        <v>46083</v>
      </c>
      <c r="E54" s="13">
        <v>0</v>
      </c>
      <c r="F54" s="5" t="str">
        <v>CoForge</v>
      </c>
      <c r="G54" s="14" t="str">
        <v>PLC-4700</v>
      </c>
      <c r="H54" s="15" t="str">
        <v>C2C</v>
      </c>
      <c r="I54" s="12" t="str">
        <v>-</v>
      </c>
      <c r="J54" s="5" t="str">
        <v>-</v>
      </c>
      <c r="K54" s="5">
        <v>352</v>
      </c>
      <c r="L54" s="8">
        <v>3852.64</v>
      </c>
      <c r="M54" s="8">
        <v>0</v>
      </c>
      <c r="N54" s="8">
        <f>SUMIFS('[1]Finanace - Incentive Data'!BE:BE,'[1]Finanace - Incentive Data'!BS:BS,"Y",'[1]Finanace - Incentive Data'!H:H,$C$52,'[1]Finanace - Incentive Data'!R:R,$B54)</f>
        <v>0</v>
      </c>
      <c r="O54" s="8">
        <f>M54-N54</f>
        <v>0</v>
      </c>
    </row>
    <row r="55" spans="1:15" x14ac:dyDescent="0.3">
      <c r="A55" s="11"/>
      <c r="B55" s="5"/>
      <c r="C55" s="12"/>
      <c r="D55" s="13"/>
      <c r="E55" s="13"/>
      <c r="F55" s="5"/>
      <c r="G55" s="14"/>
      <c r="H55" s="15"/>
      <c r="I55" s="12"/>
      <c r="J55" s="5"/>
      <c r="K55" s="5"/>
      <c r="L55" s="8"/>
      <c r="M55" s="8"/>
      <c r="N55" s="8">
        <f>SUMIFS('[1]Finanace - Incentive Data'!BE:BE,'[1]Finanace - Incentive Data'!BS:BS,"Y",'[1]Finanace - Incentive Data'!H:H,$C$52,'[1]Finanace - Incentive Data'!R:R,$B55)</f>
        <v>0</v>
      </c>
      <c r="O55" s="8">
        <f t="shared" ref="O55:O72" si="2">M55-N55</f>
        <v>0</v>
      </c>
    </row>
    <row r="56" spans="1:15" x14ac:dyDescent="0.3">
      <c r="A56" s="11"/>
      <c r="B56" s="5"/>
      <c r="C56" s="12"/>
      <c r="D56" s="13"/>
      <c r="E56" s="13"/>
      <c r="F56" s="5"/>
      <c r="G56" s="14"/>
      <c r="H56" s="15"/>
      <c r="I56" s="12"/>
      <c r="J56" s="5"/>
      <c r="K56" s="5"/>
      <c r="L56" s="8"/>
      <c r="M56" s="8"/>
      <c r="N56" s="8">
        <f>SUMIFS('[1]Finanace - Incentive Data'!BE:BE,'[1]Finanace - Incentive Data'!BS:BS,"Y",'[1]Finanace - Incentive Data'!H:H,$C$52,'[1]Finanace - Incentive Data'!R:R,$B56)</f>
        <v>0</v>
      </c>
      <c r="O56" s="8">
        <f t="shared" si="2"/>
        <v>0</v>
      </c>
    </row>
    <row r="57" spans="1:15" x14ac:dyDescent="0.3">
      <c r="A57" s="11"/>
      <c r="B57" s="5"/>
      <c r="C57" s="12"/>
      <c r="D57" s="13"/>
      <c r="E57" s="13"/>
      <c r="F57" s="5"/>
      <c r="G57" s="14"/>
      <c r="H57" s="15"/>
      <c r="I57" s="12"/>
      <c r="J57" s="5"/>
      <c r="K57" s="5"/>
      <c r="L57" s="8"/>
      <c r="M57" s="8"/>
      <c r="N57" s="8">
        <f>SUMIFS('[1]Finanace - Incentive Data'!BE:BE,'[1]Finanace - Incentive Data'!BS:BS,"Y",'[1]Finanace - Incentive Data'!H:H,$C$52,'[1]Finanace - Incentive Data'!R:R,$B57)</f>
        <v>0</v>
      </c>
      <c r="O57" s="8">
        <f t="shared" si="2"/>
        <v>0</v>
      </c>
    </row>
    <row r="58" spans="1:15" x14ac:dyDescent="0.3">
      <c r="A58" s="11"/>
      <c r="B58" s="5"/>
      <c r="C58" s="12"/>
      <c r="D58" s="13"/>
      <c r="E58" s="13"/>
      <c r="F58" s="5"/>
      <c r="G58" s="14"/>
      <c r="H58" s="15"/>
      <c r="I58" s="12"/>
      <c r="J58" s="5"/>
      <c r="K58" s="5"/>
      <c r="L58" s="8"/>
      <c r="M58" s="8"/>
      <c r="N58" s="8">
        <f>SUMIFS('[1]Finanace - Incentive Data'!BE:BE,'[1]Finanace - Incentive Data'!BS:BS,"Y",'[1]Finanace - Incentive Data'!H:H,$C$52,'[1]Finanace - Incentive Data'!R:R,$B58)</f>
        <v>0</v>
      </c>
      <c r="O58" s="8">
        <f t="shared" si="2"/>
        <v>0</v>
      </c>
    </row>
    <row r="59" spans="1:15" x14ac:dyDescent="0.3">
      <c r="A59" s="11"/>
      <c r="B59" s="5"/>
      <c r="C59" s="12"/>
      <c r="D59" s="13"/>
      <c r="E59" s="13"/>
      <c r="F59" s="5"/>
      <c r="G59" s="14"/>
      <c r="H59" s="15"/>
      <c r="I59" s="12"/>
      <c r="J59" s="5"/>
      <c r="K59" s="5"/>
      <c r="L59" s="8"/>
      <c r="M59" s="8"/>
      <c r="N59" s="8">
        <f>SUMIFS('[1]Finanace - Incentive Data'!BE:BE,'[1]Finanace - Incentive Data'!BS:BS,"Y",'[1]Finanace - Incentive Data'!H:H,$C$52,'[1]Finanace - Incentive Data'!R:R,$B59)</f>
        <v>0</v>
      </c>
      <c r="O59" s="8">
        <f t="shared" si="2"/>
        <v>0</v>
      </c>
    </row>
    <row r="60" spans="1:15" x14ac:dyDescent="0.3">
      <c r="A60" s="11"/>
      <c r="B60" s="5"/>
      <c r="C60" s="12"/>
      <c r="D60" s="13"/>
      <c r="E60" s="13"/>
      <c r="F60" s="5"/>
      <c r="G60" s="14"/>
      <c r="H60" s="15"/>
      <c r="I60" s="12"/>
      <c r="J60" s="5"/>
      <c r="K60" s="5"/>
      <c r="L60" s="8"/>
      <c r="M60" s="8"/>
      <c r="N60" s="8">
        <f>SUMIFS('[1]Finanace - Incentive Data'!BE:BE,'[1]Finanace - Incentive Data'!BS:BS,"Y",'[1]Finanace - Incentive Data'!H:H,$C$52,'[1]Finanace - Incentive Data'!R:R,$B60)</f>
        <v>0</v>
      </c>
      <c r="O60" s="8">
        <f t="shared" si="2"/>
        <v>0</v>
      </c>
    </row>
    <row r="61" spans="1:15" x14ac:dyDescent="0.3">
      <c r="A61" s="11"/>
      <c r="B61" s="5"/>
      <c r="C61" s="12"/>
      <c r="D61" s="13"/>
      <c r="E61" s="13"/>
      <c r="F61" s="5"/>
      <c r="G61" s="14"/>
      <c r="H61" s="15"/>
      <c r="I61" s="12"/>
      <c r="J61" s="5"/>
      <c r="K61" s="5"/>
      <c r="L61" s="8"/>
      <c r="M61" s="8"/>
      <c r="N61" s="8">
        <f>SUMIFS('[1]Finanace - Incentive Data'!BE:BE,'[1]Finanace - Incentive Data'!BS:BS,"Y",'[1]Finanace - Incentive Data'!H:H,$C$52,'[1]Finanace - Incentive Data'!R:R,$B61)</f>
        <v>0</v>
      </c>
      <c r="O61" s="8">
        <f t="shared" si="2"/>
        <v>0</v>
      </c>
    </row>
    <row r="62" spans="1:15" x14ac:dyDescent="0.3">
      <c r="A62" s="11"/>
      <c r="B62" s="5"/>
      <c r="C62" s="12"/>
      <c r="D62" s="13"/>
      <c r="E62" s="13"/>
      <c r="F62" s="5"/>
      <c r="G62" s="14"/>
      <c r="H62" s="15"/>
      <c r="I62" s="12"/>
      <c r="J62" s="5"/>
      <c r="K62" s="5"/>
      <c r="L62" s="8"/>
      <c r="M62" s="8"/>
      <c r="N62" s="8">
        <f>SUMIFS('[1]Finanace - Incentive Data'!BE:BE,'[1]Finanace - Incentive Data'!BS:BS,"Y",'[1]Finanace - Incentive Data'!H:H,$C$52,'[1]Finanace - Incentive Data'!R:R,$B62)</f>
        <v>0</v>
      </c>
      <c r="O62" s="8">
        <f t="shared" si="2"/>
        <v>0</v>
      </c>
    </row>
    <row r="63" spans="1:15" x14ac:dyDescent="0.3">
      <c r="A63" s="11"/>
      <c r="B63" s="5"/>
      <c r="C63" s="12"/>
      <c r="D63" s="13"/>
      <c r="E63" s="13"/>
      <c r="F63" s="5"/>
      <c r="G63" s="14"/>
      <c r="H63" s="15"/>
      <c r="I63" s="12"/>
      <c r="J63" s="5"/>
      <c r="K63" s="5"/>
      <c r="L63" s="8"/>
      <c r="M63" s="8"/>
      <c r="N63" s="8">
        <f>SUMIFS('[1]Finanace - Incentive Data'!BE:BE,'[1]Finanace - Incentive Data'!BS:BS,"Y",'[1]Finanace - Incentive Data'!H:H,$C$52,'[1]Finanace - Incentive Data'!R:R,$B63)</f>
        <v>0</v>
      </c>
      <c r="O63" s="8">
        <f t="shared" si="2"/>
        <v>0</v>
      </c>
    </row>
    <row r="64" spans="1:15" x14ac:dyDescent="0.3">
      <c r="A64" s="11"/>
      <c r="B64" s="5"/>
      <c r="C64" s="12"/>
      <c r="D64" s="13"/>
      <c r="E64" s="13"/>
      <c r="F64" s="5"/>
      <c r="G64" s="14"/>
      <c r="H64" s="15"/>
      <c r="I64" s="12"/>
      <c r="J64" s="5"/>
      <c r="K64" s="5"/>
      <c r="L64" s="8"/>
      <c r="M64" s="8"/>
      <c r="N64" s="8">
        <f>SUMIFS('[1]Finanace - Incentive Data'!BE:BE,'[1]Finanace - Incentive Data'!BS:BS,"Y",'[1]Finanace - Incentive Data'!H:H,$C$52,'[1]Finanace - Incentive Data'!R:R,$B64)</f>
        <v>0</v>
      </c>
      <c r="O64" s="8">
        <f t="shared" si="2"/>
        <v>0</v>
      </c>
    </row>
    <row r="65" spans="1:15" x14ac:dyDescent="0.3">
      <c r="A65" s="11"/>
      <c r="B65" s="5"/>
      <c r="C65" s="12"/>
      <c r="D65" s="13"/>
      <c r="E65" s="13"/>
      <c r="F65" s="5"/>
      <c r="G65" s="14"/>
      <c r="H65" s="15"/>
      <c r="I65" s="12"/>
      <c r="J65" s="5"/>
      <c r="K65" s="5"/>
      <c r="L65" s="8"/>
      <c r="M65" s="8"/>
      <c r="N65" s="8">
        <f>SUMIFS('[1]Finanace - Incentive Data'!BE:BE,'[1]Finanace - Incentive Data'!BS:BS,"Y",'[1]Finanace - Incentive Data'!H:H,$C$52,'[1]Finanace - Incentive Data'!R:R,$B65)</f>
        <v>0</v>
      </c>
      <c r="O65" s="8">
        <f t="shared" si="2"/>
        <v>0</v>
      </c>
    </row>
    <row r="66" spans="1:15" x14ac:dyDescent="0.3">
      <c r="A66" s="11"/>
      <c r="B66" s="5"/>
      <c r="C66" s="12"/>
      <c r="D66" s="13"/>
      <c r="E66" s="13"/>
      <c r="F66" s="5"/>
      <c r="G66" s="14"/>
      <c r="H66" s="15"/>
      <c r="I66" s="12"/>
      <c r="J66" s="5"/>
      <c r="K66" s="5"/>
      <c r="L66" s="8"/>
      <c r="M66" s="8"/>
      <c r="N66" s="8">
        <f>SUMIFS('[1]Finanace - Incentive Data'!BE:BE,'[1]Finanace - Incentive Data'!BS:BS,"Y",'[1]Finanace - Incentive Data'!H:H,$C$52,'[1]Finanace - Incentive Data'!R:R,$B66)</f>
        <v>0</v>
      </c>
      <c r="O66" s="8">
        <f t="shared" si="2"/>
        <v>0</v>
      </c>
    </row>
    <row r="67" spans="1:15" x14ac:dyDescent="0.3">
      <c r="A67" s="11"/>
      <c r="B67" s="5"/>
      <c r="C67" s="12"/>
      <c r="D67" s="13"/>
      <c r="E67" s="13"/>
      <c r="F67" s="5"/>
      <c r="G67" s="14"/>
      <c r="H67" s="15"/>
      <c r="I67" s="12"/>
      <c r="J67" s="5"/>
      <c r="K67" s="5"/>
      <c r="L67" s="8"/>
      <c r="M67" s="8"/>
      <c r="N67" s="8">
        <f>SUMIFS('[1]Finanace - Incentive Data'!BE:BE,'[1]Finanace - Incentive Data'!BS:BS,"Y",'[1]Finanace - Incentive Data'!H:H,$C$52,'[1]Finanace - Incentive Data'!R:R,$B67)</f>
        <v>0</v>
      </c>
      <c r="O67" s="8">
        <f t="shared" si="2"/>
        <v>0</v>
      </c>
    </row>
    <row r="68" spans="1:15" x14ac:dyDescent="0.3">
      <c r="A68" s="11"/>
      <c r="B68" s="5"/>
      <c r="C68" s="12"/>
      <c r="D68" s="13"/>
      <c r="E68" s="13"/>
      <c r="F68" s="5"/>
      <c r="G68" s="14"/>
      <c r="H68" s="15"/>
      <c r="I68" s="12"/>
      <c r="J68" s="5"/>
      <c r="K68" s="5"/>
      <c r="L68" s="8"/>
      <c r="M68" s="8"/>
      <c r="N68" s="8">
        <f>SUMIFS('[1]Finanace - Incentive Data'!BE:BE,'[1]Finanace - Incentive Data'!BS:BS,"Y",'[1]Finanace - Incentive Data'!H:H,$C$52,'[1]Finanace - Incentive Data'!R:R,$B68)</f>
        <v>0</v>
      </c>
      <c r="O68" s="8">
        <f t="shared" si="2"/>
        <v>0</v>
      </c>
    </row>
    <row r="69" spans="1:15" x14ac:dyDescent="0.3">
      <c r="A69" s="11"/>
      <c r="B69" s="5"/>
      <c r="C69" s="12"/>
      <c r="D69" s="13"/>
      <c r="E69" s="13"/>
      <c r="F69" s="5"/>
      <c r="G69" s="14"/>
      <c r="H69" s="15"/>
      <c r="I69" s="12"/>
      <c r="J69" s="5"/>
      <c r="K69" s="5"/>
      <c r="L69" s="8"/>
      <c r="M69" s="8"/>
      <c r="N69" s="8">
        <f>SUMIFS('[1]Finanace - Incentive Data'!BE:BE,'[1]Finanace - Incentive Data'!BS:BS,"Y",'[1]Finanace - Incentive Data'!H:H,$C$52,'[1]Finanace - Incentive Data'!R:R,$B69)</f>
        <v>0</v>
      </c>
      <c r="O69" s="8">
        <f t="shared" si="2"/>
        <v>0</v>
      </c>
    </row>
    <row r="70" spans="1:15" x14ac:dyDescent="0.3">
      <c r="A70" s="11"/>
      <c r="B70" s="5"/>
      <c r="C70" s="12"/>
      <c r="D70" s="13"/>
      <c r="E70" s="13"/>
      <c r="F70" s="5"/>
      <c r="G70" s="14"/>
      <c r="H70" s="15"/>
      <c r="I70" s="12"/>
      <c r="J70" s="5"/>
      <c r="K70" s="5"/>
      <c r="L70" s="8"/>
      <c r="M70" s="8"/>
      <c r="N70" s="8">
        <f>SUMIFS('[1]Finanace - Incentive Data'!BE:BE,'[1]Finanace - Incentive Data'!BS:BS,"Y",'[1]Finanace - Incentive Data'!H:H,$C$52,'[1]Finanace - Incentive Data'!R:R,$B70)</f>
        <v>0</v>
      </c>
      <c r="O70" s="8">
        <f t="shared" si="2"/>
        <v>0</v>
      </c>
    </row>
    <row r="71" spans="1:15" x14ac:dyDescent="0.3">
      <c r="A71" s="11"/>
      <c r="B71" s="5"/>
      <c r="C71" s="12"/>
      <c r="D71" s="13"/>
      <c r="E71" s="13"/>
      <c r="F71" s="5"/>
      <c r="G71" s="14"/>
      <c r="H71" s="15"/>
      <c r="I71" s="12"/>
      <c r="J71" s="5"/>
      <c r="K71" s="5"/>
      <c r="L71" s="8"/>
      <c r="M71" s="8"/>
      <c r="N71" s="8">
        <f>SUMIFS('[1]Finanace - Incentive Data'!BE:BE,'[1]Finanace - Incentive Data'!BS:BS,"Y",'[1]Finanace - Incentive Data'!H:H,$C$52,'[1]Finanace - Incentive Data'!R:R,$B71)</f>
        <v>0</v>
      </c>
      <c r="O71" s="8">
        <f t="shared" si="2"/>
        <v>0</v>
      </c>
    </row>
    <row r="72" spans="1:15" x14ac:dyDescent="0.3">
      <c r="A72" s="11"/>
      <c r="B72" s="5"/>
      <c r="C72" s="12"/>
      <c r="D72" s="13"/>
      <c r="E72" s="13"/>
      <c r="F72" s="5"/>
      <c r="G72" s="14"/>
      <c r="H72" s="15"/>
      <c r="I72" s="12"/>
      <c r="J72" s="5"/>
      <c r="K72" s="5"/>
      <c r="L72" s="8"/>
      <c r="M72" s="8"/>
      <c r="N72" s="8">
        <f>SUMIFS('[1]Finanace - Incentive Data'!BE:BE,'[1]Finanace - Incentive Data'!BS:BS,"Y",'[1]Finanace - Incentive Data'!H:H,$C$52,'[1]Finanace - Incentive Data'!R:R,$B72)</f>
        <v>0</v>
      </c>
      <c r="O72" s="8">
        <f t="shared" si="2"/>
        <v>0</v>
      </c>
    </row>
    <row r="75" spans="1:15" ht="43.2" x14ac:dyDescent="0.3">
      <c r="A75" s="1" t="s">
        <v>0</v>
      </c>
      <c r="B75" s="1" t="s">
        <v>1</v>
      </c>
      <c r="C75" s="1" t="s">
        <v>2</v>
      </c>
      <c r="D75" s="1" t="s">
        <v>3</v>
      </c>
      <c r="E75" s="1" t="s">
        <v>4</v>
      </c>
      <c r="F75" s="1" t="s">
        <v>5</v>
      </c>
      <c r="G75" s="1" t="s">
        <v>6</v>
      </c>
      <c r="H75" s="1" t="s">
        <v>7</v>
      </c>
      <c r="I75" s="1" t="s">
        <v>8</v>
      </c>
      <c r="J75" s="1" t="s">
        <v>9</v>
      </c>
      <c r="K75" s="2" t="s">
        <v>10</v>
      </c>
      <c r="L75" s="2" t="s">
        <v>11</v>
      </c>
      <c r="M75" s="3"/>
      <c r="N75" s="3"/>
    </row>
    <row r="76" spans="1:15" x14ac:dyDescent="0.3">
      <c r="A76" s="5" t="s">
        <v>12</v>
      </c>
      <c r="B76" s="4" t="str">
        <f>_xlfn.XLOOKUP($C76,'[1]Basic EMP Data - 2026'!$D$3:$D$224,'[1]Basic EMP Data - 2026'!$C$3:$C$224)</f>
        <v>VB1125</v>
      </c>
      <c r="C76" s="6" t="s">
        <v>30</v>
      </c>
      <c r="D76" s="5" t="str">
        <f>VLOOKUP($B76,'[1]Basic EMP Data - 2026'!$C$3:$F$224,3,0)</f>
        <v>Rohit Gupta</v>
      </c>
      <c r="E76" s="5">
        <f>VLOOKUP($B76,'[1]Basic EMP Data - 2026'!$C$3:$I$224,5,0)</f>
        <v>7</v>
      </c>
      <c r="F76" s="5">
        <f>VLOOKUP($B76,'[1]Basic EMP Data - 2026'!$C$3:$I$224,6,0)</f>
        <v>0</v>
      </c>
      <c r="G76" s="7">
        <f>F76/E76</f>
        <v>0</v>
      </c>
      <c r="H76" s="8">
        <f>SUM(L78:L96)</f>
        <v>0</v>
      </c>
      <c r="I76" s="9" cm="1">
        <f t="array" ref="I76">_xlfn.IFS($G76&lt;=34%,0%,$G76&lt;=75%,3%,$G76&lt;=120%,4%,$G76&gt;120%,5%)</f>
        <v>0</v>
      </c>
      <c r="J76" s="8" cm="1">
        <f t="array" ref="J76">SUMPRODUCT((C78:C96=2026)*M78:M96*2)</f>
        <v>0</v>
      </c>
      <c r="K76" s="5">
        <f>SUM(N78:N96)</f>
        <v>0</v>
      </c>
      <c r="L76" s="8">
        <f>J76-K76</f>
        <v>0</v>
      </c>
      <c r="M76" s="3"/>
      <c r="N76" s="3"/>
    </row>
    <row r="77" spans="1:15" ht="43.2" x14ac:dyDescent="0.3">
      <c r="A77" s="10" t="s">
        <v>2</v>
      </c>
      <c r="B77" s="10" t="s">
        <v>14</v>
      </c>
      <c r="C77" s="10" t="s">
        <v>15</v>
      </c>
      <c r="D77" s="10" t="s">
        <v>16</v>
      </c>
      <c r="E77" s="10" t="s">
        <v>17</v>
      </c>
      <c r="F77" s="10" t="s">
        <v>18</v>
      </c>
      <c r="G77" s="10" t="s">
        <v>19</v>
      </c>
      <c r="H77" s="10" t="s">
        <v>20</v>
      </c>
      <c r="I77" s="10" t="s">
        <v>21</v>
      </c>
      <c r="J77" s="10" t="s">
        <v>22</v>
      </c>
      <c r="K77" s="10" t="s">
        <v>23</v>
      </c>
      <c r="L77" s="10" t="s">
        <v>24</v>
      </c>
      <c r="M77" s="10" t="s">
        <v>25</v>
      </c>
      <c r="N77" s="10" t="s">
        <v>26</v>
      </c>
      <c r="O77" s="10" t="s">
        <v>27</v>
      </c>
    </row>
    <row r="78" spans="1:15" x14ac:dyDescent="0.3">
      <c r="A78" s="11" t="str">
        <f>C76</f>
        <v>Mohd Danish</v>
      </c>
      <c r="B78" s="5" t="e" cm="1" vm="1">
        <f t="array" ref="B78">_xlfn.LET(
  _xlpm.data, _xlfn._xlws.FILTER('[1]Finanace - Incentive Data'!A:CA, '[1]Finanace - Incentive Data'!H:H=$C76),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78" s="12"/>
      <c r="D78" s="13"/>
      <c r="E78" s="13"/>
      <c r="F78" s="5"/>
      <c r="G78" s="14"/>
      <c r="H78" s="15"/>
      <c r="I78" s="12"/>
      <c r="J78" s="5"/>
      <c r="K78" s="5"/>
      <c r="L78" s="8"/>
      <c r="M78" s="8"/>
      <c r="N78" s="8">
        <f>SUMIFS('[1]Finanace - Incentive Data'!BE:BE,'[1]Finanace - Incentive Data'!BS:BS,"Y",'[1]Finanace - Incentive Data'!H:H,$C$76,'[1]Finanace - Incentive Data'!R:R,$B78)</f>
        <v>0</v>
      </c>
      <c r="O78" s="8">
        <f>M78-N78</f>
        <v>0</v>
      </c>
    </row>
    <row r="79" spans="1:15" x14ac:dyDescent="0.3">
      <c r="A79" s="11"/>
      <c r="B79" s="5"/>
      <c r="C79" s="12"/>
      <c r="D79" s="13"/>
      <c r="E79" s="13"/>
      <c r="F79" s="5"/>
      <c r="G79" s="14"/>
      <c r="H79" s="15"/>
      <c r="I79" s="12"/>
      <c r="J79" s="5"/>
      <c r="K79" s="5"/>
      <c r="L79" s="8"/>
      <c r="M79" s="8"/>
      <c r="N79" s="8">
        <f>SUMIFS('[1]Finanace - Incentive Data'!BE:BE,'[1]Finanace - Incentive Data'!BS:BS,"Y",'[1]Finanace - Incentive Data'!H:H,$C$76,'[1]Finanace - Incentive Data'!R:R,$B79)</f>
        <v>0</v>
      </c>
      <c r="O79" s="8">
        <f t="shared" ref="O79:O96" si="3">M79-N79</f>
        <v>0</v>
      </c>
    </row>
    <row r="80" spans="1:15" x14ac:dyDescent="0.3">
      <c r="A80" s="11"/>
      <c r="B80" s="5"/>
      <c r="C80" s="12"/>
      <c r="D80" s="13"/>
      <c r="E80" s="13"/>
      <c r="F80" s="5"/>
      <c r="G80" s="14"/>
      <c r="H80" s="15"/>
      <c r="I80" s="12"/>
      <c r="J80" s="5"/>
      <c r="K80" s="5"/>
      <c r="L80" s="8"/>
      <c r="M80" s="8"/>
      <c r="N80" s="8">
        <f>SUMIFS('[1]Finanace - Incentive Data'!BE:BE,'[1]Finanace - Incentive Data'!BS:BS,"Y",'[1]Finanace - Incentive Data'!H:H,$C$76,'[1]Finanace - Incentive Data'!R:R,$B80)</f>
        <v>0</v>
      </c>
      <c r="O80" s="8">
        <f t="shared" si="3"/>
        <v>0</v>
      </c>
    </row>
    <row r="81" spans="1:15" x14ac:dyDescent="0.3">
      <c r="A81" s="11"/>
      <c r="B81" s="5"/>
      <c r="C81" s="12"/>
      <c r="D81" s="13"/>
      <c r="E81" s="13"/>
      <c r="F81" s="5"/>
      <c r="G81" s="14"/>
      <c r="H81" s="15"/>
      <c r="I81" s="12"/>
      <c r="J81" s="5"/>
      <c r="K81" s="5"/>
      <c r="L81" s="8"/>
      <c r="M81" s="8"/>
      <c r="N81" s="8">
        <f>SUMIFS('[1]Finanace - Incentive Data'!BE:BE,'[1]Finanace - Incentive Data'!BS:BS,"Y",'[1]Finanace - Incentive Data'!H:H,$C$76,'[1]Finanace - Incentive Data'!R:R,$B81)</f>
        <v>0</v>
      </c>
      <c r="O81" s="8">
        <f t="shared" si="3"/>
        <v>0</v>
      </c>
    </row>
    <row r="82" spans="1:15" x14ac:dyDescent="0.3">
      <c r="A82" s="11"/>
      <c r="B82" s="5"/>
      <c r="C82" s="12"/>
      <c r="D82" s="13"/>
      <c r="E82" s="13"/>
      <c r="F82" s="5"/>
      <c r="G82" s="14"/>
      <c r="H82" s="15"/>
      <c r="I82" s="12"/>
      <c r="J82" s="5"/>
      <c r="K82" s="5"/>
      <c r="L82" s="8"/>
      <c r="M82" s="8"/>
      <c r="N82" s="8">
        <f>SUMIFS('[1]Finanace - Incentive Data'!BE:BE,'[1]Finanace - Incentive Data'!BS:BS,"Y",'[1]Finanace - Incentive Data'!H:H,$C$76,'[1]Finanace - Incentive Data'!R:R,$B82)</f>
        <v>0</v>
      </c>
      <c r="O82" s="8">
        <f t="shared" si="3"/>
        <v>0</v>
      </c>
    </row>
    <row r="83" spans="1:15" x14ac:dyDescent="0.3">
      <c r="A83" s="11"/>
      <c r="B83" s="5"/>
      <c r="C83" s="12"/>
      <c r="D83" s="13"/>
      <c r="E83" s="13"/>
      <c r="F83" s="5"/>
      <c r="G83" s="14"/>
      <c r="H83" s="15"/>
      <c r="I83" s="12"/>
      <c r="J83" s="5"/>
      <c r="K83" s="5"/>
      <c r="L83" s="8"/>
      <c r="M83" s="8"/>
      <c r="N83" s="8">
        <f>SUMIFS('[1]Finanace - Incentive Data'!BE:BE,'[1]Finanace - Incentive Data'!BS:BS,"Y",'[1]Finanace - Incentive Data'!H:H,$C$76,'[1]Finanace - Incentive Data'!R:R,$B83)</f>
        <v>0</v>
      </c>
      <c r="O83" s="8">
        <f t="shared" si="3"/>
        <v>0</v>
      </c>
    </row>
    <row r="84" spans="1:15" x14ac:dyDescent="0.3">
      <c r="A84" s="11"/>
      <c r="B84" s="5"/>
      <c r="C84" s="12"/>
      <c r="D84" s="13"/>
      <c r="E84" s="13"/>
      <c r="F84" s="5"/>
      <c r="G84" s="14"/>
      <c r="H84" s="15"/>
      <c r="I84" s="12"/>
      <c r="J84" s="5"/>
      <c r="K84" s="5"/>
      <c r="L84" s="8"/>
      <c r="M84" s="8"/>
      <c r="N84" s="8">
        <f>SUMIFS('[1]Finanace - Incentive Data'!BE:BE,'[1]Finanace - Incentive Data'!BS:BS,"Y",'[1]Finanace - Incentive Data'!H:H,$C$76,'[1]Finanace - Incentive Data'!R:R,$B84)</f>
        <v>0</v>
      </c>
      <c r="O84" s="8">
        <f t="shared" si="3"/>
        <v>0</v>
      </c>
    </row>
    <row r="85" spans="1:15" x14ac:dyDescent="0.3">
      <c r="A85" s="11"/>
      <c r="B85" s="5"/>
      <c r="C85" s="12"/>
      <c r="D85" s="13"/>
      <c r="E85" s="13"/>
      <c r="F85" s="5"/>
      <c r="G85" s="14"/>
      <c r="H85" s="15"/>
      <c r="I85" s="12"/>
      <c r="J85" s="5"/>
      <c r="K85" s="5"/>
      <c r="L85" s="8"/>
      <c r="M85" s="8"/>
      <c r="N85" s="8">
        <f>SUMIFS('[1]Finanace - Incentive Data'!BE:BE,'[1]Finanace - Incentive Data'!BS:BS,"Y",'[1]Finanace - Incentive Data'!H:H,$C$76,'[1]Finanace - Incentive Data'!R:R,$B85)</f>
        <v>0</v>
      </c>
      <c r="O85" s="8">
        <f t="shared" si="3"/>
        <v>0</v>
      </c>
    </row>
    <row r="86" spans="1:15" x14ac:dyDescent="0.3">
      <c r="A86" s="11"/>
      <c r="B86" s="5"/>
      <c r="C86" s="12"/>
      <c r="D86" s="13"/>
      <c r="E86" s="13"/>
      <c r="F86" s="5"/>
      <c r="G86" s="14"/>
      <c r="H86" s="15"/>
      <c r="I86" s="12"/>
      <c r="J86" s="5"/>
      <c r="K86" s="5"/>
      <c r="L86" s="8"/>
      <c r="M86" s="8"/>
      <c r="N86" s="8">
        <f>SUMIFS('[1]Finanace - Incentive Data'!BE:BE,'[1]Finanace - Incentive Data'!BS:BS,"Y",'[1]Finanace - Incentive Data'!H:H,$C$76,'[1]Finanace - Incentive Data'!R:R,$B86)</f>
        <v>0</v>
      </c>
      <c r="O86" s="8">
        <f t="shared" si="3"/>
        <v>0</v>
      </c>
    </row>
    <row r="87" spans="1:15" x14ac:dyDescent="0.3">
      <c r="A87" s="11"/>
      <c r="B87" s="5"/>
      <c r="C87" s="12"/>
      <c r="D87" s="13"/>
      <c r="E87" s="13"/>
      <c r="F87" s="5"/>
      <c r="G87" s="14"/>
      <c r="H87" s="15"/>
      <c r="I87" s="12"/>
      <c r="J87" s="5"/>
      <c r="K87" s="5"/>
      <c r="L87" s="8"/>
      <c r="M87" s="8"/>
      <c r="N87" s="8">
        <f>SUMIFS('[1]Finanace - Incentive Data'!BE:BE,'[1]Finanace - Incentive Data'!BS:BS,"Y",'[1]Finanace - Incentive Data'!H:H,$C$76,'[1]Finanace - Incentive Data'!R:R,$B87)</f>
        <v>0</v>
      </c>
      <c r="O87" s="8">
        <f t="shared" si="3"/>
        <v>0</v>
      </c>
    </row>
    <row r="88" spans="1:15" x14ac:dyDescent="0.3">
      <c r="A88" s="11"/>
      <c r="B88" s="5"/>
      <c r="C88" s="12"/>
      <c r="D88" s="13"/>
      <c r="E88" s="13"/>
      <c r="F88" s="5"/>
      <c r="G88" s="14"/>
      <c r="H88" s="15"/>
      <c r="I88" s="12"/>
      <c r="J88" s="5"/>
      <c r="K88" s="5"/>
      <c r="L88" s="8"/>
      <c r="M88" s="8"/>
      <c r="N88" s="8">
        <f>SUMIFS('[1]Finanace - Incentive Data'!BE:BE,'[1]Finanace - Incentive Data'!BS:BS,"Y",'[1]Finanace - Incentive Data'!H:H,$C$76,'[1]Finanace - Incentive Data'!R:R,$B88)</f>
        <v>0</v>
      </c>
      <c r="O88" s="8">
        <f t="shared" si="3"/>
        <v>0</v>
      </c>
    </row>
    <row r="89" spans="1:15" x14ac:dyDescent="0.3">
      <c r="A89" s="11"/>
      <c r="B89" s="5"/>
      <c r="C89" s="12"/>
      <c r="D89" s="13"/>
      <c r="E89" s="13"/>
      <c r="F89" s="5"/>
      <c r="G89" s="14"/>
      <c r="H89" s="15"/>
      <c r="I89" s="12"/>
      <c r="J89" s="5"/>
      <c r="K89" s="5"/>
      <c r="L89" s="8"/>
      <c r="M89" s="8"/>
      <c r="N89" s="8">
        <f>SUMIFS('[1]Finanace - Incentive Data'!BE:BE,'[1]Finanace - Incentive Data'!BS:BS,"Y",'[1]Finanace - Incentive Data'!H:H,$C$76,'[1]Finanace - Incentive Data'!R:R,$B89)</f>
        <v>0</v>
      </c>
      <c r="O89" s="8">
        <f t="shared" si="3"/>
        <v>0</v>
      </c>
    </row>
    <row r="90" spans="1:15" x14ac:dyDescent="0.3">
      <c r="A90" s="11"/>
      <c r="B90" s="5"/>
      <c r="C90" s="12"/>
      <c r="D90" s="13"/>
      <c r="E90" s="13"/>
      <c r="F90" s="5"/>
      <c r="G90" s="14"/>
      <c r="H90" s="15"/>
      <c r="I90" s="12"/>
      <c r="J90" s="5"/>
      <c r="K90" s="5"/>
      <c r="L90" s="8"/>
      <c r="M90" s="8"/>
      <c r="N90" s="8">
        <f>SUMIFS('[1]Finanace - Incentive Data'!BE:BE,'[1]Finanace - Incentive Data'!BS:BS,"Y",'[1]Finanace - Incentive Data'!H:H,$C$76,'[1]Finanace - Incentive Data'!R:R,$B90)</f>
        <v>0</v>
      </c>
      <c r="O90" s="8">
        <f t="shared" si="3"/>
        <v>0</v>
      </c>
    </row>
    <row r="91" spans="1:15" x14ac:dyDescent="0.3">
      <c r="A91" s="11"/>
      <c r="B91" s="5"/>
      <c r="C91" s="12"/>
      <c r="D91" s="13"/>
      <c r="E91" s="13"/>
      <c r="F91" s="5"/>
      <c r="G91" s="14"/>
      <c r="H91" s="15"/>
      <c r="I91" s="12"/>
      <c r="J91" s="5"/>
      <c r="K91" s="5"/>
      <c r="L91" s="8"/>
      <c r="M91" s="8"/>
      <c r="N91" s="8">
        <f>SUMIFS('[1]Finanace - Incentive Data'!BE:BE,'[1]Finanace - Incentive Data'!BS:BS,"Y",'[1]Finanace - Incentive Data'!H:H,$C$76,'[1]Finanace - Incentive Data'!R:R,$B91)</f>
        <v>0</v>
      </c>
      <c r="O91" s="8">
        <f t="shared" si="3"/>
        <v>0</v>
      </c>
    </row>
    <row r="92" spans="1:15" x14ac:dyDescent="0.3">
      <c r="A92" s="11"/>
      <c r="B92" s="5"/>
      <c r="C92" s="12"/>
      <c r="D92" s="13"/>
      <c r="E92" s="13"/>
      <c r="F92" s="5"/>
      <c r="G92" s="14"/>
      <c r="H92" s="15"/>
      <c r="I92" s="12"/>
      <c r="J92" s="5"/>
      <c r="K92" s="5"/>
      <c r="L92" s="8"/>
      <c r="M92" s="8"/>
      <c r="N92" s="8">
        <f>SUMIFS('[1]Finanace - Incentive Data'!BE:BE,'[1]Finanace - Incentive Data'!BS:BS,"Y",'[1]Finanace - Incentive Data'!H:H,$C$76,'[1]Finanace - Incentive Data'!R:R,$B92)</f>
        <v>0</v>
      </c>
      <c r="O92" s="8">
        <f t="shared" si="3"/>
        <v>0</v>
      </c>
    </row>
    <row r="93" spans="1:15" x14ac:dyDescent="0.3">
      <c r="A93" s="11"/>
      <c r="B93" s="5"/>
      <c r="C93" s="12"/>
      <c r="D93" s="13"/>
      <c r="E93" s="13"/>
      <c r="F93" s="5"/>
      <c r="G93" s="14"/>
      <c r="H93" s="15"/>
      <c r="I93" s="12"/>
      <c r="J93" s="5"/>
      <c r="K93" s="5"/>
      <c r="L93" s="8"/>
      <c r="M93" s="8"/>
      <c r="N93" s="8">
        <f>SUMIFS('[1]Finanace - Incentive Data'!BE:BE,'[1]Finanace - Incentive Data'!BS:BS,"Y",'[1]Finanace - Incentive Data'!H:H,$C$76,'[1]Finanace - Incentive Data'!R:R,$B93)</f>
        <v>0</v>
      </c>
      <c r="O93" s="8">
        <f t="shared" si="3"/>
        <v>0</v>
      </c>
    </row>
    <row r="94" spans="1:15" x14ac:dyDescent="0.3">
      <c r="A94" s="11"/>
      <c r="B94" s="5"/>
      <c r="C94" s="12"/>
      <c r="D94" s="13"/>
      <c r="E94" s="13"/>
      <c r="F94" s="5"/>
      <c r="G94" s="14"/>
      <c r="H94" s="15"/>
      <c r="I94" s="12"/>
      <c r="J94" s="5"/>
      <c r="K94" s="5"/>
      <c r="L94" s="8"/>
      <c r="M94" s="8"/>
      <c r="N94" s="8">
        <f>SUMIFS('[1]Finanace - Incentive Data'!BE:BE,'[1]Finanace - Incentive Data'!BS:BS,"Y",'[1]Finanace - Incentive Data'!H:H,$C$76,'[1]Finanace - Incentive Data'!R:R,$B94)</f>
        <v>0</v>
      </c>
      <c r="O94" s="8">
        <f t="shared" si="3"/>
        <v>0</v>
      </c>
    </row>
    <row r="95" spans="1:15" x14ac:dyDescent="0.3">
      <c r="A95" s="11"/>
      <c r="B95" s="5"/>
      <c r="C95" s="12"/>
      <c r="D95" s="13"/>
      <c r="E95" s="13"/>
      <c r="F95" s="5"/>
      <c r="G95" s="14"/>
      <c r="H95" s="15"/>
      <c r="I95" s="12"/>
      <c r="J95" s="5"/>
      <c r="K95" s="5"/>
      <c r="L95" s="8"/>
      <c r="M95" s="8"/>
      <c r="N95" s="8">
        <f>SUMIFS('[1]Finanace - Incentive Data'!BE:BE,'[1]Finanace - Incentive Data'!BS:BS,"Y",'[1]Finanace - Incentive Data'!H:H,$C$76,'[1]Finanace - Incentive Data'!R:R,$B95)</f>
        <v>0</v>
      </c>
      <c r="O95" s="8">
        <f t="shared" si="3"/>
        <v>0</v>
      </c>
    </row>
    <row r="96" spans="1:15" x14ac:dyDescent="0.3">
      <c r="A96" s="11"/>
      <c r="B96" s="5"/>
      <c r="C96" s="12"/>
      <c r="D96" s="13"/>
      <c r="E96" s="13"/>
      <c r="F96" s="5"/>
      <c r="G96" s="14"/>
      <c r="H96" s="15"/>
      <c r="I96" s="12"/>
      <c r="J96" s="5"/>
      <c r="K96" s="5"/>
      <c r="L96" s="8"/>
      <c r="M96" s="8"/>
      <c r="N96" s="8">
        <f>SUMIFS('[1]Finanace - Incentive Data'!BE:BE,'[1]Finanace - Incentive Data'!BS:BS,"Y",'[1]Finanace - Incentive Data'!H:H,$C$76,'[1]Finanace - Incentive Data'!R:R,$B96)</f>
        <v>0</v>
      </c>
      <c r="O96" s="8">
        <f t="shared" si="3"/>
        <v>0</v>
      </c>
    </row>
    <row r="99" spans="1:15" ht="43.2" x14ac:dyDescent="0.3">
      <c r="A99" s="1" t="s">
        <v>0</v>
      </c>
      <c r="B99" s="1" t="s">
        <v>1</v>
      </c>
      <c r="C99" s="1" t="s">
        <v>2</v>
      </c>
      <c r="D99" s="1" t="s">
        <v>3</v>
      </c>
      <c r="E99" s="1" t="s">
        <v>4</v>
      </c>
      <c r="F99" s="1" t="s">
        <v>5</v>
      </c>
      <c r="G99" s="1" t="s">
        <v>6</v>
      </c>
      <c r="H99" s="1" t="s">
        <v>7</v>
      </c>
      <c r="I99" s="1" t="s">
        <v>8</v>
      </c>
      <c r="J99" s="1" t="s">
        <v>9</v>
      </c>
      <c r="K99" s="2" t="s">
        <v>10</v>
      </c>
      <c r="L99" s="2" t="s">
        <v>11</v>
      </c>
      <c r="M99" s="3"/>
      <c r="N99" s="3"/>
    </row>
    <row r="100" spans="1:15" x14ac:dyDescent="0.3">
      <c r="A100" s="5" t="s">
        <v>12</v>
      </c>
      <c r="B100" s="4" t="str">
        <f>_xlfn.XLOOKUP($C100,'[1]Basic EMP Data - 2026'!$D$3:$D$224,'[1]Basic EMP Data - 2026'!$C$3:$C$224)</f>
        <v>VB1199</v>
      </c>
      <c r="C100" s="6" t="s">
        <v>31</v>
      </c>
      <c r="D100" s="5" t="str">
        <f>VLOOKUP($B100,'[1]Basic EMP Data - 2026'!$C$3:$F$224,3,0)</f>
        <v>Rohit Gupta</v>
      </c>
      <c r="E100" s="5">
        <f>VLOOKUP($B100,'[1]Basic EMP Data - 2026'!$C$3:$I$224,5,0)</f>
        <v>6</v>
      </c>
      <c r="F100" s="5">
        <f>VLOOKUP($B100,'[1]Basic EMP Data - 2026'!$C$3:$I$224,6,0)</f>
        <v>3</v>
      </c>
      <c r="G100" s="7">
        <f>F100/E100</f>
        <v>0.5</v>
      </c>
      <c r="H100" s="8">
        <f>SUM(L102:L120)</f>
        <v>5281.417919999998</v>
      </c>
      <c r="I100" s="9" cm="1">
        <f t="array" ref="I100">_xlfn.IFS($G100&lt;=34%,0%,$G100&lt;=75%,3%,$G100&lt;=120%,4%,$G100&gt;120%,5%)</f>
        <v>0.03</v>
      </c>
      <c r="J100" s="8" cm="1">
        <f t="array" ref="J100">SUMPRODUCT((C102:C120=2026)*M102:M120*2)</f>
        <v>13942.943308799993</v>
      </c>
      <c r="K100" s="5">
        <f>SUM(N102:N120)</f>
        <v>2821.0748543999975</v>
      </c>
      <c r="L100" s="8">
        <f>J100-K100</f>
        <v>11121.868454399995</v>
      </c>
      <c r="M100" s="3"/>
      <c r="N100" s="3"/>
    </row>
    <row r="101" spans="1:15" ht="43.2" x14ac:dyDescent="0.3">
      <c r="A101" s="10" t="s">
        <v>2</v>
      </c>
      <c r="B101" s="10" t="s">
        <v>14</v>
      </c>
      <c r="C101" s="10" t="s">
        <v>15</v>
      </c>
      <c r="D101" s="10" t="s">
        <v>16</v>
      </c>
      <c r="E101" s="10" t="s">
        <v>17</v>
      </c>
      <c r="F101" s="10" t="s">
        <v>18</v>
      </c>
      <c r="G101" s="10" t="s">
        <v>19</v>
      </c>
      <c r="H101" s="10" t="s">
        <v>20</v>
      </c>
      <c r="I101" s="10" t="s">
        <v>21</v>
      </c>
      <c r="J101" s="10" t="s">
        <v>22</v>
      </c>
      <c r="K101" s="10" t="s">
        <v>23</v>
      </c>
      <c r="L101" s="10" t="s">
        <v>24</v>
      </c>
      <c r="M101" s="10" t="s">
        <v>25</v>
      </c>
      <c r="N101" s="10" t="s">
        <v>26</v>
      </c>
      <c r="O101" s="10" t="s">
        <v>27</v>
      </c>
    </row>
    <row r="102" spans="1:15" x14ac:dyDescent="0.3">
      <c r="A102" s="11" t="str">
        <f>C100</f>
        <v>Nilesh Shahi</v>
      </c>
      <c r="B102" s="5" t="str" cm="1">
        <f t="array" ref="B102:M105">_xlfn.LET(
  _xlpm.data, _xlfn._xlws.FILTER('[1]Finanace - Incentive Data'!A:CA, '[1]Finanace - Incentive Data'!H:H=$C100),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Anjaiah Kummari</v>
      </c>
      <c r="C102" s="12">
        <v>2026</v>
      </c>
      <c r="D102" s="13">
        <v>46128</v>
      </c>
      <c r="E102" s="13">
        <v>46162</v>
      </c>
      <c r="F102" s="5" t="str">
        <v>GRI</v>
      </c>
      <c r="G102" s="14" t="str">
        <v>PLC-4806</v>
      </c>
      <c r="H102" s="15" t="str">
        <v>C2C</v>
      </c>
      <c r="I102" s="12" t="str">
        <v>-</v>
      </c>
      <c r="J102" s="5" t="str">
        <v>-</v>
      </c>
      <c r="K102" s="5">
        <v>352</v>
      </c>
      <c r="L102" s="8">
        <v>1369.1779199999983</v>
      </c>
      <c r="M102" s="8">
        <v>1807.3148543999976</v>
      </c>
      <c r="N102" s="8">
        <f>SUMIFS('[1]Finanace - Incentive Data'!BE:BE,'[1]Finanace - Incentive Data'!BS:BS,"Y",'[1]Finanace - Incentive Data'!H:H,$C$100,'[1]Finanace - Incentive Data'!R:R,$B102)</f>
        <v>1807.3148543999976</v>
      </c>
      <c r="O102" s="8">
        <f>M102-N102</f>
        <v>0</v>
      </c>
    </row>
    <row r="103" spans="1:15" x14ac:dyDescent="0.3">
      <c r="A103" s="11"/>
      <c r="B103" s="5" t="str">
        <v>Divya Ranjeeth Jasti</v>
      </c>
      <c r="C103" s="12">
        <v>2026</v>
      </c>
      <c r="D103" s="13">
        <v>46170</v>
      </c>
      <c r="E103" s="13">
        <v>0</v>
      </c>
      <c r="F103" s="5" t="str">
        <v>Mphasis</v>
      </c>
      <c r="G103" s="14">
        <v>0</v>
      </c>
      <c r="H103" s="15" t="str">
        <v>C2C</v>
      </c>
      <c r="I103" s="12" t="str">
        <v>-</v>
      </c>
      <c r="J103" s="5" t="str">
        <v>-</v>
      </c>
      <c r="K103" s="5">
        <v>16</v>
      </c>
      <c r="L103" s="8">
        <v>47.519999999999996</v>
      </c>
      <c r="M103" s="8">
        <v>62.726399999999991</v>
      </c>
      <c r="N103" s="8">
        <f>SUMIFS('[1]Finanace - Incentive Data'!BE:BE,'[1]Finanace - Incentive Data'!BS:BS,"Y",'[1]Finanace - Incentive Data'!H:H,$C$100,'[1]Finanace - Incentive Data'!R:R,$B103)</f>
        <v>0</v>
      </c>
      <c r="O103" s="8">
        <f>M103-N103</f>
        <v>62.726399999999991</v>
      </c>
    </row>
    <row r="104" spans="1:15" x14ac:dyDescent="0.3">
      <c r="A104" s="11"/>
      <c r="B104" s="5" t="str">
        <v>Kaushik Vecha</v>
      </c>
      <c r="C104" s="12">
        <v>2026</v>
      </c>
      <c r="D104" s="13">
        <v>46160</v>
      </c>
      <c r="E104" s="13">
        <v>0</v>
      </c>
      <c r="F104" s="5" t="str">
        <v>Mphasis</v>
      </c>
      <c r="G104" s="14" t="str">
        <v>PLC-4871</v>
      </c>
      <c r="H104" s="15" t="str">
        <v>C2C</v>
      </c>
      <c r="I104" s="12" t="str">
        <v>-</v>
      </c>
      <c r="J104" s="5" t="str">
        <v>-</v>
      </c>
      <c r="K104" s="5">
        <v>72</v>
      </c>
      <c r="L104" s="8">
        <v>498.96</v>
      </c>
      <c r="M104" s="8">
        <v>658.62720000000002</v>
      </c>
      <c r="N104" s="8">
        <f>SUMIFS('[1]Finanace - Incentive Data'!BE:BE,'[1]Finanace - Incentive Data'!BS:BS,"Y",'[1]Finanace - Incentive Data'!H:H,$C$100,'[1]Finanace - Incentive Data'!R:R,$B104)</f>
        <v>0</v>
      </c>
      <c r="O104" s="8">
        <f t="shared" ref="O104:O120" si="4">M104-N104</f>
        <v>658.62720000000002</v>
      </c>
    </row>
    <row r="105" spans="1:15" x14ac:dyDescent="0.3">
      <c r="A105" s="11"/>
      <c r="B105" s="5" t="str">
        <v>Sarath Babu Rajigari</v>
      </c>
      <c r="C105" s="12">
        <v>2026</v>
      </c>
      <c r="D105" s="13">
        <v>46097</v>
      </c>
      <c r="E105" s="13">
        <v>0</v>
      </c>
      <c r="F105" s="5" t="str">
        <v>CoForge</v>
      </c>
      <c r="G105" s="14" t="str">
        <v>PLC-4757</v>
      </c>
      <c r="H105" s="15" t="str">
        <v>C2C</v>
      </c>
      <c r="I105" s="12" t="str">
        <v>-</v>
      </c>
      <c r="J105" s="5" t="str">
        <v>-</v>
      </c>
      <c r="K105" s="5">
        <v>424</v>
      </c>
      <c r="L105" s="8">
        <v>3365.76</v>
      </c>
      <c r="M105" s="8">
        <v>4442.8031999999994</v>
      </c>
      <c r="N105" s="8">
        <f>SUMIFS('[1]Finanace - Incentive Data'!BE:BE,'[1]Finanace - Incentive Data'!BS:BS,"Y",'[1]Finanace - Incentive Data'!H:H,$C$100,'[1]Finanace - Incentive Data'!R:R,$B105)</f>
        <v>1013.76</v>
      </c>
      <c r="O105" s="8">
        <f t="shared" si="4"/>
        <v>3429.0431999999992</v>
      </c>
    </row>
    <row r="106" spans="1:15" x14ac:dyDescent="0.3">
      <c r="A106" s="11"/>
      <c r="B106" s="5"/>
      <c r="C106" s="12"/>
      <c r="D106" s="13"/>
      <c r="E106" s="13"/>
      <c r="F106" s="5"/>
      <c r="G106" s="14"/>
      <c r="H106" s="15"/>
      <c r="I106" s="12"/>
      <c r="J106" s="5"/>
      <c r="K106" s="5"/>
      <c r="L106" s="8"/>
      <c r="M106" s="8"/>
      <c r="N106" s="8">
        <f>SUMIFS('[1]Finanace - Incentive Data'!BE:BE,'[1]Finanace - Incentive Data'!BS:BS,"Y",'[1]Finanace - Incentive Data'!H:H,$C$100,'[1]Finanace - Incentive Data'!R:R,$B106)</f>
        <v>0</v>
      </c>
      <c r="O106" s="8">
        <f t="shared" si="4"/>
        <v>0</v>
      </c>
    </row>
    <row r="107" spans="1:15" x14ac:dyDescent="0.3">
      <c r="A107" s="11"/>
      <c r="B107" s="5"/>
      <c r="C107" s="12"/>
      <c r="D107" s="13"/>
      <c r="E107" s="13"/>
      <c r="F107" s="5"/>
      <c r="G107" s="14"/>
      <c r="H107" s="15"/>
      <c r="I107" s="12"/>
      <c r="J107" s="5"/>
      <c r="K107" s="5"/>
      <c r="L107" s="8"/>
      <c r="M107" s="8"/>
      <c r="N107" s="8">
        <f>SUMIFS('[1]Finanace - Incentive Data'!BE:BE,'[1]Finanace - Incentive Data'!BS:BS,"Y",'[1]Finanace - Incentive Data'!H:H,$C$100,'[1]Finanace - Incentive Data'!R:R,$B107)</f>
        <v>0</v>
      </c>
      <c r="O107" s="8">
        <f t="shared" si="4"/>
        <v>0</v>
      </c>
    </row>
    <row r="108" spans="1:15" x14ac:dyDescent="0.3">
      <c r="A108" s="11"/>
      <c r="B108" s="5"/>
      <c r="C108" s="12"/>
      <c r="D108" s="13"/>
      <c r="E108" s="13"/>
      <c r="F108" s="5"/>
      <c r="G108" s="14"/>
      <c r="H108" s="15"/>
      <c r="I108" s="12"/>
      <c r="J108" s="5"/>
      <c r="K108" s="5"/>
      <c r="L108" s="8"/>
      <c r="M108" s="8"/>
      <c r="N108" s="8">
        <f>SUMIFS('[1]Finanace - Incentive Data'!BE:BE,'[1]Finanace - Incentive Data'!BS:BS,"Y",'[1]Finanace - Incentive Data'!H:H,$C$100,'[1]Finanace - Incentive Data'!R:R,$B108)</f>
        <v>0</v>
      </c>
      <c r="O108" s="8">
        <f t="shared" si="4"/>
        <v>0</v>
      </c>
    </row>
    <row r="109" spans="1:15" x14ac:dyDescent="0.3">
      <c r="A109" s="11"/>
      <c r="B109" s="5"/>
      <c r="C109" s="12"/>
      <c r="D109" s="13"/>
      <c r="E109" s="13"/>
      <c r="F109" s="5"/>
      <c r="G109" s="14"/>
      <c r="H109" s="15"/>
      <c r="I109" s="12"/>
      <c r="J109" s="5"/>
      <c r="K109" s="5"/>
      <c r="L109" s="8"/>
      <c r="M109" s="8"/>
      <c r="N109" s="8">
        <f>SUMIFS('[1]Finanace - Incentive Data'!BE:BE,'[1]Finanace - Incentive Data'!BS:BS,"Y",'[1]Finanace - Incentive Data'!H:H,$C$100,'[1]Finanace - Incentive Data'!R:R,$B109)</f>
        <v>0</v>
      </c>
      <c r="O109" s="8">
        <f t="shared" si="4"/>
        <v>0</v>
      </c>
    </row>
    <row r="110" spans="1:15" x14ac:dyDescent="0.3">
      <c r="A110" s="11"/>
      <c r="B110" s="5"/>
      <c r="C110" s="12"/>
      <c r="D110" s="13"/>
      <c r="E110" s="13"/>
      <c r="F110" s="5"/>
      <c r="G110" s="14"/>
      <c r="H110" s="15"/>
      <c r="I110" s="12"/>
      <c r="J110" s="5"/>
      <c r="K110" s="5"/>
      <c r="L110" s="8"/>
      <c r="M110" s="8"/>
      <c r="N110" s="8">
        <f>SUMIFS('[1]Finanace - Incentive Data'!BE:BE,'[1]Finanace - Incentive Data'!BS:BS,"Y",'[1]Finanace - Incentive Data'!H:H,$C$100,'[1]Finanace - Incentive Data'!R:R,$B110)</f>
        <v>0</v>
      </c>
      <c r="O110" s="8">
        <f t="shared" si="4"/>
        <v>0</v>
      </c>
    </row>
    <row r="111" spans="1:15" x14ac:dyDescent="0.3">
      <c r="A111" s="11"/>
      <c r="B111" s="5"/>
      <c r="C111" s="12"/>
      <c r="D111" s="13"/>
      <c r="E111" s="13"/>
      <c r="F111" s="5"/>
      <c r="G111" s="14"/>
      <c r="H111" s="15"/>
      <c r="I111" s="12"/>
      <c r="J111" s="5"/>
      <c r="K111" s="5"/>
      <c r="L111" s="8"/>
      <c r="M111" s="8"/>
      <c r="N111" s="8">
        <f>SUMIFS('[1]Finanace - Incentive Data'!BE:BE,'[1]Finanace - Incentive Data'!BS:BS,"Y",'[1]Finanace - Incentive Data'!H:H,$C$100,'[1]Finanace - Incentive Data'!R:R,$B111)</f>
        <v>0</v>
      </c>
      <c r="O111" s="8">
        <f t="shared" si="4"/>
        <v>0</v>
      </c>
    </row>
    <row r="112" spans="1:15" x14ac:dyDescent="0.3">
      <c r="A112" s="11"/>
      <c r="B112" s="5"/>
      <c r="C112" s="12"/>
      <c r="D112" s="13"/>
      <c r="E112" s="13"/>
      <c r="F112" s="5"/>
      <c r="G112" s="14"/>
      <c r="H112" s="15"/>
      <c r="I112" s="12"/>
      <c r="J112" s="5"/>
      <c r="K112" s="5"/>
      <c r="L112" s="8"/>
      <c r="M112" s="8"/>
      <c r="N112" s="8">
        <f>SUMIFS('[1]Finanace - Incentive Data'!BE:BE,'[1]Finanace - Incentive Data'!BS:BS,"Y",'[1]Finanace - Incentive Data'!H:H,$C$100,'[1]Finanace - Incentive Data'!R:R,$B112)</f>
        <v>0</v>
      </c>
      <c r="O112" s="8">
        <f t="shared" si="4"/>
        <v>0</v>
      </c>
    </row>
    <row r="113" spans="1:15" x14ac:dyDescent="0.3">
      <c r="A113" s="11"/>
      <c r="B113" s="5"/>
      <c r="C113" s="12"/>
      <c r="D113" s="13"/>
      <c r="E113" s="13"/>
      <c r="F113" s="5"/>
      <c r="G113" s="14"/>
      <c r="H113" s="15"/>
      <c r="I113" s="12"/>
      <c r="J113" s="5"/>
      <c r="K113" s="5"/>
      <c r="L113" s="8"/>
      <c r="M113" s="8"/>
      <c r="N113" s="8">
        <f>SUMIFS('[1]Finanace - Incentive Data'!BE:BE,'[1]Finanace - Incentive Data'!BS:BS,"Y",'[1]Finanace - Incentive Data'!H:H,$C$100,'[1]Finanace - Incentive Data'!R:R,$B113)</f>
        <v>0</v>
      </c>
      <c r="O113" s="8">
        <f t="shared" si="4"/>
        <v>0</v>
      </c>
    </row>
    <row r="114" spans="1:15" x14ac:dyDescent="0.3">
      <c r="A114" s="11"/>
      <c r="B114" s="5"/>
      <c r="C114" s="12"/>
      <c r="D114" s="13"/>
      <c r="E114" s="13"/>
      <c r="F114" s="5"/>
      <c r="G114" s="14"/>
      <c r="H114" s="15"/>
      <c r="I114" s="12"/>
      <c r="J114" s="5"/>
      <c r="K114" s="5"/>
      <c r="L114" s="8"/>
      <c r="M114" s="8"/>
      <c r="N114" s="8">
        <f>SUMIFS('[1]Finanace - Incentive Data'!BE:BE,'[1]Finanace - Incentive Data'!BS:BS,"Y",'[1]Finanace - Incentive Data'!H:H,$C$100,'[1]Finanace - Incentive Data'!R:R,$B114)</f>
        <v>0</v>
      </c>
      <c r="O114" s="8">
        <f t="shared" si="4"/>
        <v>0</v>
      </c>
    </row>
    <row r="115" spans="1:15" x14ac:dyDescent="0.3">
      <c r="A115" s="11"/>
      <c r="B115" s="5"/>
      <c r="C115" s="12"/>
      <c r="D115" s="13"/>
      <c r="E115" s="13"/>
      <c r="F115" s="5"/>
      <c r="G115" s="14"/>
      <c r="H115" s="15"/>
      <c r="I115" s="12"/>
      <c r="J115" s="5"/>
      <c r="K115" s="5"/>
      <c r="L115" s="8"/>
      <c r="M115" s="8"/>
      <c r="N115" s="8">
        <f>SUMIFS('[1]Finanace - Incentive Data'!BE:BE,'[1]Finanace - Incentive Data'!BS:BS,"Y",'[1]Finanace - Incentive Data'!H:H,$C$100,'[1]Finanace - Incentive Data'!R:R,$B115)</f>
        <v>0</v>
      </c>
      <c r="O115" s="8">
        <f t="shared" si="4"/>
        <v>0</v>
      </c>
    </row>
    <row r="116" spans="1:15" x14ac:dyDescent="0.3">
      <c r="A116" s="11"/>
      <c r="B116" s="5"/>
      <c r="C116" s="12"/>
      <c r="D116" s="13"/>
      <c r="E116" s="13"/>
      <c r="F116" s="5"/>
      <c r="G116" s="14"/>
      <c r="H116" s="15"/>
      <c r="I116" s="12"/>
      <c r="J116" s="5"/>
      <c r="K116" s="5"/>
      <c r="L116" s="8"/>
      <c r="M116" s="8"/>
      <c r="N116" s="8">
        <f>SUMIFS('[1]Finanace - Incentive Data'!BE:BE,'[1]Finanace - Incentive Data'!BS:BS,"Y",'[1]Finanace - Incentive Data'!H:H,$C$100,'[1]Finanace - Incentive Data'!R:R,$B116)</f>
        <v>0</v>
      </c>
      <c r="O116" s="8">
        <f t="shared" si="4"/>
        <v>0</v>
      </c>
    </row>
    <row r="117" spans="1:15" x14ac:dyDescent="0.3">
      <c r="A117" s="11"/>
      <c r="B117" s="5"/>
      <c r="C117" s="12"/>
      <c r="D117" s="13"/>
      <c r="E117" s="13"/>
      <c r="F117" s="5"/>
      <c r="G117" s="14"/>
      <c r="H117" s="15"/>
      <c r="I117" s="12"/>
      <c r="J117" s="5"/>
      <c r="K117" s="5"/>
      <c r="L117" s="8"/>
      <c r="M117" s="8"/>
      <c r="N117" s="8">
        <f>SUMIFS('[1]Finanace - Incentive Data'!BE:BE,'[1]Finanace - Incentive Data'!BS:BS,"Y",'[1]Finanace - Incentive Data'!H:H,$C$100,'[1]Finanace - Incentive Data'!R:R,$B117)</f>
        <v>0</v>
      </c>
      <c r="O117" s="8">
        <f t="shared" si="4"/>
        <v>0</v>
      </c>
    </row>
    <row r="118" spans="1:15" x14ac:dyDescent="0.3">
      <c r="A118" s="11"/>
      <c r="B118" s="5"/>
      <c r="C118" s="12"/>
      <c r="D118" s="13"/>
      <c r="E118" s="13"/>
      <c r="F118" s="5"/>
      <c r="G118" s="14"/>
      <c r="H118" s="15"/>
      <c r="I118" s="12"/>
      <c r="J118" s="5"/>
      <c r="K118" s="5"/>
      <c r="L118" s="8"/>
      <c r="M118" s="8"/>
      <c r="N118" s="8">
        <f>SUMIFS('[1]Finanace - Incentive Data'!BE:BE,'[1]Finanace - Incentive Data'!BS:BS,"Y",'[1]Finanace - Incentive Data'!H:H,$C$100,'[1]Finanace - Incentive Data'!R:R,$B118)</f>
        <v>0</v>
      </c>
      <c r="O118" s="8">
        <f t="shared" si="4"/>
        <v>0</v>
      </c>
    </row>
    <row r="119" spans="1:15" x14ac:dyDescent="0.3">
      <c r="A119" s="11"/>
      <c r="B119" s="5"/>
      <c r="C119" s="12"/>
      <c r="D119" s="13"/>
      <c r="E119" s="13"/>
      <c r="F119" s="5"/>
      <c r="G119" s="14"/>
      <c r="H119" s="15"/>
      <c r="I119" s="12"/>
      <c r="J119" s="5"/>
      <c r="K119" s="5"/>
      <c r="L119" s="8"/>
      <c r="M119" s="8"/>
      <c r="N119" s="8">
        <f>SUMIFS('[1]Finanace - Incentive Data'!BE:BE,'[1]Finanace - Incentive Data'!BS:BS,"Y",'[1]Finanace - Incentive Data'!H:H,$C$100,'[1]Finanace - Incentive Data'!R:R,$B119)</f>
        <v>0</v>
      </c>
      <c r="O119" s="8">
        <f t="shared" si="4"/>
        <v>0</v>
      </c>
    </row>
    <row r="120" spans="1:15" x14ac:dyDescent="0.3">
      <c r="A120" s="11"/>
      <c r="B120" s="5"/>
      <c r="C120" s="12"/>
      <c r="D120" s="13"/>
      <c r="E120" s="13"/>
      <c r="F120" s="5"/>
      <c r="G120" s="14"/>
      <c r="H120" s="15"/>
      <c r="I120" s="12"/>
      <c r="J120" s="5"/>
      <c r="K120" s="5"/>
      <c r="L120" s="8"/>
      <c r="M120" s="8"/>
      <c r="N120" s="8">
        <f>SUMIFS('[1]Finanace - Incentive Data'!BE:BE,'[1]Finanace - Incentive Data'!BS:BS,"Y",'[1]Finanace - Incentive Data'!H:H,$C$100,'[1]Finanace - Incentive Data'!R:R,$B120)</f>
        <v>0</v>
      </c>
      <c r="O120" s="8">
        <f t="shared" si="4"/>
        <v>0</v>
      </c>
    </row>
    <row r="122" spans="1:15" ht="43.2" x14ac:dyDescent="0.3">
      <c r="A122" s="1" t="s">
        <v>0</v>
      </c>
      <c r="B122" s="1" t="s">
        <v>1</v>
      </c>
      <c r="C122" s="1" t="s">
        <v>2</v>
      </c>
      <c r="D122" s="1" t="s">
        <v>3</v>
      </c>
      <c r="E122" s="1" t="s">
        <v>4</v>
      </c>
      <c r="F122" s="1" t="s">
        <v>5</v>
      </c>
      <c r="G122" s="1" t="s">
        <v>6</v>
      </c>
      <c r="H122" s="1" t="s">
        <v>7</v>
      </c>
      <c r="I122" s="1" t="s">
        <v>8</v>
      </c>
      <c r="J122" s="1" t="s">
        <v>9</v>
      </c>
      <c r="K122" s="2" t="s">
        <v>10</v>
      </c>
      <c r="L122" s="2" t="s">
        <v>11</v>
      </c>
      <c r="M122" s="3"/>
      <c r="N122" s="3"/>
    </row>
    <row r="123" spans="1:15" x14ac:dyDescent="0.3">
      <c r="A123" s="5" t="s">
        <v>12</v>
      </c>
      <c r="B123" s="4" t="str">
        <f>_xlfn.XLOOKUP($C123,'[1]Basic EMP Data - 2026'!$D$3:$D$224,'[1]Basic EMP Data - 2026'!$C$3:$C$224)</f>
        <v>VB1466</v>
      </c>
      <c r="C123" s="16" t="s">
        <v>32</v>
      </c>
      <c r="D123" s="5" t="str">
        <f>VLOOKUP($B123,'[1]Basic EMP Data - 2026'!$C$3:$F$224,3,0)</f>
        <v>Rohit Gupta</v>
      </c>
      <c r="E123" s="5">
        <f>VLOOKUP($B123,'[1]Basic EMP Data - 2026'!$C$3:$I$224,5,0)</f>
        <v>8</v>
      </c>
      <c r="F123" s="5">
        <f>VLOOKUP($B123,'[1]Basic EMP Data - 2026'!$C$3:$I$224,6,0)</f>
        <v>2</v>
      </c>
      <c r="G123" s="7">
        <f>F123/E123</f>
        <v>0.25</v>
      </c>
      <c r="H123" s="8">
        <f>SUM(L125:L143)</f>
        <v>7412.0460500000008</v>
      </c>
      <c r="I123" s="9" cm="1">
        <f t="array" ref="I123">_xlfn.IFS($G123&lt;=34%,0%,$G123&lt;=75%,3%,$G123&lt;=120%,4%,$G123&gt;120%,5%)</f>
        <v>0</v>
      </c>
      <c r="J123" s="8" cm="1">
        <f t="array" ref="J123">SUMPRODUCT((C125:C143=2026)*M125:M143*2)</f>
        <v>0</v>
      </c>
      <c r="K123" s="5">
        <f>SUM(N125:N143)</f>
        <v>0</v>
      </c>
      <c r="L123" s="8">
        <f>J123-K123</f>
        <v>0</v>
      </c>
      <c r="M123" s="3"/>
      <c r="N123" s="3"/>
    </row>
    <row r="124" spans="1:15" ht="43.2" x14ac:dyDescent="0.3">
      <c r="A124" s="10" t="s">
        <v>2</v>
      </c>
      <c r="B124" s="10" t="s">
        <v>14</v>
      </c>
      <c r="C124" s="10" t="s">
        <v>15</v>
      </c>
      <c r="D124" s="10" t="s">
        <v>16</v>
      </c>
      <c r="E124" s="10" t="s">
        <v>17</v>
      </c>
      <c r="F124" s="10" t="s">
        <v>18</v>
      </c>
      <c r="G124" s="10" t="s">
        <v>19</v>
      </c>
      <c r="H124" s="10" t="s">
        <v>20</v>
      </c>
      <c r="I124" s="10" t="s">
        <v>21</v>
      </c>
      <c r="J124" s="10" t="s">
        <v>22</v>
      </c>
      <c r="K124" s="10" t="s">
        <v>23</v>
      </c>
      <c r="L124" s="10" t="s">
        <v>24</v>
      </c>
      <c r="M124" s="10" t="s">
        <v>25</v>
      </c>
      <c r="N124" s="10" t="s">
        <v>26</v>
      </c>
      <c r="O124" s="10" t="s">
        <v>27</v>
      </c>
    </row>
    <row r="125" spans="1:15" x14ac:dyDescent="0.3">
      <c r="A125" s="11" t="str">
        <f>C123</f>
        <v>Himanshu Gupta</v>
      </c>
      <c r="B125" s="5" t="str" cm="1">
        <f t="array" ref="B125:M126">_xlfn.LET(
  _xlpm.data, _xlfn._xlws.FILTER('[1]Finanace - Incentive Data'!A:CA, '[1]Finanace - Incentive Data'!H:H=$C123),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Sai Krishna Chundi</v>
      </c>
      <c r="C125" s="12">
        <v>2026</v>
      </c>
      <c r="D125" s="13">
        <v>46078</v>
      </c>
      <c r="E125" s="13">
        <v>0</v>
      </c>
      <c r="F125" s="5" t="str">
        <v>CoForge</v>
      </c>
      <c r="G125" s="14" t="str">
        <v>PLC-4720</v>
      </c>
      <c r="H125" s="15" t="str">
        <v>C2C Canada</v>
      </c>
      <c r="I125" s="12" t="str">
        <v>-</v>
      </c>
      <c r="J125" s="5" t="str">
        <v>-</v>
      </c>
      <c r="K125" s="5">
        <v>483</v>
      </c>
      <c r="L125" s="8">
        <v>4170.6460500000012</v>
      </c>
      <c r="M125" s="8">
        <v>0</v>
      </c>
      <c r="N125" s="8">
        <f>SUMIFS('[1]Finanace - Incentive Data'!BE:BE,'[1]Finanace - Incentive Data'!BS:BS,"Y",'[1]Finanace - Incentive Data'!H:H,$C$123,'[1]Finanace - Incentive Data'!R:R,$B125)</f>
        <v>0</v>
      </c>
      <c r="O125" s="8">
        <f>M125-N125</f>
        <v>0</v>
      </c>
    </row>
    <row r="126" spans="1:15" x14ac:dyDescent="0.3">
      <c r="A126" s="11"/>
      <c r="B126" s="5" t="str">
        <v>Siva Krishna Challa</v>
      </c>
      <c r="C126" s="12">
        <v>2026</v>
      </c>
      <c r="D126" s="13">
        <v>46083</v>
      </c>
      <c r="E126" s="13">
        <v>0</v>
      </c>
      <c r="F126" s="5" t="str">
        <v>CoForge</v>
      </c>
      <c r="G126" s="14" t="str">
        <v>PLC-4726</v>
      </c>
      <c r="H126" s="15" t="str">
        <v>C2C</v>
      </c>
      <c r="I126" s="12" t="str">
        <v>-</v>
      </c>
      <c r="J126" s="5" t="str">
        <v>-</v>
      </c>
      <c r="K126" s="5">
        <v>352</v>
      </c>
      <c r="L126" s="8">
        <v>3241.4</v>
      </c>
      <c r="M126" s="8">
        <v>0</v>
      </c>
      <c r="N126" s="8">
        <f>SUMIFS('[1]Finanace - Incentive Data'!BE:BE,'[1]Finanace - Incentive Data'!BS:BS,"Y",'[1]Finanace - Incentive Data'!H:H,$C$123,'[1]Finanace - Incentive Data'!R:R,$B126)</f>
        <v>0</v>
      </c>
      <c r="O126" s="8">
        <f t="shared" ref="O126:O143" si="5">M126-N126</f>
        <v>0</v>
      </c>
    </row>
    <row r="127" spans="1:15" x14ac:dyDescent="0.3">
      <c r="A127" s="11"/>
      <c r="B127" s="5"/>
      <c r="C127" s="12"/>
      <c r="D127" s="13"/>
      <c r="E127" s="13"/>
      <c r="F127" s="5"/>
      <c r="G127" s="14"/>
      <c r="H127" s="15"/>
      <c r="I127" s="12"/>
      <c r="J127" s="5"/>
      <c r="K127" s="5"/>
      <c r="L127" s="8"/>
      <c r="M127" s="8"/>
      <c r="N127" s="8">
        <f>SUMIFS('[1]Finanace - Incentive Data'!BE:BE,'[1]Finanace - Incentive Data'!BS:BS,"Y",'[1]Finanace - Incentive Data'!H:H,$C$123,'[1]Finanace - Incentive Data'!R:R,$B127)</f>
        <v>0</v>
      </c>
      <c r="O127" s="8">
        <f t="shared" si="5"/>
        <v>0</v>
      </c>
    </row>
    <row r="128" spans="1:15" x14ac:dyDescent="0.3">
      <c r="A128" s="11"/>
      <c r="B128" s="5"/>
      <c r="C128" s="12"/>
      <c r="D128" s="13"/>
      <c r="E128" s="13"/>
      <c r="F128" s="5"/>
      <c r="G128" s="14"/>
      <c r="H128" s="15"/>
      <c r="I128" s="12"/>
      <c r="J128" s="5"/>
      <c r="K128" s="5"/>
      <c r="L128" s="8"/>
      <c r="M128" s="8"/>
      <c r="N128" s="8">
        <f>SUMIFS('[1]Finanace - Incentive Data'!BE:BE,'[1]Finanace - Incentive Data'!BS:BS,"Y",'[1]Finanace - Incentive Data'!H:H,$C$123,'[1]Finanace - Incentive Data'!R:R,$B128)</f>
        <v>0</v>
      </c>
      <c r="O128" s="8">
        <f t="shared" si="5"/>
        <v>0</v>
      </c>
    </row>
    <row r="129" spans="1:15" x14ac:dyDescent="0.3">
      <c r="A129" s="11"/>
      <c r="B129" s="5"/>
      <c r="C129" s="12"/>
      <c r="D129" s="13"/>
      <c r="E129" s="13"/>
      <c r="F129" s="5"/>
      <c r="G129" s="14"/>
      <c r="H129" s="15"/>
      <c r="I129" s="12"/>
      <c r="J129" s="5"/>
      <c r="K129" s="5"/>
      <c r="L129" s="8"/>
      <c r="M129" s="8"/>
      <c r="N129" s="8">
        <f>SUMIFS('[1]Finanace - Incentive Data'!BE:BE,'[1]Finanace - Incentive Data'!BS:BS,"Y",'[1]Finanace - Incentive Data'!H:H,$C$123,'[1]Finanace - Incentive Data'!R:R,$B129)</f>
        <v>0</v>
      </c>
      <c r="O129" s="8">
        <f t="shared" si="5"/>
        <v>0</v>
      </c>
    </row>
    <row r="130" spans="1:15" x14ac:dyDescent="0.3">
      <c r="A130" s="11"/>
      <c r="B130" s="5"/>
      <c r="C130" s="12"/>
      <c r="D130" s="13"/>
      <c r="E130" s="13"/>
      <c r="F130" s="5"/>
      <c r="G130" s="14"/>
      <c r="H130" s="15"/>
      <c r="I130" s="12"/>
      <c r="J130" s="5"/>
      <c r="K130" s="5"/>
      <c r="L130" s="8"/>
      <c r="M130" s="8"/>
      <c r="N130" s="8">
        <f>SUMIFS('[1]Finanace - Incentive Data'!BE:BE,'[1]Finanace - Incentive Data'!BS:BS,"Y",'[1]Finanace - Incentive Data'!H:H,$C$123,'[1]Finanace - Incentive Data'!R:R,$B130)</f>
        <v>0</v>
      </c>
      <c r="O130" s="8">
        <f t="shared" si="5"/>
        <v>0</v>
      </c>
    </row>
    <row r="131" spans="1:15" x14ac:dyDescent="0.3">
      <c r="A131" s="11"/>
      <c r="B131" s="5"/>
      <c r="C131" s="12"/>
      <c r="D131" s="13"/>
      <c r="E131" s="13"/>
      <c r="F131" s="5"/>
      <c r="G131" s="14"/>
      <c r="H131" s="15"/>
      <c r="I131" s="12"/>
      <c r="J131" s="5"/>
      <c r="K131" s="5"/>
      <c r="L131" s="8"/>
      <c r="M131" s="8"/>
      <c r="N131" s="8">
        <f>SUMIFS('[1]Finanace - Incentive Data'!BE:BE,'[1]Finanace - Incentive Data'!BS:BS,"Y",'[1]Finanace - Incentive Data'!H:H,$C$123,'[1]Finanace - Incentive Data'!R:R,$B131)</f>
        <v>0</v>
      </c>
      <c r="O131" s="8">
        <f t="shared" si="5"/>
        <v>0</v>
      </c>
    </row>
    <row r="132" spans="1:15" x14ac:dyDescent="0.3">
      <c r="A132" s="11"/>
      <c r="B132" s="5"/>
      <c r="C132" s="12"/>
      <c r="D132" s="13"/>
      <c r="E132" s="13"/>
      <c r="F132" s="5"/>
      <c r="G132" s="14"/>
      <c r="H132" s="15"/>
      <c r="I132" s="12"/>
      <c r="J132" s="5"/>
      <c r="K132" s="5"/>
      <c r="L132" s="8"/>
      <c r="M132" s="8"/>
      <c r="N132" s="8">
        <f>SUMIFS('[1]Finanace - Incentive Data'!BE:BE,'[1]Finanace - Incentive Data'!BS:BS,"Y",'[1]Finanace - Incentive Data'!H:H,$C$123,'[1]Finanace - Incentive Data'!R:R,$B132)</f>
        <v>0</v>
      </c>
      <c r="O132" s="8">
        <f t="shared" si="5"/>
        <v>0</v>
      </c>
    </row>
    <row r="133" spans="1:15" x14ac:dyDescent="0.3">
      <c r="A133" s="11"/>
      <c r="B133" s="5"/>
      <c r="C133" s="12"/>
      <c r="D133" s="13"/>
      <c r="E133" s="13"/>
      <c r="F133" s="5"/>
      <c r="G133" s="14"/>
      <c r="H133" s="15"/>
      <c r="I133" s="12"/>
      <c r="J133" s="5"/>
      <c r="K133" s="5"/>
      <c r="L133" s="8"/>
      <c r="M133" s="8"/>
      <c r="N133" s="8">
        <f>SUMIFS('[1]Finanace - Incentive Data'!BE:BE,'[1]Finanace - Incentive Data'!BS:BS,"Y",'[1]Finanace - Incentive Data'!H:H,$C$123,'[1]Finanace - Incentive Data'!R:R,$B133)</f>
        <v>0</v>
      </c>
      <c r="O133" s="8">
        <f t="shared" si="5"/>
        <v>0</v>
      </c>
    </row>
    <row r="134" spans="1:15" x14ac:dyDescent="0.3">
      <c r="A134" s="11"/>
      <c r="B134" s="5"/>
      <c r="C134" s="12"/>
      <c r="D134" s="13"/>
      <c r="E134" s="13"/>
      <c r="F134" s="5"/>
      <c r="G134" s="14"/>
      <c r="H134" s="15"/>
      <c r="I134" s="12"/>
      <c r="J134" s="5"/>
      <c r="K134" s="5"/>
      <c r="L134" s="8"/>
      <c r="M134" s="8"/>
      <c r="N134" s="8">
        <f>SUMIFS('[1]Finanace - Incentive Data'!BE:BE,'[1]Finanace - Incentive Data'!BS:BS,"Y",'[1]Finanace - Incentive Data'!H:H,$C$123,'[1]Finanace - Incentive Data'!R:R,$B134)</f>
        <v>0</v>
      </c>
      <c r="O134" s="8">
        <f t="shared" si="5"/>
        <v>0</v>
      </c>
    </row>
    <row r="135" spans="1:15" x14ac:dyDescent="0.3">
      <c r="A135" s="11"/>
      <c r="B135" s="5"/>
      <c r="C135" s="12"/>
      <c r="D135" s="13"/>
      <c r="E135" s="13"/>
      <c r="F135" s="5"/>
      <c r="G135" s="14"/>
      <c r="H135" s="15"/>
      <c r="I135" s="12"/>
      <c r="J135" s="5"/>
      <c r="K135" s="5"/>
      <c r="L135" s="8"/>
      <c r="M135" s="8"/>
      <c r="N135" s="8">
        <f>SUMIFS('[1]Finanace - Incentive Data'!BE:BE,'[1]Finanace - Incentive Data'!BS:BS,"Y",'[1]Finanace - Incentive Data'!H:H,$C$123,'[1]Finanace - Incentive Data'!R:R,$B135)</f>
        <v>0</v>
      </c>
      <c r="O135" s="8">
        <f t="shared" si="5"/>
        <v>0</v>
      </c>
    </row>
    <row r="136" spans="1:15" x14ac:dyDescent="0.3">
      <c r="A136" s="11"/>
      <c r="B136" s="5"/>
      <c r="C136" s="12"/>
      <c r="D136" s="13"/>
      <c r="E136" s="13"/>
      <c r="F136" s="5"/>
      <c r="G136" s="14"/>
      <c r="H136" s="15"/>
      <c r="I136" s="12"/>
      <c r="J136" s="5"/>
      <c r="K136" s="5"/>
      <c r="L136" s="8"/>
      <c r="M136" s="8"/>
      <c r="N136" s="8">
        <f>SUMIFS('[1]Finanace - Incentive Data'!BE:BE,'[1]Finanace - Incentive Data'!BS:BS,"Y",'[1]Finanace - Incentive Data'!H:H,$C$123,'[1]Finanace - Incentive Data'!R:R,$B136)</f>
        <v>0</v>
      </c>
      <c r="O136" s="8">
        <f t="shared" si="5"/>
        <v>0</v>
      </c>
    </row>
    <row r="137" spans="1:15" x14ac:dyDescent="0.3">
      <c r="A137" s="11"/>
      <c r="B137" s="5"/>
      <c r="C137" s="12"/>
      <c r="D137" s="13"/>
      <c r="E137" s="13"/>
      <c r="F137" s="5"/>
      <c r="G137" s="14"/>
      <c r="H137" s="15"/>
      <c r="I137" s="12"/>
      <c r="J137" s="5"/>
      <c r="K137" s="5"/>
      <c r="L137" s="8"/>
      <c r="M137" s="8"/>
      <c r="N137" s="8">
        <f>SUMIFS('[1]Finanace - Incentive Data'!BE:BE,'[1]Finanace - Incentive Data'!BS:BS,"Y",'[1]Finanace - Incentive Data'!H:H,$C$123,'[1]Finanace - Incentive Data'!R:R,$B137)</f>
        <v>0</v>
      </c>
      <c r="O137" s="8">
        <f t="shared" si="5"/>
        <v>0</v>
      </c>
    </row>
    <row r="138" spans="1:15" x14ac:dyDescent="0.3">
      <c r="A138" s="11"/>
      <c r="B138" s="5"/>
      <c r="C138" s="12"/>
      <c r="D138" s="13"/>
      <c r="E138" s="13"/>
      <c r="F138" s="5"/>
      <c r="G138" s="14"/>
      <c r="H138" s="15"/>
      <c r="I138" s="12"/>
      <c r="J138" s="5"/>
      <c r="K138" s="5"/>
      <c r="L138" s="8"/>
      <c r="M138" s="8"/>
      <c r="N138" s="8">
        <f>SUMIFS('[1]Finanace - Incentive Data'!BE:BE,'[1]Finanace - Incentive Data'!BS:BS,"Y",'[1]Finanace - Incentive Data'!H:H,$C$123,'[1]Finanace - Incentive Data'!R:R,$B138)</f>
        <v>0</v>
      </c>
      <c r="O138" s="8">
        <f t="shared" si="5"/>
        <v>0</v>
      </c>
    </row>
    <row r="139" spans="1:15" x14ac:dyDescent="0.3">
      <c r="A139" s="11"/>
      <c r="B139" s="5"/>
      <c r="C139" s="12"/>
      <c r="D139" s="13"/>
      <c r="E139" s="13"/>
      <c r="F139" s="5"/>
      <c r="G139" s="14"/>
      <c r="H139" s="15"/>
      <c r="I139" s="12"/>
      <c r="J139" s="5"/>
      <c r="K139" s="5"/>
      <c r="L139" s="8"/>
      <c r="M139" s="8"/>
      <c r="N139" s="8">
        <f>SUMIFS('[1]Finanace - Incentive Data'!BE:BE,'[1]Finanace - Incentive Data'!BS:BS,"Y",'[1]Finanace - Incentive Data'!H:H,$C$123,'[1]Finanace - Incentive Data'!R:R,$B139)</f>
        <v>0</v>
      </c>
      <c r="O139" s="8">
        <f t="shared" si="5"/>
        <v>0</v>
      </c>
    </row>
    <row r="140" spans="1:15" x14ac:dyDescent="0.3">
      <c r="A140" s="11"/>
      <c r="B140" s="5"/>
      <c r="C140" s="12"/>
      <c r="D140" s="13"/>
      <c r="E140" s="13"/>
      <c r="F140" s="5"/>
      <c r="G140" s="14"/>
      <c r="H140" s="15"/>
      <c r="I140" s="12"/>
      <c r="J140" s="5"/>
      <c r="K140" s="5"/>
      <c r="L140" s="8"/>
      <c r="M140" s="8"/>
      <c r="N140" s="8">
        <f>SUMIFS('[1]Finanace - Incentive Data'!BE:BE,'[1]Finanace - Incentive Data'!BS:BS,"Y",'[1]Finanace - Incentive Data'!H:H,$C$123,'[1]Finanace - Incentive Data'!R:R,$B140)</f>
        <v>0</v>
      </c>
      <c r="O140" s="8">
        <f t="shared" si="5"/>
        <v>0</v>
      </c>
    </row>
    <row r="141" spans="1:15" x14ac:dyDescent="0.3">
      <c r="A141" s="11"/>
      <c r="B141" s="5"/>
      <c r="C141" s="12"/>
      <c r="D141" s="13"/>
      <c r="E141" s="13"/>
      <c r="F141" s="5"/>
      <c r="G141" s="14"/>
      <c r="H141" s="15"/>
      <c r="I141" s="12"/>
      <c r="J141" s="5"/>
      <c r="K141" s="5"/>
      <c r="L141" s="8"/>
      <c r="M141" s="8"/>
      <c r="N141" s="8">
        <f>SUMIFS('[1]Finanace - Incentive Data'!BE:BE,'[1]Finanace - Incentive Data'!BS:BS,"Y",'[1]Finanace - Incentive Data'!H:H,$C$123,'[1]Finanace - Incentive Data'!R:R,$B141)</f>
        <v>0</v>
      </c>
      <c r="O141" s="8">
        <f t="shared" si="5"/>
        <v>0</v>
      </c>
    </row>
    <row r="142" spans="1:15" x14ac:dyDescent="0.3">
      <c r="A142" s="11"/>
      <c r="B142" s="5"/>
      <c r="C142" s="12"/>
      <c r="D142" s="13"/>
      <c r="E142" s="13"/>
      <c r="F142" s="5"/>
      <c r="G142" s="14"/>
      <c r="H142" s="15"/>
      <c r="I142" s="12"/>
      <c r="J142" s="5"/>
      <c r="K142" s="5"/>
      <c r="L142" s="8"/>
      <c r="M142" s="8"/>
      <c r="N142" s="8">
        <f>SUMIFS('[1]Finanace - Incentive Data'!BE:BE,'[1]Finanace - Incentive Data'!BS:BS,"Y",'[1]Finanace - Incentive Data'!H:H,$C$123,'[1]Finanace - Incentive Data'!R:R,$B142)</f>
        <v>0</v>
      </c>
      <c r="O142" s="8">
        <f t="shared" si="5"/>
        <v>0</v>
      </c>
    </row>
    <row r="143" spans="1:15" x14ac:dyDescent="0.3">
      <c r="A143" s="11"/>
      <c r="B143" s="5"/>
      <c r="C143" s="12"/>
      <c r="D143" s="13"/>
      <c r="E143" s="13"/>
      <c r="F143" s="5"/>
      <c r="G143" s="14"/>
      <c r="H143" s="15"/>
      <c r="I143" s="12"/>
      <c r="J143" s="5"/>
      <c r="K143" s="5"/>
      <c r="L143" s="8"/>
      <c r="M143" s="8"/>
      <c r="N143" s="8">
        <f>SUMIFS('[1]Finanace - Incentive Data'!BE:BE,'[1]Finanace - Incentive Data'!BS:BS,"Y",'[1]Finanace - Incentive Data'!H:H,$C$123,'[1]Finanace - Incentive Data'!R:R,$B143)</f>
        <v>0</v>
      </c>
      <c r="O143" s="8">
        <f t="shared" si="5"/>
        <v>0</v>
      </c>
    </row>
    <row r="146" spans="1:15" ht="43.2" x14ac:dyDescent="0.3">
      <c r="A146" s="1" t="s">
        <v>0</v>
      </c>
      <c r="B146" s="1" t="s">
        <v>1</v>
      </c>
      <c r="C146" s="1" t="s">
        <v>2</v>
      </c>
      <c r="D146" s="1" t="s">
        <v>3</v>
      </c>
      <c r="E146" s="1" t="s">
        <v>4</v>
      </c>
      <c r="F146" s="1" t="s">
        <v>5</v>
      </c>
      <c r="G146" s="1" t="s">
        <v>6</v>
      </c>
      <c r="H146" s="1" t="s">
        <v>7</v>
      </c>
      <c r="I146" s="1" t="s">
        <v>8</v>
      </c>
      <c r="J146" s="1" t="s">
        <v>9</v>
      </c>
      <c r="K146" s="2" t="s">
        <v>10</v>
      </c>
      <c r="L146" s="2" t="s">
        <v>11</v>
      </c>
      <c r="M146" s="3"/>
      <c r="N146" s="3"/>
    </row>
    <row r="147" spans="1:15" x14ac:dyDescent="0.3">
      <c r="A147" s="5" t="s">
        <v>12</v>
      </c>
      <c r="B147" s="4" t="str">
        <f>_xlfn.XLOOKUP($C147,'[1]Basic EMP Data - 2026'!$D$3:$D$224,'[1]Basic EMP Data - 2026'!$C$3:$C$224)</f>
        <v>VB2170</v>
      </c>
      <c r="C147" s="6" t="s">
        <v>33</v>
      </c>
      <c r="D147" s="5" t="str">
        <f>VLOOKUP($B147,'[1]Basic EMP Data - 2026'!$C$3:$F$224,3,0)</f>
        <v>Rohit Gupta</v>
      </c>
      <c r="E147" s="5">
        <f>VLOOKUP($B147,'[1]Basic EMP Data - 2026'!$C$3:$I$224,5,0)</f>
        <v>0</v>
      </c>
      <c r="F147" s="5">
        <f>VLOOKUP($B147,'[1]Basic EMP Data - 2026'!$C$3:$I$224,6,0)</f>
        <v>0</v>
      </c>
      <c r="G147" s="7" t="e">
        <f>F147/E147</f>
        <v>#DIV/0!</v>
      </c>
      <c r="H147" s="8">
        <f>SUM(L149:L167)</f>
        <v>0</v>
      </c>
      <c r="I147" s="9" t="e" cm="1">
        <f t="array" ref="I147">_xlfn.IFS($G147&lt;=34%,0%,$G147&lt;=75%,3%,$G147&lt;=120%,4%,$G147&gt;120%,5%)</f>
        <v>#DIV/0!</v>
      </c>
      <c r="J147" s="8" cm="1">
        <f t="array" ref="J147">SUMPRODUCT((C149:C167=2026)*M149:M167*2)</f>
        <v>0</v>
      </c>
      <c r="K147" s="5">
        <f>SUM(N149:N167)</f>
        <v>0</v>
      </c>
      <c r="L147" s="8">
        <f>J147-K147</f>
        <v>0</v>
      </c>
      <c r="M147" s="3"/>
      <c r="N147" s="3"/>
    </row>
    <row r="148" spans="1:15" ht="43.2" x14ac:dyDescent="0.3">
      <c r="A148" s="10" t="s">
        <v>2</v>
      </c>
      <c r="B148" s="10" t="s">
        <v>14</v>
      </c>
      <c r="C148" s="10" t="s">
        <v>15</v>
      </c>
      <c r="D148" s="10" t="s">
        <v>16</v>
      </c>
      <c r="E148" s="10" t="s">
        <v>17</v>
      </c>
      <c r="F148" s="10" t="s">
        <v>18</v>
      </c>
      <c r="G148" s="10" t="s">
        <v>19</v>
      </c>
      <c r="H148" s="10" t="s">
        <v>20</v>
      </c>
      <c r="I148" s="10" t="s">
        <v>21</v>
      </c>
      <c r="J148" s="10" t="s">
        <v>22</v>
      </c>
      <c r="K148" s="10" t="s">
        <v>23</v>
      </c>
      <c r="L148" s="10" t="s">
        <v>24</v>
      </c>
      <c r="M148" s="10" t="s">
        <v>25</v>
      </c>
      <c r="N148" s="10" t="s">
        <v>26</v>
      </c>
      <c r="O148" s="10" t="s">
        <v>27</v>
      </c>
    </row>
    <row r="149" spans="1:15" x14ac:dyDescent="0.3">
      <c r="A149" s="11" t="str">
        <f>C147</f>
        <v>Gufran Ali</v>
      </c>
      <c r="B149" s="5" t="e" cm="1" vm="1">
        <f t="array" ref="B149">_xlfn.LET(
  _xlpm.data, _xlfn._xlws.FILTER('[1]Finanace - Incentive Data'!A:CA, '[1]Finanace - Incentive Data'!H:H=$C147),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149" s="12"/>
      <c r="D149" s="13"/>
      <c r="E149" s="13"/>
      <c r="F149" s="5"/>
      <c r="G149" s="14"/>
      <c r="H149" s="15"/>
      <c r="I149" s="12"/>
      <c r="J149" s="5"/>
      <c r="K149" s="5"/>
      <c r="L149" s="8"/>
      <c r="M149" s="8"/>
      <c r="N149" s="8">
        <f>SUMIFS('[1]Finanace - Incentive Data'!BE:BE,'[1]Finanace - Incentive Data'!BS:BS,"Y",'[1]Finanace - Incentive Data'!H:H,$C$147,'[1]Finanace - Incentive Data'!R:R,$B149)</f>
        <v>0</v>
      </c>
      <c r="O149" s="8">
        <f>M149-N149</f>
        <v>0</v>
      </c>
    </row>
    <row r="150" spans="1:15" x14ac:dyDescent="0.3">
      <c r="A150" s="11"/>
      <c r="B150" s="5"/>
      <c r="C150" s="12"/>
      <c r="D150" s="13"/>
      <c r="E150" s="13"/>
      <c r="F150" s="5"/>
      <c r="G150" s="14"/>
      <c r="H150" s="15"/>
      <c r="I150" s="12"/>
      <c r="J150" s="5"/>
      <c r="K150" s="5"/>
      <c r="L150" s="8"/>
      <c r="M150" s="8"/>
      <c r="N150" s="8">
        <f>SUMIFS('[1]Finanace - Incentive Data'!BE:BE,'[1]Finanace - Incentive Data'!BS:BS,"Y",'[1]Finanace - Incentive Data'!H:H,$C$147,'[1]Finanace - Incentive Data'!R:R,$B150)</f>
        <v>0</v>
      </c>
      <c r="O150" s="8">
        <f t="shared" ref="O150:O167" si="6">M150-N150</f>
        <v>0</v>
      </c>
    </row>
    <row r="151" spans="1:15" x14ac:dyDescent="0.3">
      <c r="A151" s="11"/>
      <c r="B151" s="5"/>
      <c r="C151" s="12"/>
      <c r="D151" s="13"/>
      <c r="E151" s="13"/>
      <c r="F151" s="5"/>
      <c r="G151" s="14"/>
      <c r="H151" s="15"/>
      <c r="I151" s="12"/>
      <c r="J151" s="5"/>
      <c r="K151" s="5"/>
      <c r="L151" s="8"/>
      <c r="M151" s="8"/>
      <c r="N151" s="8">
        <f>SUMIFS('[1]Finanace - Incentive Data'!BE:BE,'[1]Finanace - Incentive Data'!BS:BS,"Y",'[1]Finanace - Incentive Data'!H:H,$C$147,'[1]Finanace - Incentive Data'!R:R,$B151)</f>
        <v>0</v>
      </c>
      <c r="O151" s="8">
        <f t="shared" si="6"/>
        <v>0</v>
      </c>
    </row>
    <row r="152" spans="1:15" x14ac:dyDescent="0.3">
      <c r="A152" s="11"/>
      <c r="B152" s="5"/>
      <c r="C152" s="12"/>
      <c r="D152" s="13"/>
      <c r="E152" s="13"/>
      <c r="F152" s="5"/>
      <c r="G152" s="14"/>
      <c r="H152" s="15"/>
      <c r="I152" s="12"/>
      <c r="J152" s="5"/>
      <c r="K152" s="5"/>
      <c r="L152" s="8"/>
      <c r="M152" s="8"/>
      <c r="N152" s="8">
        <f>SUMIFS('[1]Finanace - Incentive Data'!BE:BE,'[1]Finanace - Incentive Data'!BS:BS,"Y",'[1]Finanace - Incentive Data'!H:H,$C$147,'[1]Finanace - Incentive Data'!R:R,$B152)</f>
        <v>0</v>
      </c>
      <c r="O152" s="8">
        <f t="shared" si="6"/>
        <v>0</v>
      </c>
    </row>
    <row r="153" spans="1:15" x14ac:dyDescent="0.3">
      <c r="A153" s="11"/>
      <c r="B153" s="5"/>
      <c r="C153" s="12"/>
      <c r="D153" s="13"/>
      <c r="E153" s="13"/>
      <c r="F153" s="5"/>
      <c r="G153" s="14"/>
      <c r="H153" s="15"/>
      <c r="I153" s="12"/>
      <c r="J153" s="5"/>
      <c r="K153" s="5"/>
      <c r="L153" s="8"/>
      <c r="M153" s="8"/>
      <c r="N153" s="8">
        <f>SUMIFS('[1]Finanace - Incentive Data'!BE:BE,'[1]Finanace - Incentive Data'!BS:BS,"Y",'[1]Finanace - Incentive Data'!H:H,$C$147,'[1]Finanace - Incentive Data'!R:R,$B153)</f>
        <v>0</v>
      </c>
      <c r="O153" s="8">
        <f t="shared" si="6"/>
        <v>0</v>
      </c>
    </row>
    <row r="154" spans="1:15" x14ac:dyDescent="0.3">
      <c r="A154" s="11"/>
      <c r="B154" s="5"/>
      <c r="C154" s="12"/>
      <c r="D154" s="13"/>
      <c r="E154" s="13"/>
      <c r="F154" s="5"/>
      <c r="G154" s="14"/>
      <c r="H154" s="15"/>
      <c r="I154" s="12"/>
      <c r="J154" s="5"/>
      <c r="K154" s="5"/>
      <c r="L154" s="8"/>
      <c r="M154" s="8"/>
      <c r="N154" s="8">
        <f>SUMIFS('[1]Finanace - Incentive Data'!BE:BE,'[1]Finanace - Incentive Data'!BS:BS,"Y",'[1]Finanace - Incentive Data'!H:H,$C$147,'[1]Finanace - Incentive Data'!R:R,$B154)</f>
        <v>0</v>
      </c>
      <c r="O154" s="8">
        <f t="shared" si="6"/>
        <v>0</v>
      </c>
    </row>
    <row r="155" spans="1:15" x14ac:dyDescent="0.3">
      <c r="A155" s="11"/>
      <c r="B155" s="5"/>
      <c r="C155" s="12"/>
      <c r="D155" s="13"/>
      <c r="E155" s="13"/>
      <c r="F155" s="5"/>
      <c r="G155" s="14"/>
      <c r="H155" s="15"/>
      <c r="I155" s="12"/>
      <c r="J155" s="5"/>
      <c r="K155" s="5"/>
      <c r="L155" s="8"/>
      <c r="M155" s="8"/>
      <c r="N155" s="8">
        <f>SUMIFS('[1]Finanace - Incentive Data'!BE:BE,'[1]Finanace - Incentive Data'!BS:BS,"Y",'[1]Finanace - Incentive Data'!H:H,$C$147,'[1]Finanace - Incentive Data'!R:R,$B155)</f>
        <v>0</v>
      </c>
      <c r="O155" s="8">
        <f t="shared" si="6"/>
        <v>0</v>
      </c>
    </row>
    <row r="156" spans="1:15" x14ac:dyDescent="0.3">
      <c r="A156" s="11"/>
      <c r="B156" s="5"/>
      <c r="C156" s="12"/>
      <c r="D156" s="13"/>
      <c r="E156" s="13"/>
      <c r="F156" s="5"/>
      <c r="G156" s="14"/>
      <c r="H156" s="15"/>
      <c r="I156" s="12"/>
      <c r="J156" s="5"/>
      <c r="K156" s="5"/>
      <c r="L156" s="8"/>
      <c r="M156" s="8"/>
      <c r="N156" s="8">
        <f>SUMIFS('[1]Finanace - Incentive Data'!BE:BE,'[1]Finanace - Incentive Data'!BS:BS,"Y",'[1]Finanace - Incentive Data'!H:H,$C$147,'[1]Finanace - Incentive Data'!R:R,$B156)</f>
        <v>0</v>
      </c>
      <c r="O156" s="8">
        <f t="shared" si="6"/>
        <v>0</v>
      </c>
    </row>
    <row r="157" spans="1:15" x14ac:dyDescent="0.3">
      <c r="A157" s="11"/>
      <c r="B157" s="5"/>
      <c r="C157" s="12"/>
      <c r="D157" s="13"/>
      <c r="E157" s="13"/>
      <c r="F157" s="5"/>
      <c r="G157" s="14"/>
      <c r="H157" s="15"/>
      <c r="I157" s="12"/>
      <c r="J157" s="5"/>
      <c r="K157" s="5"/>
      <c r="L157" s="8"/>
      <c r="M157" s="8"/>
      <c r="N157" s="8">
        <f>SUMIFS('[1]Finanace - Incentive Data'!BE:BE,'[1]Finanace - Incentive Data'!BS:BS,"Y",'[1]Finanace - Incentive Data'!H:H,$C$147,'[1]Finanace - Incentive Data'!R:R,$B157)</f>
        <v>0</v>
      </c>
      <c r="O157" s="8">
        <f t="shared" si="6"/>
        <v>0</v>
      </c>
    </row>
    <row r="158" spans="1:15" x14ac:dyDescent="0.3">
      <c r="A158" s="11"/>
      <c r="B158" s="5"/>
      <c r="C158" s="12"/>
      <c r="D158" s="13"/>
      <c r="E158" s="13"/>
      <c r="F158" s="5"/>
      <c r="G158" s="14"/>
      <c r="H158" s="15"/>
      <c r="I158" s="12"/>
      <c r="J158" s="5"/>
      <c r="K158" s="5"/>
      <c r="L158" s="8"/>
      <c r="M158" s="8"/>
      <c r="N158" s="8">
        <f>SUMIFS('[1]Finanace - Incentive Data'!BE:BE,'[1]Finanace - Incentive Data'!BS:BS,"Y",'[1]Finanace - Incentive Data'!H:H,$C$147,'[1]Finanace - Incentive Data'!R:R,$B158)</f>
        <v>0</v>
      </c>
      <c r="O158" s="8">
        <f t="shared" si="6"/>
        <v>0</v>
      </c>
    </row>
    <row r="159" spans="1:15" x14ac:dyDescent="0.3">
      <c r="A159" s="11"/>
      <c r="B159" s="5"/>
      <c r="C159" s="12"/>
      <c r="D159" s="13"/>
      <c r="E159" s="13"/>
      <c r="F159" s="5"/>
      <c r="G159" s="14"/>
      <c r="H159" s="15"/>
      <c r="I159" s="12"/>
      <c r="J159" s="5"/>
      <c r="K159" s="5"/>
      <c r="L159" s="8"/>
      <c r="M159" s="8"/>
      <c r="N159" s="8">
        <f>SUMIFS('[1]Finanace - Incentive Data'!BE:BE,'[1]Finanace - Incentive Data'!BS:BS,"Y",'[1]Finanace - Incentive Data'!H:H,$C$147,'[1]Finanace - Incentive Data'!R:R,$B159)</f>
        <v>0</v>
      </c>
      <c r="O159" s="8">
        <f t="shared" si="6"/>
        <v>0</v>
      </c>
    </row>
    <row r="160" spans="1:15" x14ac:dyDescent="0.3">
      <c r="A160" s="11"/>
      <c r="B160" s="5"/>
      <c r="C160" s="12"/>
      <c r="D160" s="13"/>
      <c r="E160" s="13"/>
      <c r="F160" s="5"/>
      <c r="G160" s="14"/>
      <c r="H160" s="15"/>
      <c r="I160" s="12"/>
      <c r="J160" s="5"/>
      <c r="K160" s="5"/>
      <c r="L160" s="8"/>
      <c r="M160" s="8"/>
      <c r="N160" s="8">
        <f>SUMIFS('[1]Finanace - Incentive Data'!BE:BE,'[1]Finanace - Incentive Data'!BS:BS,"Y",'[1]Finanace - Incentive Data'!H:H,$C$147,'[1]Finanace - Incentive Data'!R:R,$B160)</f>
        <v>0</v>
      </c>
      <c r="O160" s="8">
        <f t="shared" si="6"/>
        <v>0</v>
      </c>
    </row>
    <row r="161" spans="1:15" x14ac:dyDescent="0.3">
      <c r="A161" s="11"/>
      <c r="B161" s="5"/>
      <c r="C161" s="12"/>
      <c r="D161" s="13"/>
      <c r="E161" s="13"/>
      <c r="F161" s="5"/>
      <c r="G161" s="14"/>
      <c r="H161" s="15"/>
      <c r="I161" s="12"/>
      <c r="J161" s="5"/>
      <c r="K161" s="5"/>
      <c r="L161" s="8"/>
      <c r="M161" s="8"/>
      <c r="N161" s="8">
        <f>SUMIFS('[1]Finanace - Incentive Data'!BE:BE,'[1]Finanace - Incentive Data'!BS:BS,"Y",'[1]Finanace - Incentive Data'!H:H,$C$147,'[1]Finanace - Incentive Data'!R:R,$B161)</f>
        <v>0</v>
      </c>
      <c r="O161" s="8">
        <f t="shared" si="6"/>
        <v>0</v>
      </c>
    </row>
    <row r="162" spans="1:15" x14ac:dyDescent="0.3">
      <c r="A162" s="11"/>
      <c r="B162" s="5"/>
      <c r="C162" s="12"/>
      <c r="D162" s="13"/>
      <c r="E162" s="13"/>
      <c r="F162" s="5"/>
      <c r="G162" s="14"/>
      <c r="H162" s="15"/>
      <c r="I162" s="12"/>
      <c r="J162" s="5"/>
      <c r="K162" s="5"/>
      <c r="L162" s="8"/>
      <c r="M162" s="8"/>
      <c r="N162" s="8">
        <f>SUMIFS('[1]Finanace - Incentive Data'!BE:BE,'[1]Finanace - Incentive Data'!BS:BS,"Y",'[1]Finanace - Incentive Data'!H:H,$C$147,'[1]Finanace - Incentive Data'!R:R,$B162)</f>
        <v>0</v>
      </c>
      <c r="O162" s="8">
        <f t="shared" si="6"/>
        <v>0</v>
      </c>
    </row>
    <row r="163" spans="1:15" x14ac:dyDescent="0.3">
      <c r="A163" s="11"/>
      <c r="B163" s="5"/>
      <c r="C163" s="12"/>
      <c r="D163" s="13"/>
      <c r="E163" s="13"/>
      <c r="F163" s="5"/>
      <c r="G163" s="14"/>
      <c r="H163" s="15"/>
      <c r="I163" s="12"/>
      <c r="J163" s="5"/>
      <c r="K163" s="5"/>
      <c r="L163" s="8"/>
      <c r="M163" s="8"/>
      <c r="N163" s="8">
        <f>SUMIFS('[1]Finanace - Incentive Data'!BE:BE,'[1]Finanace - Incentive Data'!BS:BS,"Y",'[1]Finanace - Incentive Data'!H:H,$C$147,'[1]Finanace - Incentive Data'!R:R,$B163)</f>
        <v>0</v>
      </c>
      <c r="O163" s="8">
        <f t="shared" si="6"/>
        <v>0</v>
      </c>
    </row>
    <row r="164" spans="1:15" x14ac:dyDescent="0.3">
      <c r="A164" s="11"/>
      <c r="B164" s="5"/>
      <c r="C164" s="12"/>
      <c r="D164" s="13"/>
      <c r="E164" s="13"/>
      <c r="F164" s="5"/>
      <c r="G164" s="14"/>
      <c r="H164" s="15"/>
      <c r="I164" s="12"/>
      <c r="J164" s="5"/>
      <c r="K164" s="5"/>
      <c r="L164" s="8"/>
      <c r="M164" s="8"/>
      <c r="N164" s="8">
        <f>SUMIFS('[1]Finanace - Incentive Data'!BE:BE,'[1]Finanace - Incentive Data'!BS:BS,"Y",'[1]Finanace - Incentive Data'!H:H,$C$147,'[1]Finanace - Incentive Data'!R:R,$B164)</f>
        <v>0</v>
      </c>
      <c r="O164" s="8">
        <f t="shared" si="6"/>
        <v>0</v>
      </c>
    </row>
    <row r="165" spans="1:15" x14ac:dyDescent="0.3">
      <c r="A165" s="11"/>
      <c r="B165" s="5"/>
      <c r="C165" s="12"/>
      <c r="D165" s="13"/>
      <c r="E165" s="13"/>
      <c r="F165" s="5"/>
      <c r="G165" s="14"/>
      <c r="H165" s="15"/>
      <c r="I165" s="12"/>
      <c r="J165" s="5"/>
      <c r="K165" s="5"/>
      <c r="L165" s="8"/>
      <c r="M165" s="8"/>
      <c r="N165" s="8">
        <f>SUMIFS('[1]Finanace - Incentive Data'!BE:BE,'[1]Finanace - Incentive Data'!BS:BS,"Y",'[1]Finanace - Incentive Data'!H:H,$C$147,'[1]Finanace - Incentive Data'!R:R,$B165)</f>
        <v>0</v>
      </c>
      <c r="O165" s="8">
        <f t="shared" si="6"/>
        <v>0</v>
      </c>
    </row>
    <row r="166" spans="1:15" x14ac:dyDescent="0.3">
      <c r="A166" s="11"/>
      <c r="B166" s="5"/>
      <c r="C166" s="12"/>
      <c r="D166" s="13"/>
      <c r="E166" s="13"/>
      <c r="F166" s="5"/>
      <c r="G166" s="14"/>
      <c r="H166" s="15"/>
      <c r="I166" s="12"/>
      <c r="J166" s="5"/>
      <c r="K166" s="5"/>
      <c r="L166" s="8"/>
      <c r="M166" s="8"/>
      <c r="N166" s="8">
        <f>SUMIFS('[1]Finanace - Incentive Data'!BE:BE,'[1]Finanace - Incentive Data'!BS:BS,"Y",'[1]Finanace - Incentive Data'!H:H,$C$147,'[1]Finanace - Incentive Data'!R:R,$B166)</f>
        <v>0</v>
      </c>
      <c r="O166" s="8">
        <f t="shared" si="6"/>
        <v>0</v>
      </c>
    </row>
    <row r="167" spans="1:15" x14ac:dyDescent="0.3">
      <c r="A167" s="11"/>
      <c r="B167" s="5"/>
      <c r="C167" s="12"/>
      <c r="D167" s="13"/>
      <c r="E167" s="13"/>
      <c r="F167" s="5"/>
      <c r="G167" s="14"/>
      <c r="H167" s="15"/>
      <c r="I167" s="12"/>
      <c r="J167" s="5"/>
      <c r="K167" s="5"/>
      <c r="L167" s="8"/>
      <c r="M167" s="8"/>
      <c r="N167" s="8">
        <f>SUMIFS('[1]Finanace - Incentive Data'!BE:BE,'[1]Finanace - Incentive Data'!BS:BS,"Y",'[1]Finanace - Incentive Data'!H:H,$C$147,'[1]Finanace - Incentive Data'!R:R,$B167)</f>
        <v>0</v>
      </c>
      <c r="O167" s="8">
        <f t="shared" si="6"/>
        <v>0</v>
      </c>
    </row>
    <row r="170" spans="1:15" ht="43.2" x14ac:dyDescent="0.3">
      <c r="A170" s="1" t="s">
        <v>0</v>
      </c>
      <c r="B170" s="1" t="s">
        <v>1</v>
      </c>
      <c r="C170" s="1" t="s">
        <v>2</v>
      </c>
      <c r="D170" s="1" t="s">
        <v>3</v>
      </c>
      <c r="E170" s="1" t="s">
        <v>4</v>
      </c>
      <c r="F170" s="1" t="s">
        <v>5</v>
      </c>
      <c r="G170" s="1" t="s">
        <v>6</v>
      </c>
      <c r="H170" s="1" t="s">
        <v>7</v>
      </c>
      <c r="I170" s="1" t="s">
        <v>8</v>
      </c>
      <c r="J170" s="1" t="s">
        <v>9</v>
      </c>
      <c r="K170" s="2" t="s">
        <v>10</v>
      </c>
      <c r="L170" s="2" t="s">
        <v>11</v>
      </c>
      <c r="M170" s="3"/>
      <c r="N170" s="3"/>
    </row>
    <row r="171" spans="1:15" x14ac:dyDescent="0.3">
      <c r="A171" s="5" t="s">
        <v>12</v>
      </c>
      <c r="B171" s="4" t="str">
        <f>_xlfn.XLOOKUP($C171,'[1]Basic EMP Data - 2026'!$D$3:$D$224,'[1]Basic EMP Data - 2026'!$C$3:$C$224)</f>
        <v>VB0183</v>
      </c>
      <c r="C171" s="6" t="s">
        <v>34</v>
      </c>
      <c r="D171" s="5" t="str">
        <f>VLOOKUP($B171,'[1]Basic EMP Data - 2026'!$C$3:$F$224,3,0)</f>
        <v>Fakhrul</v>
      </c>
      <c r="E171" s="5">
        <f>VLOOKUP($B171,'[1]Basic EMP Data - 2026'!$C$3:$I$224,5,0)</f>
        <v>8</v>
      </c>
      <c r="F171" s="5">
        <f>VLOOKUP($B171,'[1]Basic EMP Data - 2026'!$C$3:$I$224,6,0)</f>
        <v>0</v>
      </c>
      <c r="G171" s="7">
        <f>F171/E171</f>
        <v>0</v>
      </c>
      <c r="H171" s="8">
        <f>SUM(L173:L191)</f>
        <v>0</v>
      </c>
      <c r="I171" s="9" cm="1">
        <f t="array" ref="I171">_xlfn.IFS($G171&lt;=34%,0%,$G171&lt;=75%,3%,$G171&lt;=120%,4%,$G171&gt;120%,5%)</f>
        <v>0</v>
      </c>
      <c r="J171" s="8" cm="1">
        <f t="array" ref="J171">SUMPRODUCT((C173:C191=2026)*M173:M191*2)</f>
        <v>0</v>
      </c>
      <c r="K171" s="5">
        <f>SUM(N173:N191)</f>
        <v>0</v>
      </c>
      <c r="L171" s="8">
        <f>J171-K171</f>
        <v>0</v>
      </c>
      <c r="M171" s="3"/>
      <c r="N171" s="3"/>
    </row>
    <row r="172" spans="1:15" ht="43.2" x14ac:dyDescent="0.3">
      <c r="A172" s="10" t="s">
        <v>2</v>
      </c>
      <c r="B172" s="10" t="s">
        <v>14</v>
      </c>
      <c r="C172" s="10" t="s">
        <v>15</v>
      </c>
      <c r="D172" s="10" t="s">
        <v>16</v>
      </c>
      <c r="E172" s="10" t="s">
        <v>17</v>
      </c>
      <c r="F172" s="10" t="s">
        <v>18</v>
      </c>
      <c r="G172" s="10" t="s">
        <v>19</v>
      </c>
      <c r="H172" s="10" t="s">
        <v>20</v>
      </c>
      <c r="I172" s="10" t="s">
        <v>21</v>
      </c>
      <c r="J172" s="10" t="s">
        <v>22</v>
      </c>
      <c r="K172" s="10" t="s">
        <v>23</v>
      </c>
      <c r="L172" s="10" t="s">
        <v>24</v>
      </c>
      <c r="M172" s="10" t="s">
        <v>25</v>
      </c>
      <c r="N172" s="10" t="s">
        <v>26</v>
      </c>
      <c r="O172" s="10" t="s">
        <v>27</v>
      </c>
    </row>
    <row r="173" spans="1:15" x14ac:dyDescent="0.3">
      <c r="A173" s="11" t="str">
        <f>C171</f>
        <v>Saurabh Mishra</v>
      </c>
      <c r="B173" s="5" t="e" cm="1" vm="1">
        <f t="array" ref="B173">_xlfn.LET(
  _xlpm.data, _xlfn._xlws.FILTER('[1]Finanace - Incentive Data'!A:CA, '[1]Finanace - Incentive Data'!H:H=$C171),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173" s="12"/>
      <c r="D173" s="13"/>
      <c r="E173" s="13"/>
      <c r="F173" s="5"/>
      <c r="G173" s="14"/>
      <c r="H173" s="15"/>
      <c r="I173" s="12"/>
      <c r="J173" s="5"/>
      <c r="K173" s="5"/>
      <c r="L173" s="8"/>
      <c r="M173" s="8"/>
      <c r="N173" s="8">
        <f>SUMIFS('[1]Finanace - Incentive Data'!BE:BE,'[1]Finanace - Incentive Data'!BS:BS,"Y",'[1]Finanace - Incentive Data'!H:H,$C$171,'[1]Finanace - Incentive Data'!R:R,$B173)</f>
        <v>0</v>
      </c>
      <c r="O173" s="8">
        <f>M173-N173</f>
        <v>0</v>
      </c>
    </row>
    <row r="174" spans="1:15" x14ac:dyDescent="0.3">
      <c r="A174" s="11"/>
      <c r="B174" s="5"/>
      <c r="C174" s="12"/>
      <c r="D174" s="13"/>
      <c r="E174" s="13"/>
      <c r="F174" s="5"/>
      <c r="G174" s="14"/>
      <c r="H174" s="15"/>
      <c r="I174" s="12"/>
      <c r="J174" s="5"/>
      <c r="K174" s="5"/>
      <c r="L174" s="8"/>
      <c r="M174" s="8"/>
      <c r="N174" s="8">
        <f>SUMIFS('[1]Finanace - Incentive Data'!BE:BE,'[1]Finanace - Incentive Data'!BS:BS,"Y",'[1]Finanace - Incentive Data'!H:H,$C$171,'[1]Finanace - Incentive Data'!R:R,$B174)</f>
        <v>0</v>
      </c>
      <c r="O174" s="8">
        <f t="shared" ref="O174:O191" si="7">M174-N174</f>
        <v>0</v>
      </c>
    </row>
    <row r="175" spans="1:15" x14ac:dyDescent="0.3">
      <c r="A175" s="11"/>
      <c r="B175" s="5"/>
      <c r="C175" s="12"/>
      <c r="D175" s="13"/>
      <c r="E175" s="13"/>
      <c r="F175" s="5"/>
      <c r="G175" s="14"/>
      <c r="H175" s="15"/>
      <c r="I175" s="12"/>
      <c r="J175" s="5"/>
      <c r="K175" s="5"/>
      <c r="L175" s="8"/>
      <c r="M175" s="8"/>
      <c r="N175" s="8">
        <f>SUMIFS('[1]Finanace - Incentive Data'!BE:BE,'[1]Finanace - Incentive Data'!BS:BS,"Y",'[1]Finanace - Incentive Data'!H:H,$C$171,'[1]Finanace - Incentive Data'!R:R,$B175)</f>
        <v>0</v>
      </c>
      <c r="O175" s="8">
        <f t="shared" si="7"/>
        <v>0</v>
      </c>
    </row>
    <row r="176" spans="1:15" x14ac:dyDescent="0.3">
      <c r="A176" s="11"/>
      <c r="B176" s="5"/>
      <c r="C176" s="12"/>
      <c r="D176" s="13"/>
      <c r="E176" s="13"/>
      <c r="F176" s="5"/>
      <c r="G176" s="14"/>
      <c r="H176" s="15"/>
      <c r="I176" s="12"/>
      <c r="J176" s="5"/>
      <c r="K176" s="5"/>
      <c r="L176" s="8"/>
      <c r="M176" s="8"/>
      <c r="N176" s="8">
        <f>SUMIFS('[1]Finanace - Incentive Data'!BE:BE,'[1]Finanace - Incentive Data'!BS:BS,"Y",'[1]Finanace - Incentive Data'!H:H,$C$171,'[1]Finanace - Incentive Data'!R:R,$B176)</f>
        <v>0</v>
      </c>
      <c r="O176" s="8">
        <f t="shared" si="7"/>
        <v>0</v>
      </c>
    </row>
    <row r="177" spans="1:15" x14ac:dyDescent="0.3">
      <c r="A177" s="11"/>
      <c r="B177" s="5"/>
      <c r="C177" s="12"/>
      <c r="D177" s="13"/>
      <c r="E177" s="13"/>
      <c r="F177" s="5"/>
      <c r="G177" s="14"/>
      <c r="H177" s="15"/>
      <c r="I177" s="12"/>
      <c r="J177" s="5"/>
      <c r="K177" s="5"/>
      <c r="L177" s="8"/>
      <c r="M177" s="8"/>
      <c r="N177" s="8">
        <f>SUMIFS('[1]Finanace - Incentive Data'!BE:BE,'[1]Finanace - Incentive Data'!BS:BS,"Y",'[1]Finanace - Incentive Data'!H:H,$C$171,'[1]Finanace - Incentive Data'!R:R,$B177)</f>
        <v>0</v>
      </c>
      <c r="O177" s="8">
        <f t="shared" si="7"/>
        <v>0</v>
      </c>
    </row>
    <row r="178" spans="1:15" x14ac:dyDescent="0.3">
      <c r="A178" s="11"/>
      <c r="B178" s="5"/>
      <c r="C178" s="12"/>
      <c r="D178" s="13"/>
      <c r="E178" s="13"/>
      <c r="F178" s="5"/>
      <c r="G178" s="14"/>
      <c r="H178" s="15"/>
      <c r="I178" s="12"/>
      <c r="J178" s="5"/>
      <c r="K178" s="5"/>
      <c r="L178" s="8"/>
      <c r="M178" s="8"/>
      <c r="N178" s="8">
        <f>SUMIFS('[1]Finanace - Incentive Data'!BE:BE,'[1]Finanace - Incentive Data'!BS:BS,"Y",'[1]Finanace - Incentive Data'!H:H,$C$171,'[1]Finanace - Incentive Data'!R:R,$B178)</f>
        <v>0</v>
      </c>
      <c r="O178" s="8">
        <f t="shared" si="7"/>
        <v>0</v>
      </c>
    </row>
    <row r="179" spans="1:15" x14ac:dyDescent="0.3">
      <c r="A179" s="11"/>
      <c r="B179" s="5"/>
      <c r="C179" s="12"/>
      <c r="D179" s="13"/>
      <c r="E179" s="13"/>
      <c r="F179" s="5"/>
      <c r="G179" s="14"/>
      <c r="H179" s="15"/>
      <c r="I179" s="12"/>
      <c r="J179" s="5"/>
      <c r="K179" s="5"/>
      <c r="L179" s="8"/>
      <c r="M179" s="8"/>
      <c r="N179" s="8">
        <f>SUMIFS('[1]Finanace - Incentive Data'!BE:BE,'[1]Finanace - Incentive Data'!BS:BS,"Y",'[1]Finanace - Incentive Data'!H:H,$C$171,'[1]Finanace - Incentive Data'!R:R,$B179)</f>
        <v>0</v>
      </c>
      <c r="O179" s="8">
        <f t="shared" si="7"/>
        <v>0</v>
      </c>
    </row>
    <row r="180" spans="1:15" x14ac:dyDescent="0.3">
      <c r="A180" s="11"/>
      <c r="B180" s="5"/>
      <c r="C180" s="12"/>
      <c r="D180" s="13"/>
      <c r="E180" s="13"/>
      <c r="F180" s="5"/>
      <c r="G180" s="14"/>
      <c r="H180" s="15"/>
      <c r="I180" s="12"/>
      <c r="J180" s="5"/>
      <c r="K180" s="5"/>
      <c r="L180" s="8"/>
      <c r="M180" s="8"/>
      <c r="N180" s="8">
        <f>SUMIFS('[1]Finanace - Incentive Data'!BE:BE,'[1]Finanace - Incentive Data'!BS:BS,"Y",'[1]Finanace - Incentive Data'!H:H,$C$171,'[1]Finanace - Incentive Data'!R:R,$B180)</f>
        <v>0</v>
      </c>
      <c r="O180" s="8">
        <f t="shared" si="7"/>
        <v>0</v>
      </c>
    </row>
    <row r="181" spans="1:15" x14ac:dyDescent="0.3">
      <c r="A181" s="11"/>
      <c r="B181" s="5"/>
      <c r="C181" s="12"/>
      <c r="D181" s="13"/>
      <c r="E181" s="13"/>
      <c r="F181" s="5"/>
      <c r="G181" s="14"/>
      <c r="H181" s="15"/>
      <c r="I181" s="12"/>
      <c r="J181" s="5"/>
      <c r="K181" s="5"/>
      <c r="L181" s="8"/>
      <c r="M181" s="8"/>
      <c r="N181" s="8">
        <f>SUMIFS('[1]Finanace - Incentive Data'!BE:BE,'[1]Finanace - Incentive Data'!BS:BS,"Y",'[1]Finanace - Incentive Data'!H:H,$C$171,'[1]Finanace - Incentive Data'!R:R,$B181)</f>
        <v>0</v>
      </c>
      <c r="O181" s="8">
        <f t="shared" si="7"/>
        <v>0</v>
      </c>
    </row>
    <row r="182" spans="1:15" x14ac:dyDescent="0.3">
      <c r="A182" s="11"/>
      <c r="B182" s="5"/>
      <c r="C182" s="12"/>
      <c r="D182" s="13"/>
      <c r="E182" s="13"/>
      <c r="F182" s="5"/>
      <c r="G182" s="14"/>
      <c r="H182" s="15"/>
      <c r="I182" s="12"/>
      <c r="J182" s="5"/>
      <c r="K182" s="5"/>
      <c r="L182" s="8"/>
      <c r="M182" s="8"/>
      <c r="N182" s="8">
        <f>SUMIFS('[1]Finanace - Incentive Data'!BE:BE,'[1]Finanace - Incentive Data'!BS:BS,"Y",'[1]Finanace - Incentive Data'!H:H,$C$171,'[1]Finanace - Incentive Data'!R:R,$B182)</f>
        <v>0</v>
      </c>
      <c r="O182" s="8">
        <f t="shared" si="7"/>
        <v>0</v>
      </c>
    </row>
    <row r="183" spans="1:15" x14ac:dyDescent="0.3">
      <c r="A183" s="11"/>
      <c r="B183" s="5"/>
      <c r="C183" s="12"/>
      <c r="D183" s="13"/>
      <c r="E183" s="13"/>
      <c r="F183" s="5"/>
      <c r="G183" s="14"/>
      <c r="H183" s="15"/>
      <c r="I183" s="12"/>
      <c r="J183" s="5"/>
      <c r="K183" s="5"/>
      <c r="L183" s="8"/>
      <c r="M183" s="8"/>
      <c r="N183" s="8">
        <f>SUMIFS('[1]Finanace - Incentive Data'!BE:BE,'[1]Finanace - Incentive Data'!BS:BS,"Y",'[1]Finanace - Incentive Data'!H:H,$C$171,'[1]Finanace - Incentive Data'!R:R,$B183)</f>
        <v>0</v>
      </c>
      <c r="O183" s="8">
        <f t="shared" si="7"/>
        <v>0</v>
      </c>
    </row>
    <row r="184" spans="1:15" x14ac:dyDescent="0.3">
      <c r="A184" s="11"/>
      <c r="B184" s="5"/>
      <c r="C184" s="12"/>
      <c r="D184" s="13"/>
      <c r="E184" s="13"/>
      <c r="F184" s="5"/>
      <c r="G184" s="14"/>
      <c r="H184" s="15"/>
      <c r="I184" s="12"/>
      <c r="J184" s="5"/>
      <c r="K184" s="5"/>
      <c r="L184" s="8"/>
      <c r="M184" s="8"/>
      <c r="N184" s="8">
        <f>SUMIFS('[1]Finanace - Incentive Data'!BE:BE,'[1]Finanace - Incentive Data'!BS:BS,"Y",'[1]Finanace - Incentive Data'!H:H,$C$171,'[1]Finanace - Incentive Data'!R:R,$B184)</f>
        <v>0</v>
      </c>
      <c r="O184" s="8">
        <f t="shared" si="7"/>
        <v>0</v>
      </c>
    </row>
    <row r="185" spans="1:15" x14ac:dyDescent="0.3">
      <c r="A185" s="11"/>
      <c r="B185" s="5"/>
      <c r="C185" s="12"/>
      <c r="D185" s="13"/>
      <c r="E185" s="13"/>
      <c r="F185" s="5"/>
      <c r="G185" s="14"/>
      <c r="H185" s="15"/>
      <c r="I185" s="12"/>
      <c r="J185" s="5"/>
      <c r="K185" s="5"/>
      <c r="L185" s="8"/>
      <c r="M185" s="8"/>
      <c r="N185" s="8">
        <f>SUMIFS('[1]Finanace - Incentive Data'!BE:BE,'[1]Finanace - Incentive Data'!BS:BS,"Y",'[1]Finanace - Incentive Data'!H:H,$C$171,'[1]Finanace - Incentive Data'!R:R,$B185)</f>
        <v>0</v>
      </c>
      <c r="O185" s="8">
        <f t="shared" si="7"/>
        <v>0</v>
      </c>
    </row>
    <row r="186" spans="1:15" x14ac:dyDescent="0.3">
      <c r="A186" s="11"/>
      <c r="B186" s="5"/>
      <c r="C186" s="12"/>
      <c r="D186" s="13"/>
      <c r="E186" s="13"/>
      <c r="F186" s="5"/>
      <c r="G186" s="14"/>
      <c r="H186" s="15"/>
      <c r="I186" s="12"/>
      <c r="J186" s="5"/>
      <c r="K186" s="5"/>
      <c r="L186" s="8"/>
      <c r="M186" s="8"/>
      <c r="N186" s="8">
        <f>SUMIFS('[1]Finanace - Incentive Data'!BE:BE,'[1]Finanace - Incentive Data'!BS:BS,"Y",'[1]Finanace - Incentive Data'!H:H,$C$171,'[1]Finanace - Incentive Data'!R:R,$B186)</f>
        <v>0</v>
      </c>
      <c r="O186" s="8">
        <f t="shared" si="7"/>
        <v>0</v>
      </c>
    </row>
    <row r="187" spans="1:15" x14ac:dyDescent="0.3">
      <c r="A187" s="11"/>
      <c r="B187" s="5"/>
      <c r="C187" s="12"/>
      <c r="D187" s="13"/>
      <c r="E187" s="13"/>
      <c r="F187" s="5"/>
      <c r="G187" s="14"/>
      <c r="H187" s="15"/>
      <c r="I187" s="12"/>
      <c r="J187" s="5"/>
      <c r="K187" s="5"/>
      <c r="L187" s="8"/>
      <c r="M187" s="8"/>
      <c r="N187" s="8">
        <f>SUMIFS('[1]Finanace - Incentive Data'!BE:BE,'[1]Finanace - Incentive Data'!BS:BS,"Y",'[1]Finanace - Incentive Data'!H:H,$C$171,'[1]Finanace - Incentive Data'!R:R,$B187)</f>
        <v>0</v>
      </c>
      <c r="O187" s="8">
        <f t="shared" si="7"/>
        <v>0</v>
      </c>
    </row>
    <row r="188" spans="1:15" x14ac:dyDescent="0.3">
      <c r="A188" s="11"/>
      <c r="B188" s="5"/>
      <c r="C188" s="12"/>
      <c r="D188" s="13"/>
      <c r="E188" s="13"/>
      <c r="F188" s="5"/>
      <c r="G188" s="14"/>
      <c r="H188" s="15"/>
      <c r="I188" s="12"/>
      <c r="J188" s="5"/>
      <c r="K188" s="5"/>
      <c r="L188" s="8"/>
      <c r="M188" s="8"/>
      <c r="N188" s="8">
        <f>SUMIFS('[1]Finanace - Incentive Data'!BE:BE,'[1]Finanace - Incentive Data'!BS:BS,"Y",'[1]Finanace - Incentive Data'!H:H,$C$171,'[1]Finanace - Incentive Data'!R:R,$B188)</f>
        <v>0</v>
      </c>
      <c r="O188" s="8">
        <f t="shared" si="7"/>
        <v>0</v>
      </c>
    </row>
    <row r="189" spans="1:15" x14ac:dyDescent="0.3">
      <c r="A189" s="11"/>
      <c r="B189" s="5"/>
      <c r="C189" s="12"/>
      <c r="D189" s="13"/>
      <c r="E189" s="13"/>
      <c r="F189" s="5"/>
      <c r="G189" s="14"/>
      <c r="H189" s="15"/>
      <c r="I189" s="12"/>
      <c r="J189" s="5"/>
      <c r="K189" s="5"/>
      <c r="L189" s="8"/>
      <c r="M189" s="8"/>
      <c r="N189" s="8">
        <f>SUMIFS('[1]Finanace - Incentive Data'!BE:BE,'[1]Finanace - Incentive Data'!BS:BS,"Y",'[1]Finanace - Incentive Data'!H:H,$C$171,'[1]Finanace - Incentive Data'!R:R,$B189)</f>
        <v>0</v>
      </c>
      <c r="O189" s="8">
        <f t="shared" si="7"/>
        <v>0</v>
      </c>
    </row>
    <row r="190" spans="1:15" x14ac:dyDescent="0.3">
      <c r="A190" s="11"/>
      <c r="B190" s="5"/>
      <c r="C190" s="12"/>
      <c r="D190" s="13"/>
      <c r="E190" s="13"/>
      <c r="F190" s="5"/>
      <c r="G190" s="14"/>
      <c r="H190" s="15"/>
      <c r="I190" s="12"/>
      <c r="J190" s="5"/>
      <c r="K190" s="5"/>
      <c r="L190" s="8"/>
      <c r="M190" s="8"/>
      <c r="N190" s="8">
        <f>SUMIFS('[1]Finanace - Incentive Data'!BE:BE,'[1]Finanace - Incentive Data'!BS:BS,"Y",'[1]Finanace - Incentive Data'!H:H,$C$171,'[1]Finanace - Incentive Data'!R:R,$B190)</f>
        <v>0</v>
      </c>
      <c r="O190" s="8">
        <f t="shared" si="7"/>
        <v>0</v>
      </c>
    </row>
    <row r="191" spans="1:15" x14ac:dyDescent="0.3">
      <c r="A191" s="11"/>
      <c r="B191" s="5"/>
      <c r="C191" s="12"/>
      <c r="D191" s="13"/>
      <c r="E191" s="13"/>
      <c r="F191" s="5"/>
      <c r="G191" s="14"/>
      <c r="H191" s="15"/>
      <c r="I191" s="12"/>
      <c r="J191" s="5"/>
      <c r="K191" s="5"/>
      <c r="L191" s="8"/>
      <c r="M191" s="8"/>
      <c r="N191" s="8">
        <f>SUMIFS('[1]Finanace - Incentive Data'!BE:BE,'[1]Finanace - Incentive Data'!BS:BS,"Y",'[1]Finanace - Incentive Data'!H:H,$C$171,'[1]Finanace - Incentive Data'!R:R,$B191)</f>
        <v>0</v>
      </c>
      <c r="O191" s="8">
        <f t="shared" si="7"/>
        <v>0</v>
      </c>
    </row>
    <row r="195" spans="1:15" ht="43.2" x14ac:dyDescent="0.3">
      <c r="A195" s="1" t="s">
        <v>0</v>
      </c>
      <c r="B195" s="1" t="s">
        <v>1</v>
      </c>
      <c r="C195" s="1" t="s">
        <v>2</v>
      </c>
      <c r="D195" s="1" t="s">
        <v>3</v>
      </c>
      <c r="E195" s="1" t="s">
        <v>4</v>
      </c>
      <c r="F195" s="1" t="s">
        <v>5</v>
      </c>
      <c r="G195" s="1" t="s">
        <v>6</v>
      </c>
      <c r="H195" s="1" t="s">
        <v>7</v>
      </c>
      <c r="I195" s="1" t="s">
        <v>8</v>
      </c>
      <c r="J195" s="1" t="s">
        <v>9</v>
      </c>
      <c r="K195" s="2" t="s">
        <v>10</v>
      </c>
      <c r="L195" s="2" t="s">
        <v>11</v>
      </c>
      <c r="M195" s="3"/>
      <c r="N195" s="3"/>
    </row>
    <row r="196" spans="1:15" x14ac:dyDescent="0.3">
      <c r="A196" s="5" t="s">
        <v>12</v>
      </c>
      <c r="B196" s="4" t="str">
        <f>_xlfn.XLOOKUP($C196,'[1]Basic EMP Data - 2026'!$D$3:$D$224,'[1]Basic EMP Data - 2026'!$C$3:$C$224)</f>
        <v>VB0609</v>
      </c>
      <c r="C196" s="6" t="s">
        <v>35</v>
      </c>
      <c r="D196" s="5" t="str">
        <f>VLOOKUP($B196,'[1]Basic EMP Data - 2026'!$C$3:$F$224,3,0)</f>
        <v>Rohit Gupta</v>
      </c>
      <c r="E196" s="5">
        <f>VLOOKUP($B196,'[1]Basic EMP Data - 2026'!$C$3:$I$224,5,0)</f>
        <v>6</v>
      </c>
      <c r="F196" s="5">
        <f>VLOOKUP($B196,'[1]Basic EMP Data - 2026'!$C$3:$I$224,6,0)</f>
        <v>1</v>
      </c>
      <c r="G196" s="7">
        <f>F196/E196</f>
        <v>0.16666666666666666</v>
      </c>
      <c r="H196" s="8">
        <f>SUM(L198:L216)</f>
        <v>13920</v>
      </c>
      <c r="I196" s="9" cm="1">
        <f t="array" ref="I196">_xlfn.IFS($G196&lt;=34%,0%,$G196&lt;=75%,3%,$G196&lt;=120%,4%,$G196&gt;120%,5%)</f>
        <v>0</v>
      </c>
      <c r="J196" s="8" cm="1">
        <f t="array" ref="J196">SUMPRODUCT((C198:C216=2026)*M198:M216*2)</f>
        <v>0</v>
      </c>
      <c r="K196" s="5">
        <f>SUM(N198:N216)</f>
        <v>0</v>
      </c>
      <c r="L196" s="8">
        <f>J196-K196</f>
        <v>0</v>
      </c>
      <c r="M196" s="3"/>
      <c r="N196" s="3"/>
    </row>
    <row r="197" spans="1:15" ht="43.2" x14ac:dyDescent="0.3">
      <c r="A197" s="10" t="s">
        <v>2</v>
      </c>
      <c r="B197" s="10" t="s">
        <v>14</v>
      </c>
      <c r="C197" s="10" t="s">
        <v>15</v>
      </c>
      <c r="D197" s="10" t="s">
        <v>16</v>
      </c>
      <c r="E197" s="10" t="s">
        <v>17</v>
      </c>
      <c r="F197" s="10" t="s">
        <v>18</v>
      </c>
      <c r="G197" s="10" t="s">
        <v>19</v>
      </c>
      <c r="H197" s="10" t="s">
        <v>20</v>
      </c>
      <c r="I197" s="10" t="s">
        <v>21</v>
      </c>
      <c r="J197" s="10" t="s">
        <v>22</v>
      </c>
      <c r="K197" s="10" t="s">
        <v>23</v>
      </c>
      <c r="L197" s="10" t="s">
        <v>24</v>
      </c>
      <c r="M197" s="10" t="s">
        <v>25</v>
      </c>
      <c r="N197" s="10" t="s">
        <v>26</v>
      </c>
      <c r="O197" s="10" t="s">
        <v>27</v>
      </c>
    </row>
    <row r="198" spans="1:15" x14ac:dyDescent="0.3">
      <c r="A198" s="11" t="str">
        <f>C196</f>
        <v>Yogesh Bisht</v>
      </c>
      <c r="B198" s="5" t="str" cm="1">
        <f t="array" ref="B198:M198">_xlfn.LET(
  _xlpm.data, _xlfn._xlws.FILTER('[1]Finanace - Incentive Data'!A:CA, '[1]Finanace - Incentive Data'!H:H=$C196),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Mohamed Diab</v>
      </c>
      <c r="C198" s="12">
        <v>2026</v>
      </c>
      <c r="D198" s="13">
        <v>46064</v>
      </c>
      <c r="E198" s="13">
        <v>0</v>
      </c>
      <c r="F198" s="5" t="str">
        <v>TCS</v>
      </c>
      <c r="G198" s="14" t="str">
        <v>PLC-4774</v>
      </c>
      <c r="H198" s="15" t="str">
        <v>FTE</v>
      </c>
      <c r="I198" s="12" t="str">
        <v>-</v>
      </c>
      <c r="J198" s="5" t="str">
        <v>-</v>
      </c>
      <c r="K198" s="5">
        <v>1</v>
      </c>
      <c r="L198" s="8">
        <v>13920</v>
      </c>
      <c r="M198" s="8">
        <v>0</v>
      </c>
      <c r="N198" s="8">
        <f>SUMIFS('[1]Finanace - Incentive Data'!BE:BE,'[1]Finanace - Incentive Data'!BS:BS,"Y",'[1]Finanace - Incentive Data'!H:H,$C$196,'[1]Finanace - Incentive Data'!R:R,$B198)</f>
        <v>0</v>
      </c>
      <c r="O198" s="8">
        <f>M198-N198</f>
        <v>0</v>
      </c>
    </row>
    <row r="199" spans="1:15" x14ac:dyDescent="0.3">
      <c r="A199" s="11"/>
      <c r="B199" s="5"/>
      <c r="C199" s="12"/>
      <c r="D199" s="13"/>
      <c r="E199" s="13"/>
      <c r="F199" s="5"/>
      <c r="G199" s="14"/>
      <c r="H199" s="15"/>
      <c r="I199" s="12"/>
      <c r="J199" s="5"/>
      <c r="K199" s="5"/>
      <c r="L199" s="8"/>
      <c r="M199" s="8"/>
      <c r="N199" s="8">
        <f>SUMIFS('[1]Finanace - Incentive Data'!BE:BE,'[1]Finanace - Incentive Data'!BS:BS,"Y",'[1]Finanace - Incentive Data'!H:H,$C$196,'[1]Finanace - Incentive Data'!R:R,$B199)</f>
        <v>0</v>
      </c>
      <c r="O199" s="8">
        <f t="shared" ref="O199:O216" si="8">M199-N199</f>
        <v>0</v>
      </c>
    </row>
    <row r="200" spans="1:15" x14ac:dyDescent="0.3">
      <c r="A200" s="11"/>
      <c r="B200" s="5"/>
      <c r="C200" s="12"/>
      <c r="D200" s="13"/>
      <c r="E200" s="13"/>
      <c r="F200" s="5"/>
      <c r="G200" s="14"/>
      <c r="H200" s="15"/>
      <c r="I200" s="12"/>
      <c r="J200" s="5"/>
      <c r="K200" s="5"/>
      <c r="L200" s="8"/>
      <c r="M200" s="8"/>
      <c r="N200" s="8">
        <f>SUMIFS('[1]Finanace - Incentive Data'!BE:BE,'[1]Finanace - Incentive Data'!BS:BS,"Y",'[1]Finanace - Incentive Data'!H:H,$C$196,'[1]Finanace - Incentive Data'!R:R,$B200)</f>
        <v>0</v>
      </c>
      <c r="O200" s="8">
        <f t="shared" si="8"/>
        <v>0</v>
      </c>
    </row>
    <row r="201" spans="1:15" x14ac:dyDescent="0.3">
      <c r="A201" s="11"/>
      <c r="B201" s="5"/>
      <c r="C201" s="12"/>
      <c r="D201" s="13"/>
      <c r="E201" s="13"/>
      <c r="F201" s="5"/>
      <c r="G201" s="14"/>
      <c r="H201" s="15"/>
      <c r="I201" s="12"/>
      <c r="J201" s="5"/>
      <c r="K201" s="5"/>
      <c r="L201" s="8"/>
      <c r="M201" s="8"/>
      <c r="N201" s="8">
        <f>SUMIFS('[1]Finanace - Incentive Data'!BE:BE,'[1]Finanace - Incentive Data'!BS:BS,"Y",'[1]Finanace - Incentive Data'!H:H,$C$196,'[1]Finanace - Incentive Data'!R:R,$B201)</f>
        <v>0</v>
      </c>
      <c r="O201" s="8">
        <f t="shared" si="8"/>
        <v>0</v>
      </c>
    </row>
    <row r="202" spans="1:15" x14ac:dyDescent="0.3">
      <c r="A202" s="11"/>
      <c r="B202" s="5"/>
      <c r="C202" s="12"/>
      <c r="D202" s="13"/>
      <c r="E202" s="13"/>
      <c r="F202" s="5"/>
      <c r="G202" s="14"/>
      <c r="H202" s="15"/>
      <c r="I202" s="12"/>
      <c r="J202" s="5"/>
      <c r="K202" s="5"/>
      <c r="L202" s="8"/>
      <c r="M202" s="8"/>
      <c r="N202" s="8">
        <f>SUMIFS('[1]Finanace - Incentive Data'!BE:BE,'[1]Finanace - Incentive Data'!BS:BS,"Y",'[1]Finanace - Incentive Data'!H:H,$C$196,'[1]Finanace - Incentive Data'!R:R,$B202)</f>
        <v>0</v>
      </c>
      <c r="O202" s="8">
        <f t="shared" si="8"/>
        <v>0</v>
      </c>
    </row>
    <row r="203" spans="1:15" x14ac:dyDescent="0.3">
      <c r="A203" s="11"/>
      <c r="B203" s="5"/>
      <c r="C203" s="12"/>
      <c r="D203" s="13"/>
      <c r="E203" s="13"/>
      <c r="F203" s="5"/>
      <c r="G203" s="14"/>
      <c r="H203" s="15"/>
      <c r="I203" s="12"/>
      <c r="J203" s="5"/>
      <c r="K203" s="5"/>
      <c r="L203" s="8"/>
      <c r="M203" s="8"/>
      <c r="N203" s="8">
        <f>SUMIFS('[1]Finanace - Incentive Data'!BE:BE,'[1]Finanace - Incentive Data'!BS:BS,"Y",'[1]Finanace - Incentive Data'!H:H,$C$196,'[1]Finanace - Incentive Data'!R:R,$B203)</f>
        <v>0</v>
      </c>
      <c r="O203" s="8">
        <f t="shared" si="8"/>
        <v>0</v>
      </c>
    </row>
    <row r="204" spans="1:15" x14ac:dyDescent="0.3">
      <c r="A204" s="11"/>
      <c r="B204" s="5"/>
      <c r="C204" s="12"/>
      <c r="D204" s="13"/>
      <c r="E204" s="13"/>
      <c r="F204" s="5"/>
      <c r="G204" s="14"/>
      <c r="H204" s="15"/>
      <c r="I204" s="12"/>
      <c r="J204" s="5"/>
      <c r="K204" s="5"/>
      <c r="L204" s="8"/>
      <c r="M204" s="8"/>
      <c r="N204" s="8">
        <f>SUMIFS('[1]Finanace - Incentive Data'!BE:BE,'[1]Finanace - Incentive Data'!BS:BS,"Y",'[1]Finanace - Incentive Data'!H:H,$C$196,'[1]Finanace - Incentive Data'!R:R,$B204)</f>
        <v>0</v>
      </c>
      <c r="O204" s="8">
        <f t="shared" si="8"/>
        <v>0</v>
      </c>
    </row>
    <row r="205" spans="1:15" x14ac:dyDescent="0.3">
      <c r="A205" s="11"/>
      <c r="B205" s="5"/>
      <c r="C205" s="12"/>
      <c r="D205" s="13"/>
      <c r="E205" s="13"/>
      <c r="F205" s="5"/>
      <c r="G205" s="14"/>
      <c r="H205" s="15"/>
      <c r="I205" s="12"/>
      <c r="J205" s="5"/>
      <c r="K205" s="5"/>
      <c r="L205" s="8"/>
      <c r="M205" s="8"/>
      <c r="N205" s="8">
        <f>SUMIFS('[1]Finanace - Incentive Data'!BE:BE,'[1]Finanace - Incentive Data'!BS:BS,"Y",'[1]Finanace - Incentive Data'!H:H,$C$196,'[1]Finanace - Incentive Data'!R:R,$B205)</f>
        <v>0</v>
      </c>
      <c r="O205" s="8">
        <f t="shared" si="8"/>
        <v>0</v>
      </c>
    </row>
    <row r="206" spans="1:15" x14ac:dyDescent="0.3">
      <c r="A206" s="11"/>
      <c r="B206" s="5"/>
      <c r="C206" s="12"/>
      <c r="D206" s="13"/>
      <c r="E206" s="13"/>
      <c r="F206" s="5"/>
      <c r="G206" s="14"/>
      <c r="H206" s="15"/>
      <c r="I206" s="12"/>
      <c r="J206" s="5"/>
      <c r="K206" s="5"/>
      <c r="L206" s="8"/>
      <c r="M206" s="8"/>
      <c r="N206" s="8">
        <f>SUMIFS('[1]Finanace - Incentive Data'!BE:BE,'[1]Finanace - Incentive Data'!BS:BS,"Y",'[1]Finanace - Incentive Data'!H:H,$C$196,'[1]Finanace - Incentive Data'!R:R,$B206)</f>
        <v>0</v>
      </c>
      <c r="O206" s="8">
        <f t="shared" si="8"/>
        <v>0</v>
      </c>
    </row>
    <row r="207" spans="1:15" x14ac:dyDescent="0.3">
      <c r="A207" s="11"/>
      <c r="B207" s="5"/>
      <c r="C207" s="12"/>
      <c r="D207" s="13"/>
      <c r="E207" s="13"/>
      <c r="F207" s="5"/>
      <c r="G207" s="14"/>
      <c r="H207" s="15"/>
      <c r="I207" s="12"/>
      <c r="J207" s="5"/>
      <c r="K207" s="5"/>
      <c r="L207" s="8"/>
      <c r="M207" s="8"/>
      <c r="N207" s="8">
        <f>SUMIFS('[1]Finanace - Incentive Data'!BE:BE,'[1]Finanace - Incentive Data'!BS:BS,"Y",'[1]Finanace - Incentive Data'!H:H,$C$196,'[1]Finanace - Incentive Data'!R:R,$B207)</f>
        <v>0</v>
      </c>
      <c r="O207" s="8">
        <f t="shared" si="8"/>
        <v>0</v>
      </c>
    </row>
    <row r="208" spans="1:15" x14ac:dyDescent="0.3">
      <c r="A208" s="11"/>
      <c r="B208" s="5"/>
      <c r="C208" s="12"/>
      <c r="D208" s="13"/>
      <c r="E208" s="13"/>
      <c r="F208" s="5"/>
      <c r="G208" s="14"/>
      <c r="H208" s="15"/>
      <c r="I208" s="12"/>
      <c r="J208" s="5"/>
      <c r="K208" s="5"/>
      <c r="L208" s="8"/>
      <c r="M208" s="8"/>
      <c r="N208" s="8">
        <f>SUMIFS('[1]Finanace - Incentive Data'!BE:BE,'[1]Finanace - Incentive Data'!BS:BS,"Y",'[1]Finanace - Incentive Data'!H:H,$C$196,'[1]Finanace - Incentive Data'!R:R,$B208)</f>
        <v>0</v>
      </c>
      <c r="O208" s="8">
        <f t="shared" si="8"/>
        <v>0</v>
      </c>
    </row>
    <row r="209" spans="1:15" x14ac:dyDescent="0.3">
      <c r="A209" s="11"/>
      <c r="B209" s="5"/>
      <c r="C209" s="12"/>
      <c r="D209" s="13"/>
      <c r="E209" s="13"/>
      <c r="F209" s="5"/>
      <c r="G209" s="14"/>
      <c r="H209" s="15"/>
      <c r="I209" s="12"/>
      <c r="J209" s="5"/>
      <c r="K209" s="5"/>
      <c r="L209" s="8"/>
      <c r="M209" s="8"/>
      <c r="N209" s="8">
        <f>SUMIFS('[1]Finanace - Incentive Data'!BE:BE,'[1]Finanace - Incentive Data'!BS:BS,"Y",'[1]Finanace - Incentive Data'!H:H,$C$196,'[1]Finanace - Incentive Data'!R:R,$B209)</f>
        <v>0</v>
      </c>
      <c r="O209" s="8">
        <f t="shared" si="8"/>
        <v>0</v>
      </c>
    </row>
    <row r="210" spans="1:15" x14ac:dyDescent="0.3">
      <c r="A210" s="11"/>
      <c r="B210" s="5"/>
      <c r="C210" s="12"/>
      <c r="D210" s="13"/>
      <c r="E210" s="13"/>
      <c r="F210" s="5"/>
      <c r="G210" s="14"/>
      <c r="H210" s="15"/>
      <c r="I210" s="12"/>
      <c r="J210" s="5"/>
      <c r="K210" s="5"/>
      <c r="L210" s="8"/>
      <c r="M210" s="8"/>
      <c r="N210" s="8">
        <f>SUMIFS('[1]Finanace - Incentive Data'!BE:BE,'[1]Finanace - Incentive Data'!BS:BS,"Y",'[1]Finanace - Incentive Data'!H:H,$C$196,'[1]Finanace - Incentive Data'!R:R,$B210)</f>
        <v>0</v>
      </c>
      <c r="O210" s="8">
        <f t="shared" si="8"/>
        <v>0</v>
      </c>
    </row>
    <row r="211" spans="1:15" x14ac:dyDescent="0.3">
      <c r="A211" s="11"/>
      <c r="B211" s="5"/>
      <c r="C211" s="12"/>
      <c r="D211" s="13"/>
      <c r="E211" s="13"/>
      <c r="F211" s="5"/>
      <c r="G211" s="14"/>
      <c r="H211" s="15"/>
      <c r="I211" s="12"/>
      <c r="J211" s="5"/>
      <c r="K211" s="5"/>
      <c r="L211" s="8"/>
      <c r="M211" s="8"/>
      <c r="N211" s="8">
        <f>SUMIFS('[1]Finanace - Incentive Data'!BE:BE,'[1]Finanace - Incentive Data'!BS:BS,"Y",'[1]Finanace - Incentive Data'!H:H,$C$196,'[1]Finanace - Incentive Data'!R:R,$B211)</f>
        <v>0</v>
      </c>
      <c r="O211" s="8">
        <f t="shared" si="8"/>
        <v>0</v>
      </c>
    </row>
    <row r="212" spans="1:15" x14ac:dyDescent="0.3">
      <c r="A212" s="11"/>
      <c r="B212" s="5"/>
      <c r="C212" s="12"/>
      <c r="D212" s="13"/>
      <c r="E212" s="13"/>
      <c r="F212" s="5"/>
      <c r="G212" s="14"/>
      <c r="H212" s="15"/>
      <c r="I212" s="12"/>
      <c r="J212" s="5"/>
      <c r="K212" s="5"/>
      <c r="L212" s="8"/>
      <c r="M212" s="8"/>
      <c r="N212" s="8">
        <f>SUMIFS('[1]Finanace - Incentive Data'!BE:BE,'[1]Finanace - Incentive Data'!BS:BS,"Y",'[1]Finanace - Incentive Data'!H:H,$C$196,'[1]Finanace - Incentive Data'!R:R,$B212)</f>
        <v>0</v>
      </c>
      <c r="O212" s="8">
        <f t="shared" si="8"/>
        <v>0</v>
      </c>
    </row>
    <row r="213" spans="1:15" x14ac:dyDescent="0.3">
      <c r="A213" s="11"/>
      <c r="B213" s="5"/>
      <c r="C213" s="12"/>
      <c r="D213" s="13"/>
      <c r="E213" s="13"/>
      <c r="F213" s="5"/>
      <c r="G213" s="14"/>
      <c r="H213" s="15"/>
      <c r="I213" s="12"/>
      <c r="J213" s="5"/>
      <c r="K213" s="5"/>
      <c r="L213" s="8"/>
      <c r="M213" s="8"/>
      <c r="N213" s="8">
        <f>SUMIFS('[1]Finanace - Incentive Data'!BE:BE,'[1]Finanace - Incentive Data'!BS:BS,"Y",'[1]Finanace - Incentive Data'!H:H,$C$196,'[1]Finanace - Incentive Data'!R:R,$B213)</f>
        <v>0</v>
      </c>
      <c r="O213" s="8">
        <f t="shared" si="8"/>
        <v>0</v>
      </c>
    </row>
    <row r="214" spans="1:15" x14ac:dyDescent="0.3">
      <c r="A214" s="11"/>
      <c r="B214" s="5"/>
      <c r="C214" s="12"/>
      <c r="D214" s="13"/>
      <c r="E214" s="13"/>
      <c r="F214" s="5"/>
      <c r="G214" s="14"/>
      <c r="H214" s="15"/>
      <c r="I214" s="12"/>
      <c r="J214" s="5"/>
      <c r="K214" s="5"/>
      <c r="L214" s="8"/>
      <c r="M214" s="8"/>
      <c r="N214" s="8">
        <f>SUMIFS('[1]Finanace - Incentive Data'!BE:BE,'[1]Finanace - Incentive Data'!BS:BS,"Y",'[1]Finanace - Incentive Data'!H:H,$C$196,'[1]Finanace - Incentive Data'!R:R,$B214)</f>
        <v>0</v>
      </c>
      <c r="O214" s="8">
        <f t="shared" si="8"/>
        <v>0</v>
      </c>
    </row>
    <row r="215" spans="1:15" x14ac:dyDescent="0.3">
      <c r="A215" s="11"/>
      <c r="B215" s="5"/>
      <c r="C215" s="12"/>
      <c r="D215" s="13"/>
      <c r="E215" s="13"/>
      <c r="F215" s="5"/>
      <c r="G215" s="14"/>
      <c r="H215" s="15"/>
      <c r="I215" s="12"/>
      <c r="J215" s="5"/>
      <c r="K215" s="5"/>
      <c r="L215" s="8"/>
      <c r="M215" s="8"/>
      <c r="N215" s="8">
        <f>SUMIFS('[1]Finanace - Incentive Data'!BE:BE,'[1]Finanace - Incentive Data'!BS:BS,"Y",'[1]Finanace - Incentive Data'!H:H,$C$196,'[1]Finanace - Incentive Data'!R:R,$B215)</f>
        <v>0</v>
      </c>
      <c r="O215" s="8">
        <f t="shared" si="8"/>
        <v>0</v>
      </c>
    </row>
    <row r="216" spans="1:15" x14ac:dyDescent="0.3">
      <c r="A216" s="11"/>
      <c r="B216" s="5"/>
      <c r="C216" s="12"/>
      <c r="D216" s="13"/>
      <c r="E216" s="13"/>
      <c r="F216" s="5"/>
      <c r="G216" s="14"/>
      <c r="H216" s="15"/>
      <c r="I216" s="12"/>
      <c r="J216" s="5"/>
      <c r="K216" s="5"/>
      <c r="L216" s="8"/>
      <c r="M216" s="8"/>
      <c r="N216" s="8">
        <f>SUMIFS('[1]Finanace - Incentive Data'!BE:BE,'[1]Finanace - Incentive Data'!BS:BS,"Y",'[1]Finanace - Incentive Data'!H:H,$C$196,'[1]Finanace - Incentive Data'!R:R,$B216)</f>
        <v>0</v>
      </c>
      <c r="O216" s="8">
        <f t="shared" si="8"/>
        <v>0</v>
      </c>
    </row>
    <row r="219" spans="1:15" ht="43.2" x14ac:dyDescent="0.3">
      <c r="A219" s="1" t="s">
        <v>0</v>
      </c>
      <c r="B219" s="1" t="s">
        <v>1</v>
      </c>
      <c r="C219" s="1" t="s">
        <v>2</v>
      </c>
      <c r="D219" s="1" t="s">
        <v>3</v>
      </c>
      <c r="E219" s="1" t="s">
        <v>4</v>
      </c>
      <c r="F219" s="1" t="s">
        <v>5</v>
      </c>
      <c r="G219" s="1" t="s">
        <v>6</v>
      </c>
      <c r="H219" s="1" t="s">
        <v>7</v>
      </c>
      <c r="I219" s="1" t="s">
        <v>8</v>
      </c>
      <c r="J219" s="1" t="s">
        <v>9</v>
      </c>
      <c r="K219" s="2" t="s">
        <v>10</v>
      </c>
      <c r="L219" s="2" t="s">
        <v>11</v>
      </c>
      <c r="M219" s="3"/>
      <c r="N219" s="3"/>
    </row>
    <row r="220" spans="1:15" x14ac:dyDescent="0.3">
      <c r="A220" s="5" t="s">
        <v>12</v>
      </c>
      <c r="B220" s="4" t="str">
        <f>_xlfn.XLOOKUP($C220,'[1]Basic EMP Data - 2026'!$D$3:$D$224,'[1]Basic EMP Data - 2026'!$C$3:$C$224)</f>
        <v>VB1199</v>
      </c>
      <c r="C220" s="6" t="s">
        <v>31</v>
      </c>
      <c r="D220" s="5" t="str">
        <f>VLOOKUP($B220,'[1]Basic EMP Data - 2026'!$C$3:$F$224,3,0)</f>
        <v>Rohit Gupta</v>
      </c>
      <c r="E220" s="5">
        <f>VLOOKUP($B220,'[1]Basic EMP Data - 2026'!$C$3:$I$224,5,0)</f>
        <v>6</v>
      </c>
      <c r="F220" s="5">
        <f>VLOOKUP($B220,'[1]Basic EMP Data - 2026'!$C$3:$I$224,6,0)</f>
        <v>3</v>
      </c>
      <c r="G220" s="7">
        <f>F220/E220</f>
        <v>0.5</v>
      </c>
      <c r="H220" s="8">
        <f>SUM(L222:L240)</f>
        <v>5281.417919999998</v>
      </c>
      <c r="I220" s="9" cm="1">
        <f t="array" ref="I220">_xlfn.IFS($G220&lt;=34%,0%,$G220&lt;=75%,3%,$G220&lt;=120%,4%,$G220&gt;120%,5%)</f>
        <v>0.03</v>
      </c>
      <c r="J220" s="8" cm="1">
        <f t="array" ref="J220">SUMPRODUCT((C222:C240=2026)*M222:M240*2)</f>
        <v>13942.943308799993</v>
      </c>
      <c r="K220" s="5">
        <f>SUM(N222:N240)</f>
        <v>2821.0748543999975</v>
      </c>
      <c r="L220" s="8">
        <f>J220-K220</f>
        <v>11121.868454399995</v>
      </c>
      <c r="M220" s="3"/>
      <c r="N220" s="3"/>
    </row>
    <row r="221" spans="1:15" ht="28.8" customHeight="1" x14ac:dyDescent="0.3">
      <c r="A221" s="10" t="s">
        <v>2</v>
      </c>
      <c r="B221" s="10" t="s">
        <v>14</v>
      </c>
      <c r="C221" s="10" t="s">
        <v>15</v>
      </c>
      <c r="D221" s="10" t="s">
        <v>16</v>
      </c>
      <c r="E221" s="10" t="s">
        <v>17</v>
      </c>
      <c r="F221" s="10" t="s">
        <v>18</v>
      </c>
      <c r="G221" s="10" t="s">
        <v>19</v>
      </c>
      <c r="H221" s="10" t="s">
        <v>20</v>
      </c>
      <c r="I221" s="10" t="s">
        <v>21</v>
      </c>
      <c r="J221" s="10" t="s">
        <v>22</v>
      </c>
      <c r="K221" s="10" t="s">
        <v>23</v>
      </c>
      <c r="L221" s="10" t="s">
        <v>24</v>
      </c>
      <c r="M221" s="10" t="s">
        <v>25</v>
      </c>
      <c r="N221" s="10" t="s">
        <v>26</v>
      </c>
      <c r="O221" s="10" t="s">
        <v>27</v>
      </c>
    </row>
    <row r="222" spans="1:15" x14ac:dyDescent="0.3">
      <c r="A222" s="11" t="str">
        <f>C220</f>
        <v>Nilesh Shahi</v>
      </c>
      <c r="B222" s="5" t="str" cm="1">
        <f t="array" ref="B222:M225">_xlfn.LET(
  _xlpm.data, _xlfn._xlws.FILTER('[1]Finanace - Incentive Data'!A:CA, '[1]Finanace - Incentive Data'!H:H=$C220),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Anjaiah Kummari</v>
      </c>
      <c r="C222" s="12">
        <v>2026</v>
      </c>
      <c r="D222" s="13">
        <v>46128</v>
      </c>
      <c r="E222" s="13">
        <v>46162</v>
      </c>
      <c r="F222" s="5" t="str">
        <v>GRI</v>
      </c>
      <c r="G222" s="14" t="str">
        <v>PLC-4806</v>
      </c>
      <c r="H222" s="15" t="str">
        <v>C2C</v>
      </c>
      <c r="I222" s="12" t="str">
        <v>-</v>
      </c>
      <c r="J222" s="5" t="str">
        <v>-</v>
      </c>
      <c r="K222" s="5">
        <v>352</v>
      </c>
      <c r="L222" s="8">
        <v>1369.1779199999983</v>
      </c>
      <c r="M222" s="8">
        <v>1807.3148543999976</v>
      </c>
      <c r="N222" s="8">
        <f>SUMIFS('[1]Finanace - Incentive Data'!BE:BE,'[1]Finanace - Incentive Data'!BS:BS,"Y",'[1]Finanace - Incentive Data'!H:H,$C$220,'[1]Finanace - Incentive Data'!R:R,$B222)</f>
        <v>1807.3148543999976</v>
      </c>
      <c r="O222" s="8">
        <f>M222-N222</f>
        <v>0</v>
      </c>
    </row>
    <row r="223" spans="1:15" x14ac:dyDescent="0.3">
      <c r="A223" s="11"/>
      <c r="B223" s="5" t="str">
        <v>Divya Ranjeeth Jasti</v>
      </c>
      <c r="C223" s="12">
        <v>2026</v>
      </c>
      <c r="D223" s="13">
        <v>46170</v>
      </c>
      <c r="E223" s="13">
        <v>0</v>
      </c>
      <c r="F223" s="5" t="str">
        <v>Mphasis</v>
      </c>
      <c r="G223" s="14">
        <v>0</v>
      </c>
      <c r="H223" s="15" t="str">
        <v>C2C</v>
      </c>
      <c r="I223" s="12" t="str">
        <v>-</v>
      </c>
      <c r="J223" s="5" t="str">
        <v>-</v>
      </c>
      <c r="K223" s="5">
        <v>16</v>
      </c>
      <c r="L223" s="8">
        <v>47.519999999999996</v>
      </c>
      <c r="M223" s="8">
        <v>62.726399999999991</v>
      </c>
      <c r="N223" s="8">
        <f>SUMIFS('[1]Finanace - Incentive Data'!BE:BE,'[1]Finanace - Incentive Data'!BS:BS,"Y",'[1]Finanace - Incentive Data'!H:H,$C$220,'[1]Finanace - Incentive Data'!R:R,$B223)</f>
        <v>0</v>
      </c>
      <c r="O223" s="8">
        <f t="shared" ref="O223:O240" si="9">M223-N223</f>
        <v>62.726399999999991</v>
      </c>
    </row>
    <row r="224" spans="1:15" x14ac:dyDescent="0.3">
      <c r="A224" s="11"/>
      <c r="B224" s="5" t="str">
        <v>Kaushik Vecha</v>
      </c>
      <c r="C224" s="12">
        <v>2026</v>
      </c>
      <c r="D224" s="13">
        <v>46160</v>
      </c>
      <c r="E224" s="13">
        <v>0</v>
      </c>
      <c r="F224" s="5" t="str">
        <v>Mphasis</v>
      </c>
      <c r="G224" s="14" t="str">
        <v>PLC-4871</v>
      </c>
      <c r="H224" s="15" t="str">
        <v>C2C</v>
      </c>
      <c r="I224" s="12" t="str">
        <v>-</v>
      </c>
      <c r="J224" s="5" t="str">
        <v>-</v>
      </c>
      <c r="K224" s="5">
        <v>72</v>
      </c>
      <c r="L224" s="8">
        <v>498.96</v>
      </c>
      <c r="M224" s="8">
        <v>658.62720000000002</v>
      </c>
      <c r="N224" s="8">
        <f>SUMIFS('[1]Finanace - Incentive Data'!BE:BE,'[1]Finanace - Incentive Data'!BS:BS,"Y",'[1]Finanace - Incentive Data'!H:H,$C$220,'[1]Finanace - Incentive Data'!R:R,$B224)</f>
        <v>0</v>
      </c>
      <c r="O224" s="8">
        <f t="shared" si="9"/>
        <v>658.62720000000002</v>
      </c>
    </row>
    <row r="225" spans="1:15" x14ac:dyDescent="0.3">
      <c r="A225" s="11"/>
      <c r="B225" s="5" t="str">
        <v>Sarath Babu Rajigari</v>
      </c>
      <c r="C225" s="12">
        <v>2026</v>
      </c>
      <c r="D225" s="13">
        <v>46097</v>
      </c>
      <c r="E225" s="13">
        <v>0</v>
      </c>
      <c r="F225" s="5" t="str">
        <v>CoForge</v>
      </c>
      <c r="G225" s="14" t="str">
        <v>PLC-4757</v>
      </c>
      <c r="H225" s="15" t="str">
        <v>C2C</v>
      </c>
      <c r="I225" s="12" t="str">
        <v>-</v>
      </c>
      <c r="J225" s="5" t="str">
        <v>-</v>
      </c>
      <c r="K225" s="5">
        <v>424</v>
      </c>
      <c r="L225" s="8">
        <v>3365.76</v>
      </c>
      <c r="M225" s="8">
        <v>4442.8031999999994</v>
      </c>
      <c r="N225" s="8">
        <f>SUMIFS('[1]Finanace - Incentive Data'!BE:BE,'[1]Finanace - Incentive Data'!BS:BS,"Y",'[1]Finanace - Incentive Data'!H:H,$C$220,'[1]Finanace - Incentive Data'!R:R,$B225)</f>
        <v>1013.76</v>
      </c>
      <c r="O225" s="8">
        <f t="shared" si="9"/>
        <v>3429.0431999999992</v>
      </c>
    </row>
    <row r="226" spans="1:15" x14ac:dyDescent="0.3">
      <c r="A226" s="11"/>
      <c r="B226" s="5"/>
      <c r="C226" s="12"/>
      <c r="D226" s="13"/>
      <c r="E226" s="13"/>
      <c r="F226" s="5"/>
      <c r="G226" s="14"/>
      <c r="H226" s="15"/>
      <c r="I226" s="12"/>
      <c r="J226" s="5"/>
      <c r="K226" s="5"/>
      <c r="L226" s="8"/>
      <c r="M226" s="8"/>
      <c r="N226" s="8">
        <f>SUMIFS('[1]Finanace - Incentive Data'!BE:BE,'[1]Finanace - Incentive Data'!BS:BS,"Y",'[1]Finanace - Incentive Data'!H:H,$C$220,'[1]Finanace - Incentive Data'!R:R,$B226)</f>
        <v>0</v>
      </c>
      <c r="O226" s="8">
        <f t="shared" si="9"/>
        <v>0</v>
      </c>
    </row>
    <row r="227" spans="1:15" x14ac:dyDescent="0.3">
      <c r="A227" s="11"/>
      <c r="B227" s="5"/>
      <c r="C227" s="12"/>
      <c r="D227" s="13"/>
      <c r="E227" s="13"/>
      <c r="F227" s="5"/>
      <c r="G227" s="14"/>
      <c r="H227" s="15"/>
      <c r="I227" s="12"/>
      <c r="J227" s="5"/>
      <c r="K227" s="5"/>
      <c r="L227" s="8"/>
      <c r="M227" s="8"/>
      <c r="N227" s="8">
        <f>SUMIFS('[1]Finanace - Incentive Data'!BE:BE,'[1]Finanace - Incentive Data'!BS:BS,"Y",'[1]Finanace - Incentive Data'!H:H,$C$220,'[1]Finanace - Incentive Data'!R:R,$B227)</f>
        <v>0</v>
      </c>
      <c r="O227" s="8">
        <f t="shared" si="9"/>
        <v>0</v>
      </c>
    </row>
    <row r="228" spans="1:15" x14ac:dyDescent="0.3">
      <c r="A228" s="11"/>
      <c r="B228" s="5"/>
      <c r="C228" s="12"/>
      <c r="D228" s="13"/>
      <c r="E228" s="13"/>
      <c r="F228" s="5"/>
      <c r="G228" s="14"/>
      <c r="H228" s="15"/>
      <c r="I228" s="12"/>
      <c r="J228" s="5"/>
      <c r="K228" s="5"/>
      <c r="L228" s="8"/>
      <c r="M228" s="8"/>
      <c r="N228" s="8">
        <f>SUMIFS('[1]Finanace - Incentive Data'!BE:BE,'[1]Finanace - Incentive Data'!BS:BS,"Y",'[1]Finanace - Incentive Data'!H:H,$C$220,'[1]Finanace - Incentive Data'!R:R,$B228)</f>
        <v>0</v>
      </c>
      <c r="O228" s="8">
        <f t="shared" si="9"/>
        <v>0</v>
      </c>
    </row>
    <row r="229" spans="1:15" x14ac:dyDescent="0.3">
      <c r="A229" s="11"/>
      <c r="B229" s="5"/>
      <c r="C229" s="12"/>
      <c r="D229" s="13"/>
      <c r="E229" s="13"/>
      <c r="F229" s="5"/>
      <c r="G229" s="14"/>
      <c r="H229" s="15"/>
      <c r="I229" s="12"/>
      <c r="J229" s="5"/>
      <c r="K229" s="5"/>
      <c r="L229" s="8"/>
      <c r="M229" s="8"/>
      <c r="N229" s="8">
        <f>SUMIFS('[1]Finanace - Incentive Data'!BE:BE,'[1]Finanace - Incentive Data'!BS:BS,"Y",'[1]Finanace - Incentive Data'!H:H,$C$220,'[1]Finanace - Incentive Data'!R:R,$B229)</f>
        <v>0</v>
      </c>
      <c r="O229" s="8">
        <f t="shared" si="9"/>
        <v>0</v>
      </c>
    </row>
    <row r="230" spans="1:15" x14ac:dyDescent="0.3">
      <c r="A230" s="11"/>
      <c r="B230" s="5"/>
      <c r="C230" s="12"/>
      <c r="D230" s="13"/>
      <c r="E230" s="13"/>
      <c r="F230" s="5"/>
      <c r="G230" s="14"/>
      <c r="H230" s="15"/>
      <c r="I230" s="12"/>
      <c r="J230" s="5"/>
      <c r="K230" s="5"/>
      <c r="L230" s="8"/>
      <c r="M230" s="8"/>
      <c r="N230" s="8">
        <f>SUMIFS('[1]Finanace - Incentive Data'!BE:BE,'[1]Finanace - Incentive Data'!BS:BS,"Y",'[1]Finanace - Incentive Data'!H:H,$C$220,'[1]Finanace - Incentive Data'!R:R,$B230)</f>
        <v>0</v>
      </c>
      <c r="O230" s="8">
        <f t="shared" si="9"/>
        <v>0</v>
      </c>
    </row>
    <row r="231" spans="1:15" x14ac:dyDescent="0.3">
      <c r="A231" s="11"/>
      <c r="B231" s="5"/>
      <c r="C231" s="12"/>
      <c r="D231" s="13"/>
      <c r="E231" s="13"/>
      <c r="F231" s="5"/>
      <c r="G231" s="14"/>
      <c r="H231" s="15"/>
      <c r="I231" s="12"/>
      <c r="J231" s="5"/>
      <c r="K231" s="5"/>
      <c r="L231" s="8"/>
      <c r="M231" s="8"/>
      <c r="N231" s="8">
        <f>SUMIFS('[1]Finanace - Incentive Data'!BE:BE,'[1]Finanace - Incentive Data'!BS:BS,"Y",'[1]Finanace - Incentive Data'!H:H,$C$220,'[1]Finanace - Incentive Data'!R:R,$B231)</f>
        <v>0</v>
      </c>
      <c r="O231" s="8">
        <f t="shared" si="9"/>
        <v>0</v>
      </c>
    </row>
    <row r="232" spans="1:15" x14ac:dyDescent="0.3">
      <c r="A232" s="11"/>
      <c r="B232" s="5"/>
      <c r="C232" s="12"/>
      <c r="D232" s="13"/>
      <c r="E232" s="13"/>
      <c r="F232" s="5"/>
      <c r="G232" s="14"/>
      <c r="H232" s="15"/>
      <c r="I232" s="12"/>
      <c r="J232" s="5"/>
      <c r="K232" s="5"/>
      <c r="L232" s="8"/>
      <c r="M232" s="8"/>
      <c r="N232" s="8">
        <f>SUMIFS('[1]Finanace - Incentive Data'!BE:BE,'[1]Finanace - Incentive Data'!BS:BS,"Y",'[1]Finanace - Incentive Data'!H:H,$C$220,'[1]Finanace - Incentive Data'!R:R,$B232)</f>
        <v>0</v>
      </c>
      <c r="O232" s="8">
        <f t="shared" si="9"/>
        <v>0</v>
      </c>
    </row>
    <row r="233" spans="1:15" x14ac:dyDescent="0.3">
      <c r="A233" s="11"/>
      <c r="B233" s="5"/>
      <c r="C233" s="12"/>
      <c r="D233" s="13"/>
      <c r="E233" s="13"/>
      <c r="F233" s="5"/>
      <c r="G233" s="14"/>
      <c r="H233" s="15"/>
      <c r="I233" s="12"/>
      <c r="J233" s="5"/>
      <c r="K233" s="5"/>
      <c r="L233" s="8"/>
      <c r="M233" s="8"/>
      <c r="N233" s="8">
        <f>SUMIFS('[1]Finanace - Incentive Data'!BE:BE,'[1]Finanace - Incentive Data'!BS:BS,"Y",'[1]Finanace - Incentive Data'!H:H,$C$220,'[1]Finanace - Incentive Data'!R:R,$B233)</f>
        <v>0</v>
      </c>
      <c r="O233" s="8">
        <f t="shared" si="9"/>
        <v>0</v>
      </c>
    </row>
    <row r="234" spans="1:15" x14ac:dyDescent="0.3">
      <c r="A234" s="11"/>
      <c r="B234" s="5"/>
      <c r="C234" s="12"/>
      <c r="D234" s="13"/>
      <c r="E234" s="13"/>
      <c r="F234" s="5"/>
      <c r="G234" s="14"/>
      <c r="H234" s="15"/>
      <c r="I234" s="12"/>
      <c r="J234" s="5"/>
      <c r="K234" s="5"/>
      <c r="L234" s="8"/>
      <c r="M234" s="8"/>
      <c r="N234" s="8">
        <f>SUMIFS('[1]Finanace - Incentive Data'!BE:BE,'[1]Finanace - Incentive Data'!BS:BS,"Y",'[1]Finanace - Incentive Data'!H:H,$C$220,'[1]Finanace - Incentive Data'!R:R,$B234)</f>
        <v>0</v>
      </c>
      <c r="O234" s="8">
        <f t="shared" si="9"/>
        <v>0</v>
      </c>
    </row>
    <row r="235" spans="1:15" x14ac:dyDescent="0.3">
      <c r="A235" s="11"/>
      <c r="B235" s="5"/>
      <c r="C235" s="12"/>
      <c r="D235" s="13"/>
      <c r="E235" s="13"/>
      <c r="F235" s="5"/>
      <c r="G235" s="14"/>
      <c r="H235" s="15"/>
      <c r="I235" s="12"/>
      <c r="J235" s="5"/>
      <c r="K235" s="5"/>
      <c r="L235" s="8"/>
      <c r="M235" s="8"/>
      <c r="N235" s="8">
        <f>SUMIFS('[1]Finanace - Incentive Data'!BE:BE,'[1]Finanace - Incentive Data'!BS:BS,"Y",'[1]Finanace - Incentive Data'!H:H,$C$220,'[1]Finanace - Incentive Data'!R:R,$B235)</f>
        <v>0</v>
      </c>
      <c r="O235" s="8">
        <f t="shared" si="9"/>
        <v>0</v>
      </c>
    </row>
    <row r="236" spans="1:15" x14ac:dyDescent="0.3">
      <c r="A236" s="11"/>
      <c r="B236" s="5"/>
      <c r="C236" s="12"/>
      <c r="D236" s="13"/>
      <c r="E236" s="13"/>
      <c r="F236" s="5"/>
      <c r="G236" s="14"/>
      <c r="H236" s="15"/>
      <c r="I236" s="12"/>
      <c r="J236" s="5"/>
      <c r="K236" s="5"/>
      <c r="L236" s="8"/>
      <c r="M236" s="8"/>
      <c r="N236" s="8">
        <f>SUMIFS('[1]Finanace - Incentive Data'!BE:BE,'[1]Finanace - Incentive Data'!BS:BS,"Y",'[1]Finanace - Incentive Data'!H:H,$C$220,'[1]Finanace - Incentive Data'!R:R,$B236)</f>
        <v>0</v>
      </c>
      <c r="O236" s="8">
        <f t="shared" si="9"/>
        <v>0</v>
      </c>
    </row>
    <row r="237" spans="1:15" x14ac:dyDescent="0.3">
      <c r="A237" s="11"/>
      <c r="B237" s="5"/>
      <c r="C237" s="12"/>
      <c r="D237" s="13"/>
      <c r="E237" s="13"/>
      <c r="F237" s="5"/>
      <c r="G237" s="14"/>
      <c r="H237" s="15"/>
      <c r="I237" s="12"/>
      <c r="J237" s="5"/>
      <c r="K237" s="5"/>
      <c r="L237" s="8"/>
      <c r="M237" s="8"/>
      <c r="N237" s="8">
        <f>SUMIFS('[1]Finanace - Incentive Data'!BE:BE,'[1]Finanace - Incentive Data'!BS:BS,"Y",'[1]Finanace - Incentive Data'!H:H,$C$220,'[1]Finanace - Incentive Data'!R:R,$B237)</f>
        <v>0</v>
      </c>
      <c r="O237" s="8">
        <f t="shared" si="9"/>
        <v>0</v>
      </c>
    </row>
    <row r="238" spans="1:15" x14ac:dyDescent="0.3">
      <c r="A238" s="11"/>
      <c r="B238" s="5"/>
      <c r="C238" s="12"/>
      <c r="D238" s="13"/>
      <c r="E238" s="13"/>
      <c r="F238" s="5"/>
      <c r="G238" s="14"/>
      <c r="H238" s="15"/>
      <c r="I238" s="12"/>
      <c r="J238" s="5"/>
      <c r="K238" s="5"/>
      <c r="L238" s="8"/>
      <c r="M238" s="8"/>
      <c r="N238" s="8">
        <f>SUMIFS('[1]Finanace - Incentive Data'!BE:BE,'[1]Finanace - Incentive Data'!BS:BS,"Y",'[1]Finanace - Incentive Data'!H:H,$C$220,'[1]Finanace - Incentive Data'!R:R,$B238)</f>
        <v>0</v>
      </c>
      <c r="O238" s="8">
        <f t="shared" si="9"/>
        <v>0</v>
      </c>
    </row>
    <row r="239" spans="1:15" x14ac:dyDescent="0.3">
      <c r="A239" s="11"/>
      <c r="B239" s="5"/>
      <c r="C239" s="12"/>
      <c r="D239" s="13"/>
      <c r="E239" s="13"/>
      <c r="F239" s="5"/>
      <c r="G239" s="14"/>
      <c r="H239" s="15"/>
      <c r="I239" s="12"/>
      <c r="J239" s="5"/>
      <c r="K239" s="5"/>
      <c r="L239" s="8"/>
      <c r="M239" s="8"/>
      <c r="N239" s="8">
        <f>SUMIFS('[1]Finanace - Incentive Data'!BE:BE,'[1]Finanace - Incentive Data'!BS:BS,"Y",'[1]Finanace - Incentive Data'!H:H,$C$220,'[1]Finanace - Incentive Data'!R:R,$B239)</f>
        <v>0</v>
      </c>
      <c r="O239" s="8">
        <f t="shared" si="9"/>
        <v>0</v>
      </c>
    </row>
    <row r="240" spans="1:15" x14ac:dyDescent="0.3">
      <c r="A240" s="11"/>
      <c r="B240" s="5"/>
      <c r="C240" s="12"/>
      <c r="D240" s="13"/>
      <c r="E240" s="13"/>
      <c r="F240" s="5"/>
      <c r="G240" s="14"/>
      <c r="H240" s="15"/>
      <c r="I240" s="12"/>
      <c r="J240" s="5"/>
      <c r="K240" s="5"/>
      <c r="L240" s="8"/>
      <c r="M240" s="8"/>
      <c r="N240" s="8">
        <f>SUMIFS('[1]Finanace - Incentive Data'!BE:BE,'[1]Finanace - Incentive Data'!BS:BS,"Y",'[1]Finanace - Incentive Data'!H:H,$C$220,'[1]Finanace - Incentive Data'!R:R,$B240)</f>
        <v>0</v>
      </c>
      <c r="O240" s="8">
        <f t="shared" si="9"/>
        <v>0</v>
      </c>
    </row>
    <row r="243" spans="1:15" ht="43.2" x14ac:dyDescent="0.3">
      <c r="A243" s="1" t="s">
        <v>0</v>
      </c>
      <c r="B243" s="1" t="s">
        <v>1</v>
      </c>
      <c r="C243" s="1" t="s">
        <v>2</v>
      </c>
      <c r="D243" s="1" t="s">
        <v>3</v>
      </c>
      <c r="E243" s="1" t="s">
        <v>4</v>
      </c>
      <c r="F243" s="1" t="s">
        <v>5</v>
      </c>
      <c r="G243" s="1" t="s">
        <v>6</v>
      </c>
      <c r="H243" s="1" t="s">
        <v>7</v>
      </c>
      <c r="I243" s="1" t="s">
        <v>8</v>
      </c>
      <c r="J243" s="1" t="s">
        <v>9</v>
      </c>
      <c r="K243" s="2" t="s">
        <v>10</v>
      </c>
      <c r="L243" s="2" t="s">
        <v>11</v>
      </c>
      <c r="M243" s="3"/>
      <c r="N243" s="3"/>
    </row>
    <row r="244" spans="1:15" x14ac:dyDescent="0.3">
      <c r="A244" s="5" t="s">
        <v>12</v>
      </c>
      <c r="B244" s="4" t="str">
        <f>_xlfn.XLOOKUP($C244,'[1]Basic EMP Data - 2026'!$D$3:$D$224,'[1]Basic EMP Data - 2026'!$C$3:$C$224)</f>
        <v>VB2263</v>
      </c>
      <c r="C244" s="6" t="s">
        <v>36</v>
      </c>
      <c r="D244" s="5" t="str">
        <f>VLOOKUP($B244,'[1]Basic EMP Data - 2026'!$C$3:$F$224,3,0)</f>
        <v>Rohit Gupta</v>
      </c>
      <c r="E244" s="5">
        <f>VLOOKUP($B244,'[1]Basic EMP Data - 2026'!$C$3:$I$224,5,0)</f>
        <v>4</v>
      </c>
      <c r="F244" s="5">
        <f>VLOOKUP($B244,'[1]Basic EMP Data - 2026'!$C$3:$I$224,6,0)</f>
        <v>0</v>
      </c>
      <c r="G244" s="7">
        <f>F244/E244</f>
        <v>0</v>
      </c>
      <c r="H244" s="8">
        <f>SUM(L246:L264)</f>
        <v>0</v>
      </c>
      <c r="I244" s="9" cm="1">
        <f t="array" ref="I244">_xlfn.IFS($G244&lt;=34%,0%,$G244&lt;=75%,3%,$G244&lt;=120%,4%,$G244&gt;120%,5%)</f>
        <v>0</v>
      </c>
      <c r="J244" s="8" cm="1">
        <f t="array" ref="J244">SUMPRODUCT((C246:C264=2026)*M246:M264*2)</f>
        <v>0</v>
      </c>
      <c r="K244" s="5">
        <f>SUM(N246:N264)</f>
        <v>0</v>
      </c>
      <c r="L244" s="8">
        <f>J244-K244</f>
        <v>0</v>
      </c>
      <c r="M244" s="3"/>
      <c r="N244" s="3"/>
    </row>
    <row r="245" spans="1:15" ht="43.2" x14ac:dyDescent="0.3">
      <c r="A245" s="10" t="s">
        <v>2</v>
      </c>
      <c r="B245" s="10" t="s">
        <v>14</v>
      </c>
      <c r="C245" s="10" t="s">
        <v>15</v>
      </c>
      <c r="D245" s="10" t="s">
        <v>16</v>
      </c>
      <c r="E245" s="10" t="s">
        <v>17</v>
      </c>
      <c r="F245" s="10" t="s">
        <v>18</v>
      </c>
      <c r="G245" s="10" t="s">
        <v>19</v>
      </c>
      <c r="H245" s="10" t="s">
        <v>20</v>
      </c>
      <c r="I245" s="10" t="s">
        <v>21</v>
      </c>
      <c r="J245" s="10" t="s">
        <v>22</v>
      </c>
      <c r="K245" s="10" t="s">
        <v>23</v>
      </c>
      <c r="L245" s="10" t="s">
        <v>24</v>
      </c>
      <c r="M245" s="10" t="s">
        <v>25</v>
      </c>
      <c r="N245" s="10" t="s">
        <v>26</v>
      </c>
      <c r="O245" s="10" t="s">
        <v>27</v>
      </c>
    </row>
    <row r="246" spans="1:15" x14ac:dyDescent="0.3">
      <c r="A246" s="11" t="str">
        <f>C244</f>
        <v xml:space="preserve">Vaishnavi Kumari </v>
      </c>
      <c r="B246" s="5" t="e" cm="1" vm="1">
        <f t="array" ref="B246">_xlfn.LET(
  _xlpm.data, _xlfn._xlws.FILTER('[1]Finanace - Incentive Data'!A:CA, '[1]Finanace - Incentive Data'!H:H=$C244),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246" s="12"/>
      <c r="D246" s="13"/>
      <c r="E246" s="13"/>
      <c r="F246" s="5"/>
      <c r="G246" s="14"/>
      <c r="H246" s="15"/>
      <c r="I246" s="12"/>
      <c r="J246" s="5"/>
      <c r="K246" s="5"/>
      <c r="L246" s="8"/>
      <c r="M246" s="8"/>
      <c r="N246" s="8">
        <f>SUMIFS('[1]Finanace - Incentive Data'!BE:BE,'[1]Finanace - Incentive Data'!BS:BS,"Y",'[1]Finanace - Incentive Data'!H:H,$C$244,'[1]Finanace - Incentive Data'!R:R,$B246)</f>
        <v>0</v>
      </c>
      <c r="O246" s="8">
        <f>M246-N246</f>
        <v>0</v>
      </c>
    </row>
    <row r="247" spans="1:15" x14ac:dyDescent="0.3">
      <c r="A247" s="11"/>
      <c r="B247" s="5"/>
      <c r="C247" s="12"/>
      <c r="D247" s="13"/>
      <c r="E247" s="13"/>
      <c r="F247" s="5"/>
      <c r="G247" s="14"/>
      <c r="H247" s="15"/>
      <c r="I247" s="12"/>
      <c r="J247" s="5"/>
      <c r="K247" s="5"/>
      <c r="L247" s="8"/>
      <c r="M247" s="8"/>
      <c r="N247" s="8">
        <f>SUMIFS('[1]Finanace - Incentive Data'!BE:BE,'[1]Finanace - Incentive Data'!BS:BS,"Y",'[1]Finanace - Incentive Data'!H:H,$C$244,'[1]Finanace - Incentive Data'!R:R,$B247)</f>
        <v>0</v>
      </c>
      <c r="O247" s="8">
        <f t="shared" ref="O247:O264" si="10">M247-N247</f>
        <v>0</v>
      </c>
    </row>
    <row r="248" spans="1:15" x14ac:dyDescent="0.3">
      <c r="A248" s="11"/>
      <c r="B248" s="5"/>
      <c r="C248" s="12"/>
      <c r="D248" s="13"/>
      <c r="E248" s="13"/>
      <c r="F248" s="5"/>
      <c r="G248" s="14"/>
      <c r="H248" s="15"/>
      <c r="I248" s="12"/>
      <c r="J248" s="5"/>
      <c r="K248" s="5"/>
      <c r="L248" s="8"/>
      <c r="M248" s="8"/>
      <c r="N248" s="8">
        <f>SUMIFS('[1]Finanace - Incentive Data'!BE:BE,'[1]Finanace - Incentive Data'!BS:BS,"Y",'[1]Finanace - Incentive Data'!H:H,$C$244,'[1]Finanace - Incentive Data'!R:R,$B248)</f>
        <v>0</v>
      </c>
      <c r="O248" s="8">
        <f t="shared" si="10"/>
        <v>0</v>
      </c>
    </row>
    <row r="249" spans="1:15" x14ac:dyDescent="0.3">
      <c r="A249" s="11"/>
      <c r="B249" s="5"/>
      <c r="C249" s="12"/>
      <c r="D249" s="13"/>
      <c r="E249" s="13"/>
      <c r="F249" s="5"/>
      <c r="G249" s="14"/>
      <c r="H249" s="15"/>
      <c r="I249" s="12"/>
      <c r="J249" s="5"/>
      <c r="K249" s="5"/>
      <c r="L249" s="8"/>
      <c r="M249" s="8"/>
      <c r="N249" s="8">
        <f>SUMIFS('[1]Finanace - Incentive Data'!BE:BE,'[1]Finanace - Incentive Data'!BS:BS,"Y",'[1]Finanace - Incentive Data'!H:H,$C$244,'[1]Finanace - Incentive Data'!R:R,$B249)</f>
        <v>0</v>
      </c>
      <c r="O249" s="8">
        <f t="shared" si="10"/>
        <v>0</v>
      </c>
    </row>
    <row r="250" spans="1:15" x14ac:dyDescent="0.3">
      <c r="A250" s="11"/>
      <c r="B250" s="5"/>
      <c r="C250" s="12"/>
      <c r="D250" s="13"/>
      <c r="E250" s="13"/>
      <c r="F250" s="5"/>
      <c r="G250" s="14"/>
      <c r="H250" s="15"/>
      <c r="I250" s="12"/>
      <c r="J250" s="5"/>
      <c r="K250" s="5"/>
      <c r="L250" s="8"/>
      <c r="M250" s="8"/>
      <c r="N250" s="8">
        <f>SUMIFS('[1]Finanace - Incentive Data'!BE:BE,'[1]Finanace - Incentive Data'!BS:BS,"Y",'[1]Finanace - Incentive Data'!H:H,$C$244,'[1]Finanace - Incentive Data'!R:R,$B250)</f>
        <v>0</v>
      </c>
      <c r="O250" s="8">
        <f t="shared" si="10"/>
        <v>0</v>
      </c>
    </row>
    <row r="251" spans="1:15" x14ac:dyDescent="0.3">
      <c r="A251" s="11"/>
      <c r="B251" s="5"/>
      <c r="C251" s="12"/>
      <c r="D251" s="13"/>
      <c r="E251" s="13"/>
      <c r="F251" s="5"/>
      <c r="G251" s="14"/>
      <c r="H251" s="15"/>
      <c r="I251" s="12"/>
      <c r="J251" s="5"/>
      <c r="K251" s="5"/>
      <c r="L251" s="8"/>
      <c r="M251" s="8"/>
      <c r="N251" s="8">
        <f>SUMIFS('[1]Finanace - Incentive Data'!BE:BE,'[1]Finanace - Incentive Data'!BS:BS,"Y",'[1]Finanace - Incentive Data'!H:H,$C$244,'[1]Finanace - Incentive Data'!R:R,$B251)</f>
        <v>0</v>
      </c>
      <c r="O251" s="8">
        <f t="shared" si="10"/>
        <v>0</v>
      </c>
    </row>
    <row r="252" spans="1:15" x14ac:dyDescent="0.3">
      <c r="A252" s="11"/>
      <c r="B252" s="5"/>
      <c r="C252" s="12"/>
      <c r="D252" s="13"/>
      <c r="E252" s="13"/>
      <c r="F252" s="5"/>
      <c r="G252" s="14"/>
      <c r="H252" s="15"/>
      <c r="I252" s="12"/>
      <c r="J252" s="5"/>
      <c r="K252" s="5"/>
      <c r="L252" s="8"/>
      <c r="M252" s="8"/>
      <c r="N252" s="8">
        <f>SUMIFS('[1]Finanace - Incentive Data'!BE:BE,'[1]Finanace - Incentive Data'!BS:BS,"Y",'[1]Finanace - Incentive Data'!H:H,$C$244,'[1]Finanace - Incentive Data'!R:R,$B252)</f>
        <v>0</v>
      </c>
      <c r="O252" s="8">
        <f t="shared" si="10"/>
        <v>0</v>
      </c>
    </row>
    <row r="253" spans="1:15" x14ac:dyDescent="0.3">
      <c r="A253" s="11"/>
      <c r="B253" s="5"/>
      <c r="C253" s="12"/>
      <c r="D253" s="13"/>
      <c r="E253" s="13"/>
      <c r="F253" s="5"/>
      <c r="G253" s="14"/>
      <c r="H253" s="15"/>
      <c r="I253" s="12"/>
      <c r="J253" s="5"/>
      <c r="K253" s="5"/>
      <c r="L253" s="8"/>
      <c r="M253" s="8"/>
      <c r="N253" s="8">
        <f>SUMIFS('[1]Finanace - Incentive Data'!BE:BE,'[1]Finanace - Incentive Data'!BS:BS,"Y",'[1]Finanace - Incentive Data'!H:H,$C$244,'[1]Finanace - Incentive Data'!R:R,$B253)</f>
        <v>0</v>
      </c>
      <c r="O253" s="8">
        <f t="shared" si="10"/>
        <v>0</v>
      </c>
    </row>
    <row r="254" spans="1:15" x14ac:dyDescent="0.3">
      <c r="A254" s="11"/>
      <c r="B254" s="5"/>
      <c r="C254" s="12"/>
      <c r="D254" s="13"/>
      <c r="E254" s="13"/>
      <c r="F254" s="5"/>
      <c r="G254" s="14"/>
      <c r="H254" s="15"/>
      <c r="I254" s="12"/>
      <c r="J254" s="5"/>
      <c r="K254" s="5"/>
      <c r="L254" s="8"/>
      <c r="M254" s="8"/>
      <c r="N254" s="8">
        <f>SUMIFS('[1]Finanace - Incentive Data'!BE:BE,'[1]Finanace - Incentive Data'!BS:BS,"Y",'[1]Finanace - Incentive Data'!H:H,$C$244,'[1]Finanace - Incentive Data'!R:R,$B254)</f>
        <v>0</v>
      </c>
      <c r="O254" s="8">
        <f t="shared" si="10"/>
        <v>0</v>
      </c>
    </row>
    <row r="255" spans="1:15" x14ac:dyDescent="0.3">
      <c r="A255" s="11"/>
      <c r="B255" s="5"/>
      <c r="C255" s="12"/>
      <c r="D255" s="13"/>
      <c r="E255" s="13"/>
      <c r="F255" s="5"/>
      <c r="G255" s="14"/>
      <c r="H255" s="15"/>
      <c r="I255" s="12"/>
      <c r="J255" s="5"/>
      <c r="K255" s="5"/>
      <c r="L255" s="8"/>
      <c r="M255" s="8"/>
      <c r="N255" s="8">
        <f>SUMIFS('[1]Finanace - Incentive Data'!BE:BE,'[1]Finanace - Incentive Data'!BS:BS,"Y",'[1]Finanace - Incentive Data'!H:H,$C$244,'[1]Finanace - Incentive Data'!R:R,$B255)</f>
        <v>0</v>
      </c>
      <c r="O255" s="8">
        <f t="shared" si="10"/>
        <v>0</v>
      </c>
    </row>
    <row r="256" spans="1:15" x14ac:dyDescent="0.3">
      <c r="A256" s="11"/>
      <c r="B256" s="5"/>
      <c r="C256" s="12"/>
      <c r="D256" s="13"/>
      <c r="E256" s="13"/>
      <c r="F256" s="5"/>
      <c r="G256" s="14"/>
      <c r="H256" s="15"/>
      <c r="I256" s="12"/>
      <c r="J256" s="5"/>
      <c r="K256" s="5"/>
      <c r="L256" s="8"/>
      <c r="M256" s="8"/>
      <c r="N256" s="8">
        <f>SUMIFS('[1]Finanace - Incentive Data'!BE:BE,'[1]Finanace - Incentive Data'!BS:BS,"Y",'[1]Finanace - Incentive Data'!H:H,$C$244,'[1]Finanace - Incentive Data'!R:R,$B256)</f>
        <v>0</v>
      </c>
      <c r="O256" s="8">
        <f t="shared" si="10"/>
        <v>0</v>
      </c>
    </row>
    <row r="257" spans="1:15" x14ac:dyDescent="0.3">
      <c r="A257" s="11"/>
      <c r="B257" s="5"/>
      <c r="C257" s="12"/>
      <c r="D257" s="13"/>
      <c r="E257" s="13"/>
      <c r="F257" s="5"/>
      <c r="G257" s="14"/>
      <c r="H257" s="15"/>
      <c r="I257" s="12"/>
      <c r="J257" s="5"/>
      <c r="K257" s="5"/>
      <c r="L257" s="8"/>
      <c r="M257" s="8"/>
      <c r="N257" s="8">
        <f>SUMIFS('[1]Finanace - Incentive Data'!BE:BE,'[1]Finanace - Incentive Data'!BS:BS,"Y",'[1]Finanace - Incentive Data'!H:H,$C$244,'[1]Finanace - Incentive Data'!R:R,$B257)</f>
        <v>0</v>
      </c>
      <c r="O257" s="8">
        <f t="shared" si="10"/>
        <v>0</v>
      </c>
    </row>
    <row r="258" spans="1:15" x14ac:dyDescent="0.3">
      <c r="A258" s="11"/>
      <c r="B258" s="5"/>
      <c r="C258" s="12"/>
      <c r="D258" s="13"/>
      <c r="E258" s="13"/>
      <c r="F258" s="5"/>
      <c r="G258" s="14"/>
      <c r="H258" s="15"/>
      <c r="I258" s="12"/>
      <c r="J258" s="5"/>
      <c r="K258" s="5"/>
      <c r="L258" s="8"/>
      <c r="M258" s="8"/>
      <c r="N258" s="8">
        <f>SUMIFS('[1]Finanace - Incentive Data'!BE:BE,'[1]Finanace - Incentive Data'!BS:BS,"Y",'[1]Finanace - Incentive Data'!H:H,$C$244,'[1]Finanace - Incentive Data'!R:R,$B258)</f>
        <v>0</v>
      </c>
      <c r="O258" s="8">
        <f t="shared" si="10"/>
        <v>0</v>
      </c>
    </row>
    <row r="259" spans="1:15" x14ac:dyDescent="0.3">
      <c r="A259" s="11"/>
      <c r="B259" s="5"/>
      <c r="C259" s="12"/>
      <c r="D259" s="13"/>
      <c r="E259" s="13"/>
      <c r="F259" s="5"/>
      <c r="G259" s="14"/>
      <c r="H259" s="15"/>
      <c r="I259" s="12"/>
      <c r="J259" s="5"/>
      <c r="K259" s="5"/>
      <c r="L259" s="8"/>
      <c r="M259" s="8"/>
      <c r="N259" s="8">
        <f>SUMIFS('[1]Finanace - Incentive Data'!BE:BE,'[1]Finanace - Incentive Data'!BS:BS,"Y",'[1]Finanace - Incentive Data'!H:H,$C$244,'[1]Finanace - Incentive Data'!R:R,$B259)</f>
        <v>0</v>
      </c>
      <c r="O259" s="8">
        <f t="shared" si="10"/>
        <v>0</v>
      </c>
    </row>
    <row r="260" spans="1:15" x14ac:dyDescent="0.3">
      <c r="A260" s="11"/>
      <c r="B260" s="5"/>
      <c r="C260" s="12"/>
      <c r="D260" s="13"/>
      <c r="E260" s="13"/>
      <c r="F260" s="5"/>
      <c r="G260" s="14"/>
      <c r="H260" s="15"/>
      <c r="I260" s="12"/>
      <c r="J260" s="5"/>
      <c r="K260" s="5"/>
      <c r="L260" s="8"/>
      <c r="M260" s="8"/>
      <c r="N260" s="8">
        <f>SUMIFS('[1]Finanace - Incentive Data'!BE:BE,'[1]Finanace - Incentive Data'!BS:BS,"Y",'[1]Finanace - Incentive Data'!H:H,$C$244,'[1]Finanace - Incentive Data'!R:R,$B260)</f>
        <v>0</v>
      </c>
      <c r="O260" s="8">
        <f t="shared" si="10"/>
        <v>0</v>
      </c>
    </row>
    <row r="261" spans="1:15" x14ac:dyDescent="0.3">
      <c r="A261" s="11"/>
      <c r="B261" s="5"/>
      <c r="C261" s="12"/>
      <c r="D261" s="13"/>
      <c r="E261" s="13"/>
      <c r="F261" s="5"/>
      <c r="G261" s="14"/>
      <c r="H261" s="15"/>
      <c r="I261" s="12"/>
      <c r="J261" s="5"/>
      <c r="K261" s="5"/>
      <c r="L261" s="8"/>
      <c r="M261" s="8"/>
      <c r="N261" s="8">
        <f>SUMIFS('[1]Finanace - Incentive Data'!BE:BE,'[1]Finanace - Incentive Data'!BS:BS,"Y",'[1]Finanace - Incentive Data'!H:H,$C$244,'[1]Finanace - Incentive Data'!R:R,$B261)</f>
        <v>0</v>
      </c>
      <c r="O261" s="8">
        <f t="shared" si="10"/>
        <v>0</v>
      </c>
    </row>
    <row r="262" spans="1:15" x14ac:dyDescent="0.3">
      <c r="A262" s="11"/>
      <c r="B262" s="5"/>
      <c r="C262" s="12"/>
      <c r="D262" s="13"/>
      <c r="E262" s="13"/>
      <c r="F262" s="5"/>
      <c r="G262" s="14"/>
      <c r="H262" s="15"/>
      <c r="I262" s="12"/>
      <c r="J262" s="5"/>
      <c r="K262" s="5"/>
      <c r="L262" s="8"/>
      <c r="M262" s="8"/>
      <c r="N262" s="8">
        <f>SUMIFS('[1]Finanace - Incentive Data'!BE:BE,'[1]Finanace - Incentive Data'!BS:BS,"Y",'[1]Finanace - Incentive Data'!H:H,$C$244,'[1]Finanace - Incentive Data'!R:R,$B262)</f>
        <v>0</v>
      </c>
      <c r="O262" s="8">
        <f t="shared" si="10"/>
        <v>0</v>
      </c>
    </row>
    <row r="263" spans="1:15" x14ac:dyDescent="0.3">
      <c r="A263" s="11"/>
      <c r="B263" s="5"/>
      <c r="C263" s="12"/>
      <c r="D263" s="13"/>
      <c r="E263" s="13"/>
      <c r="F263" s="5"/>
      <c r="G263" s="14"/>
      <c r="H263" s="15"/>
      <c r="I263" s="12"/>
      <c r="J263" s="5"/>
      <c r="K263" s="5"/>
      <c r="L263" s="8"/>
      <c r="M263" s="8"/>
      <c r="N263" s="8">
        <f>SUMIFS('[1]Finanace - Incentive Data'!BE:BE,'[1]Finanace - Incentive Data'!BS:BS,"Y",'[1]Finanace - Incentive Data'!H:H,$C$244,'[1]Finanace - Incentive Data'!R:R,$B263)</f>
        <v>0</v>
      </c>
      <c r="O263" s="8">
        <f t="shared" si="10"/>
        <v>0</v>
      </c>
    </row>
    <row r="264" spans="1:15" x14ac:dyDescent="0.3">
      <c r="A264" s="11"/>
      <c r="B264" s="5"/>
      <c r="C264" s="12"/>
      <c r="D264" s="13"/>
      <c r="E264" s="13"/>
      <c r="F264" s="5"/>
      <c r="G264" s="14"/>
      <c r="H264" s="15"/>
      <c r="I264" s="12"/>
      <c r="J264" s="5"/>
      <c r="K264" s="5"/>
      <c r="L264" s="8"/>
      <c r="M264" s="8"/>
      <c r="N264" s="8">
        <f>SUMIFS('[1]Finanace - Incentive Data'!BE:BE,'[1]Finanace - Incentive Data'!BS:BS,"Y",'[1]Finanace - Incentive Data'!H:H,$C$244,'[1]Finanace - Incentive Data'!R:R,$B264)</f>
        <v>0</v>
      </c>
      <c r="O264" s="8">
        <f t="shared" si="10"/>
        <v>0</v>
      </c>
    </row>
    <row r="266" spans="1:15" ht="43.2" x14ac:dyDescent="0.3">
      <c r="A266" s="1" t="s">
        <v>0</v>
      </c>
      <c r="B266" s="1" t="s">
        <v>1</v>
      </c>
      <c r="C266" s="1" t="s">
        <v>2</v>
      </c>
      <c r="D266" s="1" t="s">
        <v>3</v>
      </c>
      <c r="E266" s="1" t="s">
        <v>4</v>
      </c>
      <c r="F266" s="1" t="s">
        <v>5</v>
      </c>
      <c r="G266" s="1" t="s">
        <v>6</v>
      </c>
      <c r="H266" s="1" t="s">
        <v>7</v>
      </c>
      <c r="I266" s="1" t="s">
        <v>8</v>
      </c>
      <c r="J266" s="1" t="s">
        <v>9</v>
      </c>
      <c r="K266" s="2" t="s">
        <v>10</v>
      </c>
      <c r="L266" s="2" t="s">
        <v>11</v>
      </c>
      <c r="M266" s="3"/>
      <c r="N266" s="3"/>
    </row>
    <row r="267" spans="1:15" x14ac:dyDescent="0.3">
      <c r="A267" s="5" t="s">
        <v>12</v>
      </c>
      <c r="B267" s="4" t="str">
        <f>_xlfn.XLOOKUP($C267,'[1]Basic EMP Data - 2026'!$D$3:$D$224,'[1]Basic EMP Data - 2026'!$C$3:$C$224)</f>
        <v>VB0562</v>
      </c>
      <c r="C267" s="6" t="s">
        <v>37</v>
      </c>
      <c r="D267" s="5" t="str">
        <f>VLOOKUP($B267,'[1]Basic EMP Data - 2026'!$C$3:$F$224,3,0)</f>
        <v>Vivek Yadav</v>
      </c>
      <c r="E267" s="5">
        <f>VLOOKUP($B267,'[1]Basic EMP Data - 2026'!$C$3:$I$224,5,0)</f>
        <v>0</v>
      </c>
      <c r="F267" s="5">
        <f>VLOOKUP($B267,'[1]Basic EMP Data - 2026'!$C$3:$I$224,6,0)</f>
        <v>0</v>
      </c>
      <c r="G267" s="7" t="e">
        <f>F267/E267</f>
        <v>#DIV/0!</v>
      </c>
      <c r="H267" s="8">
        <f>SUM(L269:L287)</f>
        <v>0</v>
      </c>
      <c r="I267" s="9" t="e" cm="1">
        <f t="array" ref="I267">_xlfn.IFS($G267&lt;=34%,0%,$G267&lt;=75%,3%,$G267&lt;=120%,4%,$G267&gt;120%,5%)</f>
        <v>#DIV/0!</v>
      </c>
      <c r="J267" s="8" cm="1">
        <f t="array" ref="J267">SUMPRODUCT((C269:C287=2026)*M269:M287*2)</f>
        <v>0</v>
      </c>
      <c r="K267" s="5">
        <f>SUM(N269:N287)</f>
        <v>0</v>
      </c>
      <c r="L267" s="8">
        <f>J267-K267</f>
        <v>0</v>
      </c>
      <c r="M267" s="3"/>
      <c r="N267" s="3"/>
    </row>
    <row r="268" spans="1:15" ht="43.2" x14ac:dyDescent="0.3">
      <c r="A268" s="10" t="s">
        <v>2</v>
      </c>
      <c r="B268" s="10" t="s">
        <v>14</v>
      </c>
      <c r="C268" s="10" t="s">
        <v>15</v>
      </c>
      <c r="D268" s="10" t="s">
        <v>16</v>
      </c>
      <c r="E268" s="10" t="s">
        <v>17</v>
      </c>
      <c r="F268" s="10" t="s">
        <v>18</v>
      </c>
      <c r="G268" s="10" t="s">
        <v>19</v>
      </c>
      <c r="H268" s="10" t="s">
        <v>20</v>
      </c>
      <c r="I268" s="10" t="s">
        <v>21</v>
      </c>
      <c r="J268" s="10" t="s">
        <v>22</v>
      </c>
      <c r="K268" s="10" t="s">
        <v>23</v>
      </c>
      <c r="L268" s="10" t="s">
        <v>24</v>
      </c>
      <c r="M268" s="10" t="s">
        <v>25</v>
      </c>
      <c r="N268" s="10" t="s">
        <v>26</v>
      </c>
      <c r="O268" s="10" t="s">
        <v>27</v>
      </c>
    </row>
    <row r="269" spans="1:15" x14ac:dyDescent="0.3">
      <c r="A269" s="11" t="str">
        <f>C267</f>
        <v>Vivek Yadav</v>
      </c>
      <c r="B269" s="5" t="e" cm="1" vm="1">
        <f t="array" ref="B269">_xlfn.LET(
  _xlpm.data, _xlfn._xlws.FILTER('[1]Finanace - Incentive Data'!A:CA, '[1]Finanace - Incentive Data'!H:H=$C267),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269" s="12"/>
      <c r="D269" s="13"/>
      <c r="E269" s="13"/>
      <c r="F269" s="5"/>
      <c r="G269" s="14"/>
      <c r="H269" s="15"/>
      <c r="I269" s="12"/>
      <c r="J269" s="5"/>
      <c r="K269" s="5"/>
      <c r="L269" s="8"/>
      <c r="M269" s="8"/>
      <c r="N269" s="8">
        <f>SUMIFS('[1]Finanace - Incentive Data'!BE:BE,'[1]Finanace - Incentive Data'!BS:BS,"Y",'[1]Finanace - Incentive Data'!H:H,$C$267,'[1]Finanace - Incentive Data'!R:R,$B269)</f>
        <v>0</v>
      </c>
      <c r="O269" s="8">
        <f>M269-N269</f>
        <v>0</v>
      </c>
    </row>
    <row r="270" spans="1:15" x14ac:dyDescent="0.3">
      <c r="A270" s="11"/>
      <c r="B270" s="5"/>
      <c r="C270" s="12"/>
      <c r="D270" s="13"/>
      <c r="E270" s="13"/>
      <c r="F270" s="5"/>
      <c r="G270" s="14"/>
      <c r="H270" s="15"/>
      <c r="I270" s="12"/>
      <c r="J270" s="5"/>
      <c r="K270" s="5"/>
      <c r="L270" s="8"/>
      <c r="M270" s="8"/>
      <c r="N270" s="8">
        <f>SUMIFS('[1]Finanace - Incentive Data'!BE:BE,'[1]Finanace - Incentive Data'!BS:BS,"Y",'[1]Finanace - Incentive Data'!H:H,$C$267,'[1]Finanace - Incentive Data'!R:R,$B270)</f>
        <v>0</v>
      </c>
      <c r="O270" s="8">
        <f t="shared" ref="O270:O287" si="11">M270-N270</f>
        <v>0</v>
      </c>
    </row>
    <row r="271" spans="1:15" x14ac:dyDescent="0.3">
      <c r="A271" s="11"/>
      <c r="B271" s="5"/>
      <c r="C271" s="12"/>
      <c r="D271" s="13"/>
      <c r="E271" s="13"/>
      <c r="F271" s="5"/>
      <c r="G271" s="14"/>
      <c r="H271" s="15"/>
      <c r="I271" s="12"/>
      <c r="J271" s="5"/>
      <c r="K271" s="5"/>
      <c r="L271" s="8"/>
      <c r="M271" s="8"/>
      <c r="N271" s="8">
        <f>SUMIFS('[1]Finanace - Incentive Data'!BE:BE,'[1]Finanace - Incentive Data'!BS:BS,"Y",'[1]Finanace - Incentive Data'!H:H,$C$267,'[1]Finanace - Incentive Data'!R:R,$B271)</f>
        <v>0</v>
      </c>
      <c r="O271" s="8">
        <f t="shared" si="11"/>
        <v>0</v>
      </c>
    </row>
    <row r="272" spans="1:15" x14ac:dyDescent="0.3">
      <c r="A272" s="11"/>
      <c r="B272" s="5"/>
      <c r="C272" s="12"/>
      <c r="D272" s="13"/>
      <c r="E272" s="13"/>
      <c r="F272" s="5"/>
      <c r="G272" s="14"/>
      <c r="H272" s="15"/>
      <c r="I272" s="12"/>
      <c r="J272" s="5"/>
      <c r="K272" s="5"/>
      <c r="L272" s="8"/>
      <c r="M272" s="8"/>
      <c r="N272" s="8">
        <f>SUMIFS('[1]Finanace - Incentive Data'!BE:BE,'[1]Finanace - Incentive Data'!BS:BS,"Y",'[1]Finanace - Incentive Data'!H:H,$C$267,'[1]Finanace - Incentive Data'!R:R,$B272)</f>
        <v>0</v>
      </c>
      <c r="O272" s="8">
        <f t="shared" si="11"/>
        <v>0</v>
      </c>
    </row>
    <row r="273" spans="1:15" x14ac:dyDescent="0.3">
      <c r="A273" s="11"/>
      <c r="B273" s="5"/>
      <c r="C273" s="12"/>
      <c r="D273" s="13"/>
      <c r="E273" s="13"/>
      <c r="F273" s="5"/>
      <c r="G273" s="14"/>
      <c r="H273" s="15"/>
      <c r="I273" s="12"/>
      <c r="J273" s="5"/>
      <c r="K273" s="5"/>
      <c r="L273" s="8"/>
      <c r="M273" s="8"/>
      <c r="N273" s="8">
        <f>SUMIFS('[1]Finanace - Incentive Data'!BE:BE,'[1]Finanace - Incentive Data'!BS:BS,"Y",'[1]Finanace - Incentive Data'!H:H,$C$267,'[1]Finanace - Incentive Data'!R:R,$B273)</f>
        <v>0</v>
      </c>
      <c r="O273" s="8">
        <f t="shared" si="11"/>
        <v>0</v>
      </c>
    </row>
    <row r="274" spans="1:15" x14ac:dyDescent="0.3">
      <c r="A274" s="11"/>
      <c r="B274" s="5"/>
      <c r="C274" s="12"/>
      <c r="D274" s="13"/>
      <c r="E274" s="13"/>
      <c r="F274" s="5"/>
      <c r="G274" s="14"/>
      <c r="H274" s="15"/>
      <c r="I274" s="12"/>
      <c r="J274" s="5"/>
      <c r="K274" s="5"/>
      <c r="L274" s="8"/>
      <c r="M274" s="8"/>
      <c r="N274" s="8">
        <f>SUMIFS('[1]Finanace - Incentive Data'!BE:BE,'[1]Finanace - Incentive Data'!BS:BS,"Y",'[1]Finanace - Incentive Data'!H:H,$C$267,'[1]Finanace - Incentive Data'!R:R,$B274)</f>
        <v>0</v>
      </c>
      <c r="O274" s="8">
        <f t="shared" si="11"/>
        <v>0</v>
      </c>
    </row>
    <row r="275" spans="1:15" x14ac:dyDescent="0.3">
      <c r="A275" s="11"/>
      <c r="B275" s="5"/>
      <c r="C275" s="12"/>
      <c r="D275" s="13"/>
      <c r="E275" s="13"/>
      <c r="F275" s="5"/>
      <c r="G275" s="14"/>
      <c r="H275" s="15"/>
      <c r="I275" s="12"/>
      <c r="J275" s="5"/>
      <c r="K275" s="5"/>
      <c r="L275" s="8"/>
      <c r="M275" s="8"/>
      <c r="N275" s="8">
        <f>SUMIFS('[1]Finanace - Incentive Data'!BE:BE,'[1]Finanace - Incentive Data'!BS:BS,"Y",'[1]Finanace - Incentive Data'!H:H,$C$267,'[1]Finanace - Incentive Data'!R:R,$B275)</f>
        <v>0</v>
      </c>
      <c r="O275" s="8">
        <f t="shared" si="11"/>
        <v>0</v>
      </c>
    </row>
    <row r="276" spans="1:15" x14ac:dyDescent="0.3">
      <c r="A276" s="11"/>
      <c r="B276" s="5"/>
      <c r="C276" s="12"/>
      <c r="D276" s="13"/>
      <c r="E276" s="13"/>
      <c r="F276" s="5"/>
      <c r="G276" s="14"/>
      <c r="H276" s="15"/>
      <c r="I276" s="12"/>
      <c r="J276" s="5"/>
      <c r="K276" s="5"/>
      <c r="L276" s="8"/>
      <c r="M276" s="8"/>
      <c r="N276" s="8">
        <f>SUMIFS('[1]Finanace - Incentive Data'!BE:BE,'[1]Finanace - Incentive Data'!BS:BS,"Y",'[1]Finanace - Incentive Data'!H:H,$C$267,'[1]Finanace - Incentive Data'!R:R,$B276)</f>
        <v>0</v>
      </c>
      <c r="O276" s="8">
        <f t="shared" si="11"/>
        <v>0</v>
      </c>
    </row>
    <row r="277" spans="1:15" x14ac:dyDescent="0.3">
      <c r="A277" s="11"/>
      <c r="B277" s="5"/>
      <c r="C277" s="12"/>
      <c r="D277" s="13"/>
      <c r="E277" s="13"/>
      <c r="F277" s="5"/>
      <c r="G277" s="14"/>
      <c r="H277" s="15"/>
      <c r="I277" s="12"/>
      <c r="J277" s="5"/>
      <c r="K277" s="5"/>
      <c r="L277" s="8"/>
      <c r="M277" s="8"/>
      <c r="N277" s="8">
        <f>SUMIFS('[1]Finanace - Incentive Data'!BE:BE,'[1]Finanace - Incentive Data'!BS:BS,"Y",'[1]Finanace - Incentive Data'!H:H,$C$267,'[1]Finanace - Incentive Data'!R:R,$B277)</f>
        <v>0</v>
      </c>
      <c r="O277" s="8">
        <f t="shared" si="11"/>
        <v>0</v>
      </c>
    </row>
    <row r="278" spans="1:15" x14ac:dyDescent="0.3">
      <c r="A278" s="11"/>
      <c r="B278" s="5"/>
      <c r="C278" s="12"/>
      <c r="D278" s="13"/>
      <c r="E278" s="13"/>
      <c r="F278" s="5"/>
      <c r="G278" s="14"/>
      <c r="H278" s="15"/>
      <c r="I278" s="12"/>
      <c r="J278" s="5"/>
      <c r="K278" s="5"/>
      <c r="L278" s="8"/>
      <c r="M278" s="8"/>
      <c r="N278" s="8">
        <f>SUMIFS('[1]Finanace - Incentive Data'!BE:BE,'[1]Finanace - Incentive Data'!BS:BS,"Y",'[1]Finanace - Incentive Data'!H:H,$C$267,'[1]Finanace - Incentive Data'!R:R,$B278)</f>
        <v>0</v>
      </c>
      <c r="O278" s="8">
        <f t="shared" si="11"/>
        <v>0</v>
      </c>
    </row>
    <row r="279" spans="1:15" x14ac:dyDescent="0.3">
      <c r="A279" s="11"/>
      <c r="B279" s="5"/>
      <c r="C279" s="12"/>
      <c r="D279" s="13"/>
      <c r="E279" s="13"/>
      <c r="F279" s="5"/>
      <c r="G279" s="14"/>
      <c r="H279" s="15"/>
      <c r="I279" s="12"/>
      <c r="J279" s="5"/>
      <c r="K279" s="5"/>
      <c r="L279" s="8"/>
      <c r="M279" s="8"/>
      <c r="N279" s="8">
        <f>SUMIFS('[1]Finanace - Incentive Data'!BE:BE,'[1]Finanace - Incentive Data'!BS:BS,"Y",'[1]Finanace - Incentive Data'!H:H,$C$267,'[1]Finanace - Incentive Data'!R:R,$B279)</f>
        <v>0</v>
      </c>
      <c r="O279" s="8">
        <f t="shared" si="11"/>
        <v>0</v>
      </c>
    </row>
    <row r="280" spans="1:15" x14ac:dyDescent="0.3">
      <c r="A280" s="11"/>
      <c r="B280" s="5"/>
      <c r="C280" s="12"/>
      <c r="D280" s="13"/>
      <c r="E280" s="13"/>
      <c r="F280" s="5"/>
      <c r="G280" s="14"/>
      <c r="H280" s="15"/>
      <c r="I280" s="12"/>
      <c r="J280" s="5"/>
      <c r="K280" s="5"/>
      <c r="L280" s="8"/>
      <c r="M280" s="8"/>
      <c r="N280" s="8">
        <f>SUMIFS('[1]Finanace - Incentive Data'!BE:BE,'[1]Finanace - Incentive Data'!BS:BS,"Y",'[1]Finanace - Incentive Data'!H:H,$C$267,'[1]Finanace - Incentive Data'!R:R,$B280)</f>
        <v>0</v>
      </c>
      <c r="O280" s="8">
        <f t="shared" si="11"/>
        <v>0</v>
      </c>
    </row>
    <row r="281" spans="1:15" x14ac:dyDescent="0.3">
      <c r="A281" s="11"/>
      <c r="B281" s="5"/>
      <c r="C281" s="12"/>
      <c r="D281" s="13"/>
      <c r="E281" s="13"/>
      <c r="F281" s="5"/>
      <c r="G281" s="14"/>
      <c r="H281" s="15"/>
      <c r="I281" s="12"/>
      <c r="J281" s="5"/>
      <c r="K281" s="5"/>
      <c r="L281" s="8"/>
      <c r="M281" s="8"/>
      <c r="N281" s="8">
        <f>SUMIFS('[1]Finanace - Incentive Data'!BE:BE,'[1]Finanace - Incentive Data'!BS:BS,"Y",'[1]Finanace - Incentive Data'!H:H,$C$267,'[1]Finanace - Incentive Data'!R:R,$B281)</f>
        <v>0</v>
      </c>
      <c r="O281" s="8">
        <f t="shared" si="11"/>
        <v>0</v>
      </c>
    </row>
    <row r="282" spans="1:15" x14ac:dyDescent="0.3">
      <c r="A282" s="11"/>
      <c r="B282" s="5"/>
      <c r="C282" s="12"/>
      <c r="D282" s="13"/>
      <c r="E282" s="13"/>
      <c r="F282" s="5"/>
      <c r="G282" s="14"/>
      <c r="H282" s="15"/>
      <c r="I282" s="12"/>
      <c r="J282" s="5"/>
      <c r="K282" s="5"/>
      <c r="L282" s="8"/>
      <c r="M282" s="8"/>
      <c r="N282" s="8">
        <f>SUMIFS('[1]Finanace - Incentive Data'!BE:BE,'[1]Finanace - Incentive Data'!BS:BS,"Y",'[1]Finanace - Incentive Data'!H:H,$C$267,'[1]Finanace - Incentive Data'!R:R,$B282)</f>
        <v>0</v>
      </c>
      <c r="O282" s="8">
        <f t="shared" si="11"/>
        <v>0</v>
      </c>
    </row>
    <row r="283" spans="1:15" x14ac:dyDescent="0.3">
      <c r="A283" s="11"/>
      <c r="B283" s="5"/>
      <c r="C283" s="12"/>
      <c r="D283" s="13"/>
      <c r="E283" s="13"/>
      <c r="F283" s="5"/>
      <c r="G283" s="14"/>
      <c r="H283" s="15"/>
      <c r="I283" s="12"/>
      <c r="J283" s="5"/>
      <c r="K283" s="5"/>
      <c r="L283" s="8"/>
      <c r="M283" s="8"/>
      <c r="N283" s="8">
        <f>SUMIFS('[1]Finanace - Incentive Data'!BE:BE,'[1]Finanace - Incentive Data'!BS:BS,"Y",'[1]Finanace - Incentive Data'!H:H,$C$267,'[1]Finanace - Incentive Data'!R:R,$B283)</f>
        <v>0</v>
      </c>
      <c r="O283" s="8">
        <f t="shared" si="11"/>
        <v>0</v>
      </c>
    </row>
    <row r="284" spans="1:15" x14ac:dyDescent="0.3">
      <c r="A284" s="11"/>
      <c r="B284" s="5"/>
      <c r="C284" s="12"/>
      <c r="D284" s="13"/>
      <c r="E284" s="13"/>
      <c r="F284" s="5"/>
      <c r="G284" s="14"/>
      <c r="H284" s="15"/>
      <c r="I284" s="12"/>
      <c r="J284" s="5"/>
      <c r="K284" s="5"/>
      <c r="L284" s="8"/>
      <c r="M284" s="8"/>
      <c r="N284" s="8">
        <f>SUMIFS('[1]Finanace - Incentive Data'!BE:BE,'[1]Finanace - Incentive Data'!BS:BS,"Y",'[1]Finanace - Incentive Data'!H:H,$C$267,'[1]Finanace - Incentive Data'!R:R,$B284)</f>
        <v>0</v>
      </c>
      <c r="O284" s="8">
        <f t="shared" si="11"/>
        <v>0</v>
      </c>
    </row>
    <row r="285" spans="1:15" x14ac:dyDescent="0.3">
      <c r="A285" s="11"/>
      <c r="B285" s="5"/>
      <c r="C285" s="12"/>
      <c r="D285" s="13"/>
      <c r="E285" s="13"/>
      <c r="F285" s="5"/>
      <c r="G285" s="14"/>
      <c r="H285" s="15"/>
      <c r="I285" s="12"/>
      <c r="J285" s="5"/>
      <c r="K285" s="5"/>
      <c r="L285" s="8"/>
      <c r="M285" s="8"/>
      <c r="N285" s="8">
        <f>SUMIFS('[1]Finanace - Incentive Data'!BE:BE,'[1]Finanace - Incentive Data'!BS:BS,"Y",'[1]Finanace - Incentive Data'!H:H,$C$267,'[1]Finanace - Incentive Data'!R:R,$B285)</f>
        <v>0</v>
      </c>
      <c r="O285" s="8">
        <f t="shared" si="11"/>
        <v>0</v>
      </c>
    </row>
    <row r="286" spans="1:15" x14ac:dyDescent="0.3">
      <c r="A286" s="11"/>
      <c r="B286" s="5"/>
      <c r="C286" s="12"/>
      <c r="D286" s="13"/>
      <c r="E286" s="13"/>
      <c r="F286" s="5"/>
      <c r="G286" s="14"/>
      <c r="H286" s="15"/>
      <c r="I286" s="12"/>
      <c r="J286" s="5"/>
      <c r="K286" s="5"/>
      <c r="L286" s="8"/>
      <c r="M286" s="8"/>
      <c r="N286" s="8">
        <f>SUMIFS('[1]Finanace - Incentive Data'!BE:BE,'[1]Finanace - Incentive Data'!BS:BS,"Y",'[1]Finanace - Incentive Data'!H:H,$C$267,'[1]Finanace - Incentive Data'!R:R,$B286)</f>
        <v>0</v>
      </c>
      <c r="O286" s="8">
        <f t="shared" si="11"/>
        <v>0</v>
      </c>
    </row>
    <row r="287" spans="1:15" x14ac:dyDescent="0.3">
      <c r="A287" s="11"/>
      <c r="B287" s="5"/>
      <c r="C287" s="12"/>
      <c r="D287" s="13"/>
      <c r="E287" s="13"/>
      <c r="F287" s="5"/>
      <c r="G287" s="14"/>
      <c r="H287" s="15"/>
      <c r="I287" s="12"/>
      <c r="J287" s="5"/>
      <c r="K287" s="5"/>
      <c r="L287" s="8"/>
      <c r="M287" s="8"/>
      <c r="N287" s="8">
        <f>SUMIFS('[1]Finanace - Incentive Data'!BE:BE,'[1]Finanace - Incentive Data'!BS:BS,"Y",'[1]Finanace - Incentive Data'!H:H,$C$267,'[1]Finanace - Incentive Data'!R:R,$B287)</f>
        <v>0</v>
      </c>
      <c r="O287" s="8">
        <f t="shared" si="11"/>
        <v>0</v>
      </c>
    </row>
    <row r="290" spans="1:15" ht="43.2" x14ac:dyDescent="0.3">
      <c r="A290" s="1" t="s">
        <v>0</v>
      </c>
      <c r="B290" s="1" t="s">
        <v>1</v>
      </c>
      <c r="C290" s="1" t="s">
        <v>2</v>
      </c>
      <c r="D290" s="1" t="s">
        <v>3</v>
      </c>
      <c r="E290" s="1" t="s">
        <v>4</v>
      </c>
      <c r="F290" s="1" t="s">
        <v>5</v>
      </c>
      <c r="G290" s="1" t="s">
        <v>6</v>
      </c>
      <c r="H290" s="1" t="s">
        <v>7</v>
      </c>
      <c r="I290" s="1" t="s">
        <v>8</v>
      </c>
      <c r="J290" s="1" t="s">
        <v>9</v>
      </c>
      <c r="K290" s="2" t="s">
        <v>10</v>
      </c>
      <c r="L290" s="2" t="s">
        <v>11</v>
      </c>
      <c r="M290" s="3"/>
      <c r="N290" s="3"/>
    </row>
    <row r="291" spans="1:15" x14ac:dyDescent="0.3">
      <c r="A291" s="5" t="s">
        <v>12</v>
      </c>
      <c r="B291" s="4" t="str">
        <f>_xlfn.XLOOKUP($C291,'[1]Basic EMP Data - 2026'!$D$3:$D$224,'[1]Basic EMP Data - 2026'!$C$3:$C$224)</f>
        <v>VB2058</v>
      </c>
      <c r="C291" s="16" t="s">
        <v>38</v>
      </c>
      <c r="D291" s="5" t="str">
        <f>VLOOKUP($B291,'[1]Basic EMP Data - 2026'!$C$3:$F$224,3,0)</f>
        <v>Vivek Yadav</v>
      </c>
      <c r="E291" s="5">
        <f>VLOOKUP($B291,'[1]Basic EMP Data - 2026'!$C$3:$I$224,5,0)</f>
        <v>5</v>
      </c>
      <c r="F291" s="5">
        <f>VLOOKUP($B291,'[1]Basic EMP Data - 2026'!$C$3:$I$224,6,0)</f>
        <v>1</v>
      </c>
      <c r="G291" s="7">
        <f>F291/E291</f>
        <v>0.2</v>
      </c>
      <c r="H291" s="8">
        <f>SUM(L293:L311)</f>
        <v>3000</v>
      </c>
      <c r="I291" s="9" cm="1">
        <f t="array" ref="I291">_xlfn.IFS($G291&lt;=34%,0%,$G291&lt;=75%,3%,$G291&lt;=120%,4%,$G291&gt;120%,5%)</f>
        <v>0</v>
      </c>
      <c r="J291" s="8" cm="1">
        <f t="array" ref="J291">SUMPRODUCT((C293:C311=2026)*M293:M311*2)</f>
        <v>0</v>
      </c>
      <c r="K291" s="5">
        <f>SUM(N293:N311)</f>
        <v>0</v>
      </c>
      <c r="L291" s="8">
        <f>J291-K291</f>
        <v>0</v>
      </c>
      <c r="M291" s="3"/>
      <c r="N291" s="3"/>
    </row>
    <row r="292" spans="1:15" ht="43.2" x14ac:dyDescent="0.3">
      <c r="A292" s="10" t="s">
        <v>2</v>
      </c>
      <c r="B292" s="10" t="s">
        <v>14</v>
      </c>
      <c r="C292" s="10" t="s">
        <v>15</v>
      </c>
      <c r="D292" s="10" t="s">
        <v>16</v>
      </c>
      <c r="E292" s="10" t="s">
        <v>17</v>
      </c>
      <c r="F292" s="10" t="s">
        <v>18</v>
      </c>
      <c r="G292" s="10" t="s">
        <v>19</v>
      </c>
      <c r="H292" s="10" t="s">
        <v>20</v>
      </c>
      <c r="I292" s="10" t="s">
        <v>21</v>
      </c>
      <c r="J292" s="10" t="s">
        <v>22</v>
      </c>
      <c r="K292" s="10" t="s">
        <v>23</v>
      </c>
      <c r="L292" s="10" t="s">
        <v>24</v>
      </c>
      <c r="M292" s="10" t="s">
        <v>25</v>
      </c>
      <c r="N292" s="10" t="s">
        <v>26</v>
      </c>
      <c r="O292" s="10" t="s">
        <v>27</v>
      </c>
    </row>
    <row r="293" spans="1:15" x14ac:dyDescent="0.3">
      <c r="A293" s="11" t="str">
        <f>C291</f>
        <v>Tauheed Ali</v>
      </c>
      <c r="B293" s="5" t="str" cm="1">
        <f t="array" ref="B293:M293">_xlfn.LET(
  _xlpm.data, _xlfn._xlws.FILTER('[1]Finanace - Incentive Data'!A:CA, '[1]Finanace - Incentive Data'!H:H=$C291),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Abdul Sattar</v>
      </c>
      <c r="C293" s="12">
        <v>2026</v>
      </c>
      <c r="D293" s="13">
        <v>46065</v>
      </c>
      <c r="E293" s="13">
        <v>0</v>
      </c>
      <c r="F293" s="5" t="str">
        <v>CoForge</v>
      </c>
      <c r="G293" s="14" t="str">
        <v>PLC-4702</v>
      </c>
      <c r="H293" s="15" t="str">
        <v>FTE</v>
      </c>
      <c r="I293" s="12" t="str">
        <v>-</v>
      </c>
      <c r="J293" s="5" t="str">
        <v>-</v>
      </c>
      <c r="K293" s="5">
        <v>1</v>
      </c>
      <c r="L293" s="8">
        <v>3000</v>
      </c>
      <c r="M293" s="8">
        <v>0</v>
      </c>
      <c r="N293" s="8">
        <f>SUMIFS('[1]Finanace - Incentive Data'!BE:BE,'[1]Finanace - Incentive Data'!BS:BS,"Y",'[1]Finanace - Incentive Data'!H:H,$C$291,'[1]Finanace - Incentive Data'!R:R,$B293)</f>
        <v>0</v>
      </c>
      <c r="O293" s="8">
        <f>M293-N293</f>
        <v>0</v>
      </c>
    </row>
    <row r="294" spans="1:15" x14ac:dyDescent="0.3">
      <c r="A294" s="11"/>
      <c r="B294" s="5"/>
      <c r="C294" s="12"/>
      <c r="D294" s="13"/>
      <c r="E294" s="13"/>
      <c r="F294" s="5"/>
      <c r="G294" s="14"/>
      <c r="H294" s="15"/>
      <c r="I294" s="12"/>
      <c r="J294" s="5"/>
      <c r="K294" s="5"/>
      <c r="L294" s="8"/>
      <c r="M294" s="8"/>
      <c r="N294" s="8">
        <f>SUMIFS('[1]Finanace - Incentive Data'!BE:BE,'[1]Finanace - Incentive Data'!BS:BS,"Y",'[1]Finanace - Incentive Data'!H:H,$C$291,'[1]Finanace - Incentive Data'!R:R,$B294)</f>
        <v>0</v>
      </c>
      <c r="O294" s="8">
        <f t="shared" ref="O294:O311" si="12">M294-N294</f>
        <v>0</v>
      </c>
    </row>
    <row r="295" spans="1:15" x14ac:dyDescent="0.3">
      <c r="A295" s="11"/>
      <c r="B295" s="5"/>
      <c r="C295" s="12"/>
      <c r="D295" s="13"/>
      <c r="E295" s="13"/>
      <c r="F295" s="5"/>
      <c r="G295" s="14"/>
      <c r="H295" s="15"/>
      <c r="I295" s="12"/>
      <c r="J295" s="5"/>
      <c r="K295" s="5"/>
      <c r="L295" s="8"/>
      <c r="M295" s="8"/>
      <c r="N295" s="8">
        <f>SUMIFS('[1]Finanace - Incentive Data'!BE:BE,'[1]Finanace - Incentive Data'!BS:BS,"Y",'[1]Finanace - Incentive Data'!H:H,$C$291,'[1]Finanace - Incentive Data'!R:R,$B295)</f>
        <v>0</v>
      </c>
      <c r="O295" s="8">
        <f t="shared" si="12"/>
        <v>0</v>
      </c>
    </row>
    <row r="296" spans="1:15" x14ac:dyDescent="0.3">
      <c r="A296" s="11"/>
      <c r="B296" s="5"/>
      <c r="C296" s="12"/>
      <c r="D296" s="13"/>
      <c r="E296" s="13"/>
      <c r="F296" s="5"/>
      <c r="G296" s="14"/>
      <c r="H296" s="15"/>
      <c r="I296" s="12"/>
      <c r="J296" s="5"/>
      <c r="K296" s="5"/>
      <c r="L296" s="8"/>
      <c r="M296" s="8"/>
      <c r="N296" s="8">
        <f>SUMIFS('[1]Finanace - Incentive Data'!BE:BE,'[1]Finanace - Incentive Data'!BS:BS,"Y",'[1]Finanace - Incentive Data'!H:H,$C$291,'[1]Finanace - Incentive Data'!R:R,$B296)</f>
        <v>0</v>
      </c>
      <c r="O296" s="8">
        <f t="shared" si="12"/>
        <v>0</v>
      </c>
    </row>
    <row r="297" spans="1:15" x14ac:dyDescent="0.3">
      <c r="A297" s="11"/>
      <c r="B297" s="5"/>
      <c r="C297" s="12"/>
      <c r="D297" s="13"/>
      <c r="E297" s="13"/>
      <c r="F297" s="5"/>
      <c r="G297" s="14"/>
      <c r="H297" s="15"/>
      <c r="I297" s="12"/>
      <c r="J297" s="5"/>
      <c r="K297" s="5"/>
      <c r="L297" s="8"/>
      <c r="M297" s="8"/>
      <c r="N297" s="8">
        <f>SUMIFS('[1]Finanace - Incentive Data'!BE:BE,'[1]Finanace - Incentive Data'!BS:BS,"Y",'[1]Finanace - Incentive Data'!H:H,$C$291,'[1]Finanace - Incentive Data'!R:R,$B297)</f>
        <v>0</v>
      </c>
      <c r="O297" s="8">
        <f t="shared" si="12"/>
        <v>0</v>
      </c>
    </row>
    <row r="298" spans="1:15" x14ac:dyDescent="0.3">
      <c r="A298" s="11"/>
      <c r="B298" s="5"/>
      <c r="C298" s="12"/>
      <c r="D298" s="13"/>
      <c r="E298" s="13"/>
      <c r="F298" s="5"/>
      <c r="G298" s="14"/>
      <c r="H298" s="15"/>
      <c r="I298" s="12"/>
      <c r="J298" s="5"/>
      <c r="K298" s="5"/>
      <c r="L298" s="8"/>
      <c r="M298" s="8"/>
      <c r="N298" s="8">
        <f>SUMIFS('[1]Finanace - Incentive Data'!BE:BE,'[1]Finanace - Incentive Data'!BS:BS,"Y",'[1]Finanace - Incentive Data'!H:H,$C$291,'[1]Finanace - Incentive Data'!R:R,$B298)</f>
        <v>0</v>
      </c>
      <c r="O298" s="8">
        <f t="shared" si="12"/>
        <v>0</v>
      </c>
    </row>
    <row r="299" spans="1:15" x14ac:dyDescent="0.3">
      <c r="A299" s="11"/>
      <c r="B299" s="5"/>
      <c r="C299" s="12"/>
      <c r="D299" s="13"/>
      <c r="E299" s="13"/>
      <c r="F299" s="5"/>
      <c r="G299" s="14"/>
      <c r="H299" s="15"/>
      <c r="I299" s="12"/>
      <c r="J299" s="5"/>
      <c r="K299" s="5"/>
      <c r="L299" s="8"/>
      <c r="M299" s="8"/>
      <c r="N299" s="8">
        <f>SUMIFS('[1]Finanace - Incentive Data'!BE:BE,'[1]Finanace - Incentive Data'!BS:BS,"Y",'[1]Finanace - Incentive Data'!H:H,$C$291,'[1]Finanace - Incentive Data'!R:R,$B299)</f>
        <v>0</v>
      </c>
      <c r="O299" s="8">
        <f t="shared" si="12"/>
        <v>0</v>
      </c>
    </row>
    <row r="300" spans="1:15" x14ac:dyDescent="0.3">
      <c r="A300" s="11"/>
      <c r="B300" s="5"/>
      <c r="C300" s="12"/>
      <c r="D300" s="13"/>
      <c r="E300" s="13"/>
      <c r="F300" s="5"/>
      <c r="G300" s="14"/>
      <c r="H300" s="15"/>
      <c r="I300" s="12"/>
      <c r="J300" s="5"/>
      <c r="K300" s="5"/>
      <c r="L300" s="8"/>
      <c r="M300" s="8"/>
      <c r="N300" s="8">
        <f>SUMIFS('[1]Finanace - Incentive Data'!BE:BE,'[1]Finanace - Incentive Data'!BS:BS,"Y",'[1]Finanace - Incentive Data'!H:H,$C$291,'[1]Finanace - Incentive Data'!R:R,$B300)</f>
        <v>0</v>
      </c>
      <c r="O300" s="8">
        <f t="shared" si="12"/>
        <v>0</v>
      </c>
    </row>
    <row r="301" spans="1:15" x14ac:dyDescent="0.3">
      <c r="A301" s="11"/>
      <c r="B301" s="5"/>
      <c r="C301" s="12"/>
      <c r="D301" s="13"/>
      <c r="E301" s="13"/>
      <c r="F301" s="5"/>
      <c r="G301" s="14"/>
      <c r="H301" s="15"/>
      <c r="I301" s="12"/>
      <c r="J301" s="5"/>
      <c r="K301" s="5"/>
      <c r="L301" s="8"/>
      <c r="M301" s="8"/>
      <c r="N301" s="8">
        <f>SUMIFS('[1]Finanace - Incentive Data'!BE:BE,'[1]Finanace - Incentive Data'!BS:BS,"Y",'[1]Finanace - Incentive Data'!H:H,$C$291,'[1]Finanace - Incentive Data'!R:R,$B301)</f>
        <v>0</v>
      </c>
      <c r="O301" s="8">
        <f t="shared" si="12"/>
        <v>0</v>
      </c>
    </row>
    <row r="302" spans="1:15" x14ac:dyDescent="0.3">
      <c r="A302" s="11"/>
      <c r="B302" s="5"/>
      <c r="C302" s="12"/>
      <c r="D302" s="13"/>
      <c r="E302" s="13"/>
      <c r="F302" s="5"/>
      <c r="G302" s="14"/>
      <c r="H302" s="15"/>
      <c r="I302" s="12"/>
      <c r="J302" s="5"/>
      <c r="K302" s="5"/>
      <c r="L302" s="8"/>
      <c r="M302" s="8"/>
      <c r="N302" s="8">
        <f>SUMIFS('[1]Finanace - Incentive Data'!BE:BE,'[1]Finanace - Incentive Data'!BS:BS,"Y",'[1]Finanace - Incentive Data'!H:H,$C$291,'[1]Finanace - Incentive Data'!R:R,$B302)</f>
        <v>0</v>
      </c>
      <c r="O302" s="8">
        <f t="shared" si="12"/>
        <v>0</v>
      </c>
    </row>
    <row r="303" spans="1:15" x14ac:dyDescent="0.3">
      <c r="A303" s="11"/>
      <c r="B303" s="5"/>
      <c r="C303" s="12"/>
      <c r="D303" s="13"/>
      <c r="E303" s="13"/>
      <c r="F303" s="5"/>
      <c r="G303" s="14"/>
      <c r="H303" s="15"/>
      <c r="I303" s="12"/>
      <c r="J303" s="5"/>
      <c r="K303" s="5"/>
      <c r="L303" s="8"/>
      <c r="M303" s="8"/>
      <c r="N303" s="8">
        <f>SUMIFS('[1]Finanace - Incentive Data'!BE:BE,'[1]Finanace - Incentive Data'!BS:BS,"Y",'[1]Finanace - Incentive Data'!H:H,$C$291,'[1]Finanace - Incentive Data'!R:R,$B303)</f>
        <v>0</v>
      </c>
      <c r="O303" s="8">
        <f t="shared" si="12"/>
        <v>0</v>
      </c>
    </row>
    <row r="304" spans="1:15" x14ac:dyDescent="0.3">
      <c r="A304" s="11"/>
      <c r="B304" s="5"/>
      <c r="C304" s="12"/>
      <c r="D304" s="13"/>
      <c r="E304" s="13"/>
      <c r="F304" s="5"/>
      <c r="G304" s="14"/>
      <c r="H304" s="15"/>
      <c r="I304" s="12"/>
      <c r="J304" s="5"/>
      <c r="K304" s="5"/>
      <c r="L304" s="8"/>
      <c r="M304" s="8"/>
      <c r="N304" s="8">
        <f>SUMIFS('[1]Finanace - Incentive Data'!BE:BE,'[1]Finanace - Incentive Data'!BS:BS,"Y",'[1]Finanace - Incentive Data'!H:H,$C$291,'[1]Finanace - Incentive Data'!R:R,$B304)</f>
        <v>0</v>
      </c>
      <c r="O304" s="8">
        <f t="shared" si="12"/>
        <v>0</v>
      </c>
    </row>
    <row r="305" spans="1:15" x14ac:dyDescent="0.3">
      <c r="A305" s="11"/>
      <c r="B305" s="5"/>
      <c r="C305" s="12"/>
      <c r="D305" s="13"/>
      <c r="E305" s="13"/>
      <c r="F305" s="5"/>
      <c r="G305" s="14"/>
      <c r="H305" s="15"/>
      <c r="I305" s="12"/>
      <c r="J305" s="5"/>
      <c r="K305" s="5"/>
      <c r="L305" s="8"/>
      <c r="M305" s="8"/>
      <c r="N305" s="8">
        <f>SUMIFS('[1]Finanace - Incentive Data'!BE:BE,'[1]Finanace - Incentive Data'!BS:BS,"Y",'[1]Finanace - Incentive Data'!H:H,$C$291,'[1]Finanace - Incentive Data'!R:R,$B305)</f>
        <v>0</v>
      </c>
      <c r="O305" s="8">
        <f t="shared" si="12"/>
        <v>0</v>
      </c>
    </row>
    <row r="306" spans="1:15" x14ac:dyDescent="0.3">
      <c r="A306" s="11"/>
      <c r="B306" s="5"/>
      <c r="C306" s="12"/>
      <c r="D306" s="13"/>
      <c r="E306" s="13"/>
      <c r="F306" s="5"/>
      <c r="G306" s="14"/>
      <c r="H306" s="15"/>
      <c r="I306" s="12"/>
      <c r="J306" s="5"/>
      <c r="K306" s="5"/>
      <c r="L306" s="8"/>
      <c r="M306" s="8"/>
      <c r="N306" s="8">
        <f>SUMIFS('[1]Finanace - Incentive Data'!BE:BE,'[1]Finanace - Incentive Data'!BS:BS,"Y",'[1]Finanace - Incentive Data'!H:H,$C$291,'[1]Finanace - Incentive Data'!R:R,$B306)</f>
        <v>0</v>
      </c>
      <c r="O306" s="8">
        <f t="shared" si="12"/>
        <v>0</v>
      </c>
    </row>
    <row r="307" spans="1:15" x14ac:dyDescent="0.3">
      <c r="A307" s="11"/>
      <c r="B307" s="5"/>
      <c r="C307" s="12"/>
      <c r="D307" s="13"/>
      <c r="E307" s="13"/>
      <c r="F307" s="5"/>
      <c r="G307" s="14"/>
      <c r="H307" s="15"/>
      <c r="I307" s="12"/>
      <c r="J307" s="5"/>
      <c r="K307" s="5"/>
      <c r="L307" s="8"/>
      <c r="M307" s="8"/>
      <c r="N307" s="8">
        <f>SUMIFS('[1]Finanace - Incentive Data'!BE:BE,'[1]Finanace - Incentive Data'!BS:BS,"Y",'[1]Finanace - Incentive Data'!H:H,$C$291,'[1]Finanace - Incentive Data'!R:R,$B307)</f>
        <v>0</v>
      </c>
      <c r="O307" s="8">
        <f t="shared" si="12"/>
        <v>0</v>
      </c>
    </row>
    <row r="308" spans="1:15" x14ac:dyDescent="0.3">
      <c r="A308" s="11"/>
      <c r="B308" s="5"/>
      <c r="C308" s="12"/>
      <c r="D308" s="13"/>
      <c r="E308" s="13"/>
      <c r="F308" s="5"/>
      <c r="G308" s="14"/>
      <c r="H308" s="15"/>
      <c r="I308" s="12"/>
      <c r="J308" s="5"/>
      <c r="K308" s="5"/>
      <c r="L308" s="8"/>
      <c r="M308" s="8"/>
      <c r="N308" s="8">
        <f>SUMIFS('[1]Finanace - Incentive Data'!BE:BE,'[1]Finanace - Incentive Data'!BS:BS,"Y",'[1]Finanace - Incentive Data'!H:H,$C$291,'[1]Finanace - Incentive Data'!R:R,$B308)</f>
        <v>0</v>
      </c>
      <c r="O308" s="8">
        <f t="shared" si="12"/>
        <v>0</v>
      </c>
    </row>
    <row r="309" spans="1:15" x14ac:dyDescent="0.3">
      <c r="A309" s="11"/>
      <c r="B309" s="5"/>
      <c r="C309" s="12"/>
      <c r="D309" s="13"/>
      <c r="E309" s="13"/>
      <c r="F309" s="5"/>
      <c r="G309" s="14"/>
      <c r="H309" s="15"/>
      <c r="I309" s="12"/>
      <c r="J309" s="5"/>
      <c r="K309" s="5"/>
      <c r="L309" s="8"/>
      <c r="M309" s="8"/>
      <c r="N309" s="8">
        <f>SUMIFS('[1]Finanace - Incentive Data'!BE:BE,'[1]Finanace - Incentive Data'!BS:BS,"Y",'[1]Finanace - Incentive Data'!H:H,$C$291,'[1]Finanace - Incentive Data'!R:R,$B309)</f>
        <v>0</v>
      </c>
      <c r="O309" s="8">
        <f t="shared" si="12"/>
        <v>0</v>
      </c>
    </row>
    <row r="310" spans="1:15" x14ac:dyDescent="0.3">
      <c r="A310" s="11"/>
      <c r="B310" s="5"/>
      <c r="C310" s="12"/>
      <c r="D310" s="13"/>
      <c r="E310" s="13"/>
      <c r="F310" s="5"/>
      <c r="G310" s="14"/>
      <c r="H310" s="15"/>
      <c r="I310" s="12"/>
      <c r="J310" s="5"/>
      <c r="K310" s="5"/>
      <c r="L310" s="8"/>
      <c r="M310" s="8"/>
      <c r="N310" s="8">
        <f>SUMIFS('[1]Finanace - Incentive Data'!BE:BE,'[1]Finanace - Incentive Data'!BS:BS,"Y",'[1]Finanace - Incentive Data'!H:H,$C$291,'[1]Finanace - Incentive Data'!R:R,$B310)</f>
        <v>0</v>
      </c>
      <c r="O310" s="8">
        <f t="shared" si="12"/>
        <v>0</v>
      </c>
    </row>
    <row r="311" spans="1:15" x14ac:dyDescent="0.3">
      <c r="A311" s="11"/>
      <c r="B311" s="5"/>
      <c r="C311" s="12"/>
      <c r="D311" s="13"/>
      <c r="E311" s="13"/>
      <c r="F311" s="5"/>
      <c r="G311" s="14"/>
      <c r="H311" s="15"/>
      <c r="I311" s="12"/>
      <c r="J311" s="5"/>
      <c r="K311" s="5"/>
      <c r="L311" s="8"/>
      <c r="M311" s="8"/>
      <c r="N311" s="8">
        <f>SUMIFS('[1]Finanace - Incentive Data'!BE:BE,'[1]Finanace - Incentive Data'!BS:BS,"Y",'[1]Finanace - Incentive Data'!H:H,$C$291,'[1]Finanace - Incentive Data'!R:R,$B311)</f>
        <v>0</v>
      </c>
      <c r="O311" s="8">
        <f t="shared" si="12"/>
        <v>0</v>
      </c>
    </row>
    <row r="314" spans="1:15" ht="43.2" x14ac:dyDescent="0.3">
      <c r="A314" s="1" t="s">
        <v>0</v>
      </c>
      <c r="B314" s="1" t="s">
        <v>1</v>
      </c>
      <c r="C314" s="1" t="s">
        <v>2</v>
      </c>
      <c r="D314" s="1" t="s">
        <v>3</v>
      </c>
      <c r="E314" s="1" t="s">
        <v>4</v>
      </c>
      <c r="F314" s="1" t="s">
        <v>5</v>
      </c>
      <c r="G314" s="1" t="s">
        <v>6</v>
      </c>
      <c r="H314" s="1" t="s">
        <v>7</v>
      </c>
      <c r="I314" s="1" t="s">
        <v>8</v>
      </c>
      <c r="J314" s="1" t="s">
        <v>9</v>
      </c>
      <c r="K314" s="2" t="s">
        <v>10</v>
      </c>
      <c r="L314" s="2" t="s">
        <v>11</v>
      </c>
      <c r="M314" s="3"/>
      <c r="N314" s="3"/>
    </row>
    <row r="315" spans="1:15" x14ac:dyDescent="0.3">
      <c r="A315" s="5" t="s">
        <v>12</v>
      </c>
      <c r="B315" s="4" t="str">
        <f>_xlfn.XLOOKUP($C315,'[1]Basic EMP Data - 2026'!$D$3:$D$224,'[1]Basic EMP Data - 2026'!$C$3:$C$224)</f>
        <v>VB1253</v>
      </c>
      <c r="C315" s="6" t="s">
        <v>39</v>
      </c>
      <c r="D315" s="5" t="str">
        <f>VLOOKUP($B315,'[1]Basic EMP Data - 2026'!$C$3:$F$224,3,0)</f>
        <v>Vivek Yadav</v>
      </c>
      <c r="E315" s="5">
        <f>VLOOKUP($B315,'[1]Basic EMP Data - 2026'!$C$3:$I$224,5,0)</f>
        <v>8</v>
      </c>
      <c r="F315" s="5">
        <f>VLOOKUP($B315,'[1]Basic EMP Data - 2026'!$C$3:$I$224,6,0)</f>
        <v>2</v>
      </c>
      <c r="G315" s="7">
        <f>F315/E315</f>
        <v>0.25</v>
      </c>
      <c r="H315" s="8">
        <f>SUM(L317:L335)</f>
        <v>5532.71</v>
      </c>
      <c r="I315" s="9" cm="1">
        <f t="array" ref="I315">_xlfn.IFS($G315&lt;=34%,0%,$G315&lt;=75%,3%,$G315&lt;=120%,4%,$G315&gt;120%,5%)</f>
        <v>0</v>
      </c>
      <c r="J315" s="8" cm="1">
        <f t="array" ref="J315">SUMPRODUCT((C317:C335=2026)*M317:M335*2)</f>
        <v>0</v>
      </c>
      <c r="K315" s="5">
        <f>SUM(N317:N335)</f>
        <v>0</v>
      </c>
      <c r="L315" s="8">
        <f>J315-K315</f>
        <v>0</v>
      </c>
      <c r="M315" s="3"/>
      <c r="N315" s="3"/>
    </row>
    <row r="316" spans="1:15" ht="43.2" x14ac:dyDescent="0.3">
      <c r="A316" s="10" t="s">
        <v>2</v>
      </c>
      <c r="B316" s="10" t="s">
        <v>14</v>
      </c>
      <c r="C316" s="10" t="s">
        <v>15</v>
      </c>
      <c r="D316" s="10" t="s">
        <v>16</v>
      </c>
      <c r="E316" s="10" t="s">
        <v>17</v>
      </c>
      <c r="F316" s="10" t="s">
        <v>18</v>
      </c>
      <c r="G316" s="10" t="s">
        <v>19</v>
      </c>
      <c r="H316" s="10" t="s">
        <v>20</v>
      </c>
      <c r="I316" s="10" t="s">
        <v>21</v>
      </c>
      <c r="J316" s="10" t="s">
        <v>22</v>
      </c>
      <c r="K316" s="10" t="s">
        <v>23</v>
      </c>
      <c r="L316" s="10" t="s">
        <v>24</v>
      </c>
      <c r="M316" s="10" t="s">
        <v>25</v>
      </c>
      <c r="N316" s="10" t="s">
        <v>26</v>
      </c>
      <c r="O316" s="10" t="s">
        <v>27</v>
      </c>
    </row>
    <row r="317" spans="1:15" x14ac:dyDescent="0.3">
      <c r="A317" s="11" t="str">
        <f>C315</f>
        <v>Abhishek Mishra Mavericks</v>
      </c>
      <c r="B317" s="5" t="str" cm="1">
        <f t="array" ref="B317:M319">_xlfn.LET(
  _xlpm.data, _xlfn._xlws.FILTER('[1]Finanace - Incentive Data'!A:CA, '[1]Finanace - Incentive Data'!H:H=$C315),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Mani Teja Ladi</v>
      </c>
      <c r="C317" s="12">
        <v>2026</v>
      </c>
      <c r="D317" s="13">
        <v>46083</v>
      </c>
      <c r="E317" s="13">
        <v>0</v>
      </c>
      <c r="F317" s="5" t="str">
        <v>CoForge</v>
      </c>
      <c r="G317" s="14" t="str">
        <v>PLC-4722</v>
      </c>
      <c r="H317" s="15" t="str">
        <v>C2C</v>
      </c>
      <c r="I317" s="12" t="str">
        <v>-</v>
      </c>
      <c r="J317" s="5" t="str">
        <v>-</v>
      </c>
      <c r="K317" s="5">
        <v>326</v>
      </c>
      <c r="L317" s="8">
        <v>973.11</v>
      </c>
      <c r="M317" s="8">
        <v>0</v>
      </c>
      <c r="N317" s="8">
        <f>SUMIFS('[1]Finanace - Incentive Data'!BE:BE,'[1]Finanace - Incentive Data'!BS:BS,"Y",'[1]Finanace - Incentive Data'!H:H,$C$315,'[1]Finanace - Incentive Data'!R:R,$B317)</f>
        <v>0</v>
      </c>
      <c r="O317" s="8">
        <f>M317-N317</f>
        <v>0</v>
      </c>
    </row>
    <row r="318" spans="1:15" x14ac:dyDescent="0.3">
      <c r="A318" s="11"/>
      <c r="B318" s="5" t="str">
        <v>Meera Deshabathula</v>
      </c>
      <c r="C318" s="12">
        <v>2026</v>
      </c>
      <c r="D318" s="13">
        <v>46105</v>
      </c>
      <c r="E318" s="13">
        <v>46142</v>
      </c>
      <c r="F318" s="5" t="str">
        <v>CoForge</v>
      </c>
      <c r="G318" s="14" t="str">
        <v>PLC-4770</v>
      </c>
      <c r="H318" s="15" t="str">
        <v>C2C</v>
      </c>
      <c r="I318" s="12" t="str">
        <v>-</v>
      </c>
      <c r="J318" s="5" t="str">
        <v>-</v>
      </c>
      <c r="K318" s="5">
        <v>224</v>
      </c>
      <c r="L318" s="8">
        <v>2223.1999999999998</v>
      </c>
      <c r="M318" s="8">
        <v>0</v>
      </c>
      <c r="N318" s="8">
        <f>SUMIFS('[1]Finanace - Incentive Data'!BE:BE,'[1]Finanace - Incentive Data'!BS:BS,"Y",'[1]Finanace - Incentive Data'!H:H,$C$315,'[1]Finanace - Incentive Data'!R:R,$B318)</f>
        <v>0</v>
      </c>
      <c r="O318" s="8">
        <f t="shared" ref="O318:O335" si="13">M318-N318</f>
        <v>0</v>
      </c>
    </row>
    <row r="319" spans="1:15" x14ac:dyDescent="0.3">
      <c r="A319" s="11"/>
      <c r="B319" s="5" t="str">
        <v>Sayed Y Hashimi</v>
      </c>
      <c r="C319" s="12">
        <v>2026</v>
      </c>
      <c r="D319" s="13">
        <v>46083</v>
      </c>
      <c r="E319" s="13">
        <v>0</v>
      </c>
      <c r="F319" s="5" t="str">
        <v>CoForge</v>
      </c>
      <c r="G319" s="14" t="str">
        <v>PLC-4723</v>
      </c>
      <c r="H319" s="15" t="str">
        <v>C2C</v>
      </c>
      <c r="I319" s="12" t="str">
        <v>-</v>
      </c>
      <c r="J319" s="5" t="str">
        <v>-</v>
      </c>
      <c r="K319" s="5">
        <v>472</v>
      </c>
      <c r="L319" s="8">
        <v>2336.4</v>
      </c>
      <c r="M319" s="8">
        <v>0</v>
      </c>
      <c r="N319" s="8">
        <f>SUMIFS('[1]Finanace - Incentive Data'!BE:BE,'[1]Finanace - Incentive Data'!BS:BS,"Y",'[1]Finanace - Incentive Data'!H:H,$C$315,'[1]Finanace - Incentive Data'!R:R,$B319)</f>
        <v>0</v>
      </c>
      <c r="O319" s="8">
        <f t="shared" si="13"/>
        <v>0</v>
      </c>
    </row>
    <row r="320" spans="1:15" x14ac:dyDescent="0.3">
      <c r="A320" s="11"/>
      <c r="B320" s="5"/>
      <c r="C320" s="12"/>
      <c r="D320" s="13"/>
      <c r="E320" s="13"/>
      <c r="F320" s="5"/>
      <c r="G320" s="14"/>
      <c r="H320" s="15"/>
      <c r="I320" s="12"/>
      <c r="J320" s="5"/>
      <c r="K320" s="5"/>
      <c r="L320" s="8"/>
      <c r="M320" s="8"/>
      <c r="N320" s="8">
        <f>SUMIFS('[1]Finanace - Incentive Data'!BE:BE,'[1]Finanace - Incentive Data'!BS:BS,"Y",'[1]Finanace - Incentive Data'!H:H,$C$315,'[1]Finanace - Incentive Data'!R:R,$B320)</f>
        <v>0</v>
      </c>
      <c r="O320" s="8">
        <f t="shared" si="13"/>
        <v>0</v>
      </c>
    </row>
    <row r="321" spans="1:15" x14ac:dyDescent="0.3">
      <c r="A321" s="11"/>
      <c r="B321" s="5"/>
      <c r="C321" s="12"/>
      <c r="D321" s="13"/>
      <c r="E321" s="13"/>
      <c r="F321" s="5"/>
      <c r="G321" s="14"/>
      <c r="H321" s="15"/>
      <c r="I321" s="12"/>
      <c r="J321" s="5"/>
      <c r="K321" s="5"/>
      <c r="L321" s="8"/>
      <c r="M321" s="8"/>
      <c r="N321" s="8">
        <f>SUMIFS('[1]Finanace - Incentive Data'!BE:BE,'[1]Finanace - Incentive Data'!BS:BS,"Y",'[1]Finanace - Incentive Data'!H:H,$C$315,'[1]Finanace - Incentive Data'!R:R,$B321)</f>
        <v>0</v>
      </c>
      <c r="O321" s="8">
        <f t="shared" si="13"/>
        <v>0</v>
      </c>
    </row>
    <row r="322" spans="1:15" x14ac:dyDescent="0.3">
      <c r="A322" s="11"/>
      <c r="B322" s="5"/>
      <c r="C322" s="12"/>
      <c r="D322" s="13"/>
      <c r="E322" s="13"/>
      <c r="F322" s="5"/>
      <c r="G322" s="14"/>
      <c r="H322" s="15"/>
      <c r="I322" s="12"/>
      <c r="J322" s="5"/>
      <c r="K322" s="5"/>
      <c r="L322" s="8"/>
      <c r="M322" s="8"/>
      <c r="N322" s="8">
        <f>SUMIFS('[1]Finanace - Incentive Data'!BE:BE,'[1]Finanace - Incentive Data'!BS:BS,"Y",'[1]Finanace - Incentive Data'!H:H,$C$315,'[1]Finanace - Incentive Data'!R:R,$B322)</f>
        <v>0</v>
      </c>
      <c r="O322" s="8">
        <f t="shared" si="13"/>
        <v>0</v>
      </c>
    </row>
    <row r="323" spans="1:15" x14ac:dyDescent="0.3">
      <c r="A323" s="11"/>
      <c r="B323" s="5"/>
      <c r="C323" s="12"/>
      <c r="D323" s="13"/>
      <c r="E323" s="13"/>
      <c r="F323" s="5"/>
      <c r="G323" s="14"/>
      <c r="H323" s="15"/>
      <c r="I323" s="12"/>
      <c r="J323" s="5"/>
      <c r="K323" s="5"/>
      <c r="L323" s="8"/>
      <c r="M323" s="8"/>
      <c r="N323" s="8">
        <f>SUMIFS('[1]Finanace - Incentive Data'!BE:BE,'[1]Finanace - Incentive Data'!BS:BS,"Y",'[1]Finanace - Incentive Data'!H:H,$C$315,'[1]Finanace - Incentive Data'!R:R,$B323)</f>
        <v>0</v>
      </c>
      <c r="O323" s="8">
        <f t="shared" si="13"/>
        <v>0</v>
      </c>
    </row>
    <row r="324" spans="1:15" x14ac:dyDescent="0.3">
      <c r="A324" s="11"/>
      <c r="B324" s="5"/>
      <c r="C324" s="12"/>
      <c r="D324" s="13"/>
      <c r="E324" s="13"/>
      <c r="F324" s="5"/>
      <c r="G324" s="14"/>
      <c r="H324" s="15"/>
      <c r="I324" s="12"/>
      <c r="J324" s="5"/>
      <c r="K324" s="5"/>
      <c r="L324" s="8"/>
      <c r="M324" s="8"/>
      <c r="N324" s="8">
        <f>SUMIFS('[1]Finanace - Incentive Data'!BE:BE,'[1]Finanace - Incentive Data'!BS:BS,"Y",'[1]Finanace - Incentive Data'!H:H,$C$315,'[1]Finanace - Incentive Data'!R:R,$B324)</f>
        <v>0</v>
      </c>
      <c r="O324" s="8">
        <f t="shared" si="13"/>
        <v>0</v>
      </c>
    </row>
    <row r="325" spans="1:15" x14ac:dyDescent="0.3">
      <c r="A325" s="11"/>
      <c r="B325" s="5"/>
      <c r="C325" s="12"/>
      <c r="D325" s="13"/>
      <c r="E325" s="13"/>
      <c r="F325" s="5"/>
      <c r="G325" s="14"/>
      <c r="H325" s="15"/>
      <c r="I325" s="12"/>
      <c r="J325" s="5"/>
      <c r="K325" s="5"/>
      <c r="L325" s="8"/>
      <c r="M325" s="8"/>
      <c r="N325" s="8">
        <f>SUMIFS('[1]Finanace - Incentive Data'!BE:BE,'[1]Finanace - Incentive Data'!BS:BS,"Y",'[1]Finanace - Incentive Data'!H:H,$C$315,'[1]Finanace - Incentive Data'!R:R,$B325)</f>
        <v>0</v>
      </c>
      <c r="O325" s="8">
        <f t="shared" si="13"/>
        <v>0</v>
      </c>
    </row>
    <row r="326" spans="1:15" x14ac:dyDescent="0.3">
      <c r="A326" s="11"/>
      <c r="B326" s="5"/>
      <c r="C326" s="12"/>
      <c r="D326" s="13"/>
      <c r="E326" s="13"/>
      <c r="F326" s="5"/>
      <c r="G326" s="14"/>
      <c r="H326" s="15"/>
      <c r="I326" s="12"/>
      <c r="J326" s="5"/>
      <c r="K326" s="5"/>
      <c r="L326" s="8"/>
      <c r="M326" s="8"/>
      <c r="N326" s="8">
        <f>SUMIFS('[1]Finanace - Incentive Data'!BE:BE,'[1]Finanace - Incentive Data'!BS:BS,"Y",'[1]Finanace - Incentive Data'!H:H,$C$315,'[1]Finanace - Incentive Data'!R:R,$B326)</f>
        <v>0</v>
      </c>
      <c r="O326" s="8">
        <f t="shared" si="13"/>
        <v>0</v>
      </c>
    </row>
    <row r="327" spans="1:15" x14ac:dyDescent="0.3">
      <c r="A327" s="11"/>
      <c r="B327" s="5"/>
      <c r="C327" s="12"/>
      <c r="D327" s="13"/>
      <c r="E327" s="13"/>
      <c r="F327" s="5"/>
      <c r="G327" s="14"/>
      <c r="H327" s="15"/>
      <c r="I327" s="12"/>
      <c r="J327" s="5"/>
      <c r="K327" s="5"/>
      <c r="L327" s="8"/>
      <c r="M327" s="8"/>
      <c r="N327" s="8">
        <f>SUMIFS('[1]Finanace - Incentive Data'!BE:BE,'[1]Finanace - Incentive Data'!BS:BS,"Y",'[1]Finanace - Incentive Data'!H:H,$C$315,'[1]Finanace - Incentive Data'!R:R,$B327)</f>
        <v>0</v>
      </c>
      <c r="O327" s="8">
        <f t="shared" si="13"/>
        <v>0</v>
      </c>
    </row>
    <row r="328" spans="1:15" x14ac:dyDescent="0.3">
      <c r="A328" s="11"/>
      <c r="B328" s="5"/>
      <c r="C328" s="12"/>
      <c r="D328" s="13"/>
      <c r="E328" s="13"/>
      <c r="F328" s="5"/>
      <c r="G328" s="14"/>
      <c r="H328" s="15"/>
      <c r="I328" s="12"/>
      <c r="J328" s="5"/>
      <c r="K328" s="5"/>
      <c r="L328" s="8"/>
      <c r="M328" s="8"/>
      <c r="N328" s="8">
        <f>SUMIFS('[1]Finanace - Incentive Data'!BE:BE,'[1]Finanace - Incentive Data'!BS:BS,"Y",'[1]Finanace - Incentive Data'!H:H,$C$315,'[1]Finanace - Incentive Data'!R:R,$B328)</f>
        <v>0</v>
      </c>
      <c r="O328" s="8">
        <f t="shared" si="13"/>
        <v>0</v>
      </c>
    </row>
    <row r="329" spans="1:15" x14ac:dyDescent="0.3">
      <c r="A329" s="11"/>
      <c r="B329" s="5"/>
      <c r="C329" s="12"/>
      <c r="D329" s="13"/>
      <c r="E329" s="13"/>
      <c r="F329" s="5"/>
      <c r="G329" s="14"/>
      <c r="H329" s="15"/>
      <c r="I329" s="12"/>
      <c r="J329" s="5"/>
      <c r="K329" s="5"/>
      <c r="L329" s="8"/>
      <c r="M329" s="8"/>
      <c r="N329" s="8">
        <f>SUMIFS('[1]Finanace - Incentive Data'!BE:BE,'[1]Finanace - Incentive Data'!BS:BS,"Y",'[1]Finanace - Incentive Data'!H:H,$C$315,'[1]Finanace - Incentive Data'!R:R,$B329)</f>
        <v>0</v>
      </c>
      <c r="O329" s="8">
        <f t="shared" si="13"/>
        <v>0</v>
      </c>
    </row>
    <row r="330" spans="1:15" x14ac:dyDescent="0.3">
      <c r="A330" s="11"/>
      <c r="B330" s="5"/>
      <c r="C330" s="12"/>
      <c r="D330" s="13"/>
      <c r="E330" s="13"/>
      <c r="F330" s="5"/>
      <c r="G330" s="14"/>
      <c r="H330" s="15"/>
      <c r="I330" s="12"/>
      <c r="J330" s="5"/>
      <c r="K330" s="5"/>
      <c r="L330" s="8"/>
      <c r="M330" s="8"/>
      <c r="N330" s="8">
        <f>SUMIFS('[1]Finanace - Incentive Data'!BE:BE,'[1]Finanace - Incentive Data'!BS:BS,"Y",'[1]Finanace - Incentive Data'!H:H,$C$315,'[1]Finanace - Incentive Data'!R:R,$B330)</f>
        <v>0</v>
      </c>
      <c r="O330" s="8">
        <f t="shared" si="13"/>
        <v>0</v>
      </c>
    </row>
    <row r="331" spans="1:15" x14ac:dyDescent="0.3">
      <c r="A331" s="11"/>
      <c r="B331" s="5"/>
      <c r="C331" s="12"/>
      <c r="D331" s="13"/>
      <c r="E331" s="13"/>
      <c r="F331" s="5"/>
      <c r="G331" s="14"/>
      <c r="H331" s="15"/>
      <c r="I331" s="12"/>
      <c r="J331" s="5"/>
      <c r="K331" s="5"/>
      <c r="L331" s="8"/>
      <c r="M331" s="8"/>
      <c r="N331" s="8">
        <f>SUMIFS('[1]Finanace - Incentive Data'!BE:BE,'[1]Finanace - Incentive Data'!BS:BS,"Y",'[1]Finanace - Incentive Data'!H:H,$C$315,'[1]Finanace - Incentive Data'!R:R,$B331)</f>
        <v>0</v>
      </c>
      <c r="O331" s="8">
        <f t="shared" si="13"/>
        <v>0</v>
      </c>
    </row>
    <row r="332" spans="1:15" x14ac:dyDescent="0.3">
      <c r="A332" s="11"/>
      <c r="B332" s="5"/>
      <c r="C332" s="12"/>
      <c r="D332" s="13"/>
      <c r="E332" s="13"/>
      <c r="F332" s="5"/>
      <c r="G332" s="14"/>
      <c r="H332" s="15"/>
      <c r="I332" s="12"/>
      <c r="J332" s="5"/>
      <c r="K332" s="5"/>
      <c r="L332" s="8"/>
      <c r="M332" s="8"/>
      <c r="N332" s="8">
        <f>SUMIFS('[1]Finanace - Incentive Data'!BE:BE,'[1]Finanace - Incentive Data'!BS:BS,"Y",'[1]Finanace - Incentive Data'!H:H,$C$315,'[1]Finanace - Incentive Data'!R:R,$B332)</f>
        <v>0</v>
      </c>
      <c r="O332" s="8">
        <f t="shared" si="13"/>
        <v>0</v>
      </c>
    </row>
    <row r="333" spans="1:15" x14ac:dyDescent="0.3">
      <c r="A333" s="11"/>
      <c r="B333" s="5"/>
      <c r="C333" s="12"/>
      <c r="D333" s="13"/>
      <c r="E333" s="13"/>
      <c r="F333" s="5"/>
      <c r="G333" s="14"/>
      <c r="H333" s="15"/>
      <c r="I333" s="12"/>
      <c r="J333" s="5"/>
      <c r="K333" s="5"/>
      <c r="L333" s="8"/>
      <c r="M333" s="8"/>
      <c r="N333" s="8">
        <f>SUMIFS('[1]Finanace - Incentive Data'!BE:BE,'[1]Finanace - Incentive Data'!BS:BS,"Y",'[1]Finanace - Incentive Data'!H:H,$C$315,'[1]Finanace - Incentive Data'!R:R,$B333)</f>
        <v>0</v>
      </c>
      <c r="O333" s="8">
        <f t="shared" si="13"/>
        <v>0</v>
      </c>
    </row>
    <row r="334" spans="1:15" x14ac:dyDescent="0.3">
      <c r="A334" s="11"/>
      <c r="B334" s="5"/>
      <c r="C334" s="12"/>
      <c r="D334" s="13"/>
      <c r="E334" s="13"/>
      <c r="F334" s="5"/>
      <c r="G334" s="14"/>
      <c r="H334" s="15"/>
      <c r="I334" s="12"/>
      <c r="J334" s="5"/>
      <c r="K334" s="5"/>
      <c r="L334" s="8"/>
      <c r="M334" s="8"/>
      <c r="N334" s="8">
        <f>SUMIFS('[1]Finanace - Incentive Data'!BE:BE,'[1]Finanace - Incentive Data'!BS:BS,"Y",'[1]Finanace - Incentive Data'!H:H,$C$315,'[1]Finanace - Incentive Data'!R:R,$B334)</f>
        <v>0</v>
      </c>
      <c r="O334" s="8">
        <f t="shared" si="13"/>
        <v>0</v>
      </c>
    </row>
    <row r="335" spans="1:15" x14ac:dyDescent="0.3">
      <c r="A335" s="11"/>
      <c r="B335" s="5"/>
      <c r="C335" s="12"/>
      <c r="D335" s="13"/>
      <c r="E335" s="13"/>
      <c r="F335" s="5"/>
      <c r="G335" s="14"/>
      <c r="H335" s="15"/>
      <c r="I335" s="12"/>
      <c r="J335" s="5"/>
      <c r="K335" s="5"/>
      <c r="L335" s="8"/>
      <c r="M335" s="8"/>
      <c r="N335" s="8">
        <f>SUMIFS('[1]Finanace - Incentive Data'!BE:BE,'[1]Finanace - Incentive Data'!BS:BS,"Y",'[1]Finanace - Incentive Data'!H:H,$C$315,'[1]Finanace - Incentive Data'!R:R,$B335)</f>
        <v>0</v>
      </c>
      <c r="O335" s="8">
        <f t="shared" si="13"/>
        <v>0</v>
      </c>
    </row>
    <row r="338" spans="1:15" ht="43.2" x14ac:dyDescent="0.3">
      <c r="A338" s="1" t="s">
        <v>0</v>
      </c>
      <c r="B338" s="1" t="s">
        <v>1</v>
      </c>
      <c r="C338" s="1" t="s">
        <v>2</v>
      </c>
      <c r="D338" s="1" t="s">
        <v>3</v>
      </c>
      <c r="E338" s="1" t="s">
        <v>4</v>
      </c>
      <c r="F338" s="1" t="s">
        <v>5</v>
      </c>
      <c r="G338" s="1" t="s">
        <v>6</v>
      </c>
      <c r="H338" s="1" t="s">
        <v>7</v>
      </c>
      <c r="I338" s="1" t="s">
        <v>8</v>
      </c>
      <c r="J338" s="1" t="s">
        <v>9</v>
      </c>
      <c r="K338" s="2" t="s">
        <v>10</v>
      </c>
      <c r="L338" s="2" t="s">
        <v>11</v>
      </c>
      <c r="M338" s="3"/>
      <c r="N338" s="3"/>
    </row>
    <row r="339" spans="1:15" x14ac:dyDescent="0.3">
      <c r="A339" s="5" t="s">
        <v>12</v>
      </c>
      <c r="B339" s="4" t="str">
        <f>_xlfn.XLOOKUP($C339,'[1]Basic EMP Data - 2026'!$D$3:$D$224,'[1]Basic EMP Data - 2026'!$C$3:$C$224)</f>
        <v>VB1125</v>
      </c>
      <c r="C339" s="6" t="s">
        <v>30</v>
      </c>
      <c r="D339" s="5" t="str">
        <f>VLOOKUP($B339,'[1]Basic EMP Data - 2026'!$C$3:$F$224,3,0)</f>
        <v>Rohit Gupta</v>
      </c>
      <c r="E339" s="5">
        <f>VLOOKUP($B339,'[1]Basic EMP Data - 2026'!$C$3:$I$224,5,0)</f>
        <v>7</v>
      </c>
      <c r="F339" s="5">
        <f>VLOOKUP($B339,'[1]Basic EMP Data - 2026'!$C$3:$I$224,6,0)</f>
        <v>0</v>
      </c>
      <c r="G339" s="7">
        <f>F339/E339</f>
        <v>0</v>
      </c>
      <c r="H339" s="8">
        <f>SUM(L341:L359)</f>
        <v>0</v>
      </c>
      <c r="I339" s="9" cm="1">
        <f t="array" ref="I339">_xlfn.IFS($G339&lt;=34%,0%,$G339&lt;=75%,3%,$G339&lt;=120%,4%,$G339&gt;120%,5%)</f>
        <v>0</v>
      </c>
      <c r="J339" s="8" cm="1">
        <f t="array" ref="J339">SUMPRODUCT((C341:C359=2026)*M341:M359*2)</f>
        <v>0</v>
      </c>
      <c r="K339" s="5">
        <f>SUM(N341:N359)</f>
        <v>0</v>
      </c>
      <c r="L339" s="8">
        <f>J339-K339</f>
        <v>0</v>
      </c>
      <c r="M339" s="3"/>
      <c r="N339" s="3"/>
    </row>
    <row r="340" spans="1:15" ht="43.2" x14ac:dyDescent="0.3">
      <c r="A340" s="10" t="s">
        <v>2</v>
      </c>
      <c r="B340" s="10" t="s">
        <v>14</v>
      </c>
      <c r="C340" s="10" t="s">
        <v>15</v>
      </c>
      <c r="D340" s="10" t="s">
        <v>16</v>
      </c>
      <c r="E340" s="10" t="s">
        <v>17</v>
      </c>
      <c r="F340" s="10" t="s">
        <v>18</v>
      </c>
      <c r="G340" s="10" t="s">
        <v>19</v>
      </c>
      <c r="H340" s="10" t="s">
        <v>20</v>
      </c>
      <c r="I340" s="10" t="s">
        <v>21</v>
      </c>
      <c r="J340" s="10" t="s">
        <v>22</v>
      </c>
      <c r="K340" s="10" t="s">
        <v>23</v>
      </c>
      <c r="L340" s="10" t="s">
        <v>24</v>
      </c>
      <c r="M340" s="10" t="s">
        <v>25</v>
      </c>
      <c r="N340" s="10" t="s">
        <v>26</v>
      </c>
      <c r="O340" s="10" t="s">
        <v>27</v>
      </c>
    </row>
    <row r="341" spans="1:15" x14ac:dyDescent="0.3">
      <c r="A341" s="11" t="str">
        <f>C339</f>
        <v>Mohd Danish</v>
      </c>
      <c r="B341" s="5" t="e" cm="1" vm="1">
        <f t="array" ref="B341">_xlfn.LET(
  _xlpm.data, _xlfn._xlws.FILTER('[1]Finanace - Incentive Data'!A:CA, '[1]Finanace - Incentive Data'!H:H=$C339),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341" s="12"/>
      <c r="D341" s="13"/>
      <c r="E341" s="13"/>
      <c r="F341" s="5"/>
      <c r="G341" s="14"/>
      <c r="H341" s="15"/>
      <c r="I341" s="12"/>
      <c r="J341" s="5"/>
      <c r="K341" s="5"/>
      <c r="L341" s="8"/>
      <c r="M341" s="8"/>
      <c r="N341" s="8">
        <f>SUMIFS('[1]Finanace - Incentive Data'!BE:BE,'[1]Finanace - Incentive Data'!BS:BS,"Y",'[1]Finanace - Incentive Data'!H:H,$C$339,'[1]Finanace - Incentive Data'!R:R,$B341)</f>
        <v>0</v>
      </c>
      <c r="O341" s="8">
        <f>M341-N341</f>
        <v>0</v>
      </c>
    </row>
    <row r="342" spans="1:15" x14ac:dyDescent="0.3">
      <c r="A342" s="11"/>
      <c r="B342" s="5"/>
      <c r="C342" s="12"/>
      <c r="D342" s="13"/>
      <c r="E342" s="13"/>
      <c r="F342" s="5"/>
      <c r="G342" s="14"/>
      <c r="H342" s="15"/>
      <c r="I342" s="12"/>
      <c r="J342" s="5"/>
      <c r="K342" s="5"/>
      <c r="L342" s="8"/>
      <c r="M342" s="8"/>
      <c r="N342" s="8">
        <f>SUMIFS('[1]Finanace - Incentive Data'!BE:BE,'[1]Finanace - Incentive Data'!BS:BS,"Y",'[1]Finanace - Incentive Data'!H:H,$C$339,'[1]Finanace - Incentive Data'!R:R,$B342)</f>
        <v>0</v>
      </c>
      <c r="O342" s="8">
        <f t="shared" ref="O342:O359" si="14">M342-N342</f>
        <v>0</v>
      </c>
    </row>
    <row r="343" spans="1:15" x14ac:dyDescent="0.3">
      <c r="A343" s="11"/>
      <c r="B343" s="5"/>
      <c r="C343" s="12"/>
      <c r="D343" s="13"/>
      <c r="E343" s="13"/>
      <c r="F343" s="5"/>
      <c r="G343" s="14"/>
      <c r="H343" s="15"/>
      <c r="I343" s="12"/>
      <c r="J343" s="5"/>
      <c r="K343" s="5"/>
      <c r="L343" s="8"/>
      <c r="M343" s="8"/>
      <c r="N343" s="8">
        <f>SUMIFS('[1]Finanace - Incentive Data'!BE:BE,'[1]Finanace - Incentive Data'!BS:BS,"Y",'[1]Finanace - Incentive Data'!H:H,$C$339,'[1]Finanace - Incentive Data'!R:R,$B343)</f>
        <v>0</v>
      </c>
      <c r="O343" s="8">
        <f t="shared" si="14"/>
        <v>0</v>
      </c>
    </row>
    <row r="344" spans="1:15" x14ac:dyDescent="0.3">
      <c r="A344" s="11"/>
      <c r="B344" s="5"/>
      <c r="C344" s="12"/>
      <c r="D344" s="13"/>
      <c r="E344" s="13"/>
      <c r="F344" s="5"/>
      <c r="G344" s="14"/>
      <c r="H344" s="15"/>
      <c r="I344" s="12"/>
      <c r="J344" s="5"/>
      <c r="K344" s="5"/>
      <c r="L344" s="8"/>
      <c r="M344" s="8"/>
      <c r="N344" s="8">
        <f>SUMIFS('[1]Finanace - Incentive Data'!BE:BE,'[1]Finanace - Incentive Data'!BS:BS,"Y",'[1]Finanace - Incentive Data'!H:H,$C$339,'[1]Finanace - Incentive Data'!R:R,$B344)</f>
        <v>0</v>
      </c>
      <c r="O344" s="8">
        <f t="shared" si="14"/>
        <v>0</v>
      </c>
    </row>
    <row r="345" spans="1:15" x14ac:dyDescent="0.3">
      <c r="A345" s="11"/>
      <c r="B345" s="5"/>
      <c r="C345" s="12"/>
      <c r="D345" s="13"/>
      <c r="E345" s="13"/>
      <c r="F345" s="5"/>
      <c r="G345" s="14"/>
      <c r="H345" s="15"/>
      <c r="I345" s="12"/>
      <c r="J345" s="5"/>
      <c r="K345" s="5"/>
      <c r="L345" s="8"/>
      <c r="M345" s="8"/>
      <c r="N345" s="8">
        <f>SUMIFS('[1]Finanace - Incentive Data'!BE:BE,'[1]Finanace - Incentive Data'!BS:BS,"Y",'[1]Finanace - Incentive Data'!H:H,$C$339,'[1]Finanace - Incentive Data'!R:R,$B345)</f>
        <v>0</v>
      </c>
      <c r="O345" s="8">
        <f t="shared" si="14"/>
        <v>0</v>
      </c>
    </row>
    <row r="346" spans="1:15" x14ac:dyDescent="0.3">
      <c r="A346" s="11"/>
      <c r="B346" s="5"/>
      <c r="C346" s="12"/>
      <c r="D346" s="13"/>
      <c r="E346" s="13"/>
      <c r="F346" s="5"/>
      <c r="G346" s="14"/>
      <c r="H346" s="15"/>
      <c r="I346" s="12"/>
      <c r="J346" s="5"/>
      <c r="K346" s="5"/>
      <c r="L346" s="8"/>
      <c r="M346" s="8"/>
      <c r="N346" s="8">
        <f>SUMIFS('[1]Finanace - Incentive Data'!BE:BE,'[1]Finanace - Incentive Data'!BS:BS,"Y",'[1]Finanace - Incentive Data'!H:H,$C$339,'[1]Finanace - Incentive Data'!R:R,$B346)</f>
        <v>0</v>
      </c>
      <c r="O346" s="8">
        <f t="shared" si="14"/>
        <v>0</v>
      </c>
    </row>
    <row r="347" spans="1:15" x14ac:dyDescent="0.3">
      <c r="A347" s="11"/>
      <c r="B347" s="5"/>
      <c r="C347" s="12"/>
      <c r="D347" s="13"/>
      <c r="E347" s="13"/>
      <c r="F347" s="5"/>
      <c r="G347" s="14"/>
      <c r="H347" s="15"/>
      <c r="I347" s="12"/>
      <c r="J347" s="5"/>
      <c r="K347" s="5"/>
      <c r="L347" s="8"/>
      <c r="M347" s="8"/>
      <c r="N347" s="8">
        <f>SUMIFS('[1]Finanace - Incentive Data'!BE:BE,'[1]Finanace - Incentive Data'!BS:BS,"Y",'[1]Finanace - Incentive Data'!H:H,$C$339,'[1]Finanace - Incentive Data'!R:R,$B347)</f>
        <v>0</v>
      </c>
      <c r="O347" s="8">
        <f t="shared" si="14"/>
        <v>0</v>
      </c>
    </row>
    <row r="348" spans="1:15" x14ac:dyDescent="0.3">
      <c r="A348" s="11"/>
      <c r="B348" s="5"/>
      <c r="C348" s="12"/>
      <c r="D348" s="13"/>
      <c r="E348" s="13"/>
      <c r="F348" s="5"/>
      <c r="G348" s="14"/>
      <c r="H348" s="15"/>
      <c r="I348" s="12"/>
      <c r="J348" s="5"/>
      <c r="K348" s="5"/>
      <c r="L348" s="8"/>
      <c r="M348" s="8"/>
      <c r="N348" s="8">
        <f>SUMIFS('[1]Finanace - Incentive Data'!BE:BE,'[1]Finanace - Incentive Data'!BS:BS,"Y",'[1]Finanace - Incentive Data'!H:H,$C$339,'[1]Finanace - Incentive Data'!R:R,$B348)</f>
        <v>0</v>
      </c>
      <c r="O348" s="8">
        <f t="shared" si="14"/>
        <v>0</v>
      </c>
    </row>
    <row r="349" spans="1:15" x14ac:dyDescent="0.3">
      <c r="A349" s="11"/>
      <c r="B349" s="5"/>
      <c r="C349" s="12"/>
      <c r="D349" s="13"/>
      <c r="E349" s="13"/>
      <c r="F349" s="5"/>
      <c r="G349" s="14"/>
      <c r="H349" s="15"/>
      <c r="I349" s="12"/>
      <c r="J349" s="5"/>
      <c r="K349" s="5"/>
      <c r="L349" s="8"/>
      <c r="M349" s="8"/>
      <c r="N349" s="8">
        <f>SUMIFS('[1]Finanace - Incentive Data'!BE:BE,'[1]Finanace - Incentive Data'!BS:BS,"Y",'[1]Finanace - Incentive Data'!H:H,$C$339,'[1]Finanace - Incentive Data'!R:R,$B349)</f>
        <v>0</v>
      </c>
      <c r="O349" s="8">
        <f t="shared" si="14"/>
        <v>0</v>
      </c>
    </row>
    <row r="350" spans="1:15" x14ac:dyDescent="0.3">
      <c r="A350" s="11"/>
      <c r="B350" s="5"/>
      <c r="C350" s="12"/>
      <c r="D350" s="13"/>
      <c r="E350" s="13"/>
      <c r="F350" s="5"/>
      <c r="G350" s="14"/>
      <c r="H350" s="15"/>
      <c r="I350" s="12"/>
      <c r="J350" s="5"/>
      <c r="K350" s="5"/>
      <c r="L350" s="8"/>
      <c r="M350" s="8"/>
      <c r="N350" s="8">
        <f>SUMIFS('[1]Finanace - Incentive Data'!BE:BE,'[1]Finanace - Incentive Data'!BS:BS,"Y",'[1]Finanace - Incentive Data'!H:H,$C$339,'[1]Finanace - Incentive Data'!R:R,$B350)</f>
        <v>0</v>
      </c>
      <c r="O350" s="8">
        <f t="shared" si="14"/>
        <v>0</v>
      </c>
    </row>
    <row r="351" spans="1:15" x14ac:dyDescent="0.3">
      <c r="A351" s="11"/>
      <c r="B351" s="5"/>
      <c r="C351" s="12"/>
      <c r="D351" s="13"/>
      <c r="E351" s="13"/>
      <c r="F351" s="5"/>
      <c r="G351" s="14"/>
      <c r="H351" s="15"/>
      <c r="I351" s="12"/>
      <c r="J351" s="5"/>
      <c r="K351" s="5"/>
      <c r="L351" s="8"/>
      <c r="M351" s="8"/>
      <c r="N351" s="8">
        <f>SUMIFS('[1]Finanace - Incentive Data'!BE:BE,'[1]Finanace - Incentive Data'!BS:BS,"Y",'[1]Finanace - Incentive Data'!H:H,$C$339,'[1]Finanace - Incentive Data'!R:R,$B351)</f>
        <v>0</v>
      </c>
      <c r="O351" s="8">
        <f t="shared" si="14"/>
        <v>0</v>
      </c>
    </row>
    <row r="352" spans="1:15" x14ac:dyDescent="0.3">
      <c r="A352" s="11"/>
      <c r="B352" s="5"/>
      <c r="C352" s="12"/>
      <c r="D352" s="13"/>
      <c r="E352" s="13"/>
      <c r="F352" s="5"/>
      <c r="G352" s="14"/>
      <c r="H352" s="15"/>
      <c r="I352" s="12"/>
      <c r="J352" s="5"/>
      <c r="K352" s="5"/>
      <c r="L352" s="8"/>
      <c r="M352" s="8"/>
      <c r="N352" s="8">
        <f>SUMIFS('[1]Finanace - Incentive Data'!BE:BE,'[1]Finanace - Incentive Data'!BS:BS,"Y",'[1]Finanace - Incentive Data'!H:H,$C$339,'[1]Finanace - Incentive Data'!R:R,$B352)</f>
        <v>0</v>
      </c>
      <c r="O352" s="8">
        <f t="shared" si="14"/>
        <v>0</v>
      </c>
    </row>
    <row r="353" spans="1:15" x14ac:dyDescent="0.3">
      <c r="A353" s="11"/>
      <c r="B353" s="5"/>
      <c r="C353" s="12"/>
      <c r="D353" s="13"/>
      <c r="E353" s="13"/>
      <c r="F353" s="5"/>
      <c r="G353" s="14"/>
      <c r="H353" s="15"/>
      <c r="I353" s="12"/>
      <c r="J353" s="5"/>
      <c r="K353" s="5"/>
      <c r="L353" s="8"/>
      <c r="M353" s="8"/>
      <c r="N353" s="8">
        <f>SUMIFS('[1]Finanace - Incentive Data'!BE:BE,'[1]Finanace - Incentive Data'!BS:BS,"Y",'[1]Finanace - Incentive Data'!H:H,$C$339,'[1]Finanace - Incentive Data'!R:R,$B353)</f>
        <v>0</v>
      </c>
      <c r="O353" s="8">
        <f t="shared" si="14"/>
        <v>0</v>
      </c>
    </row>
    <row r="354" spans="1:15" x14ac:dyDescent="0.3">
      <c r="A354" s="11"/>
      <c r="B354" s="5"/>
      <c r="C354" s="12"/>
      <c r="D354" s="13"/>
      <c r="E354" s="13"/>
      <c r="F354" s="5"/>
      <c r="G354" s="14"/>
      <c r="H354" s="15"/>
      <c r="I354" s="12"/>
      <c r="J354" s="5"/>
      <c r="K354" s="5"/>
      <c r="L354" s="8"/>
      <c r="M354" s="8"/>
      <c r="N354" s="8">
        <f>SUMIFS('[1]Finanace - Incentive Data'!BE:BE,'[1]Finanace - Incentive Data'!BS:BS,"Y",'[1]Finanace - Incentive Data'!H:H,$C$339,'[1]Finanace - Incentive Data'!R:R,$B354)</f>
        <v>0</v>
      </c>
      <c r="O354" s="8">
        <f t="shared" si="14"/>
        <v>0</v>
      </c>
    </row>
    <row r="355" spans="1:15" x14ac:dyDescent="0.3">
      <c r="A355" s="11"/>
      <c r="B355" s="5"/>
      <c r="C355" s="12"/>
      <c r="D355" s="13"/>
      <c r="E355" s="13"/>
      <c r="F355" s="5"/>
      <c r="G355" s="14"/>
      <c r="H355" s="15"/>
      <c r="I355" s="12"/>
      <c r="J355" s="5"/>
      <c r="K355" s="5"/>
      <c r="L355" s="8"/>
      <c r="M355" s="8"/>
      <c r="N355" s="8">
        <f>SUMIFS('[1]Finanace - Incentive Data'!BE:BE,'[1]Finanace - Incentive Data'!BS:BS,"Y",'[1]Finanace - Incentive Data'!H:H,$C$339,'[1]Finanace - Incentive Data'!R:R,$B355)</f>
        <v>0</v>
      </c>
      <c r="O355" s="8">
        <f t="shared" si="14"/>
        <v>0</v>
      </c>
    </row>
    <row r="356" spans="1:15" x14ac:dyDescent="0.3">
      <c r="A356" s="11"/>
      <c r="B356" s="5"/>
      <c r="C356" s="12"/>
      <c r="D356" s="13"/>
      <c r="E356" s="13"/>
      <c r="F356" s="5"/>
      <c r="G356" s="14"/>
      <c r="H356" s="15"/>
      <c r="I356" s="12"/>
      <c r="J356" s="5"/>
      <c r="K356" s="5"/>
      <c r="L356" s="8"/>
      <c r="M356" s="8"/>
      <c r="N356" s="8">
        <f>SUMIFS('[1]Finanace - Incentive Data'!BE:BE,'[1]Finanace - Incentive Data'!BS:BS,"Y",'[1]Finanace - Incentive Data'!H:H,$C$339,'[1]Finanace - Incentive Data'!R:R,$B356)</f>
        <v>0</v>
      </c>
      <c r="O356" s="8">
        <f t="shared" si="14"/>
        <v>0</v>
      </c>
    </row>
    <row r="357" spans="1:15" x14ac:dyDescent="0.3">
      <c r="A357" s="11"/>
      <c r="B357" s="5"/>
      <c r="C357" s="12"/>
      <c r="D357" s="13"/>
      <c r="E357" s="13"/>
      <c r="F357" s="5"/>
      <c r="G357" s="14"/>
      <c r="H357" s="15"/>
      <c r="I357" s="12"/>
      <c r="J357" s="5"/>
      <c r="K357" s="5"/>
      <c r="L357" s="8"/>
      <c r="M357" s="8"/>
      <c r="N357" s="8">
        <f>SUMIFS('[1]Finanace - Incentive Data'!BE:BE,'[1]Finanace - Incentive Data'!BS:BS,"Y",'[1]Finanace - Incentive Data'!H:H,$C$339,'[1]Finanace - Incentive Data'!R:R,$B357)</f>
        <v>0</v>
      </c>
      <c r="O357" s="8">
        <f t="shared" si="14"/>
        <v>0</v>
      </c>
    </row>
    <row r="358" spans="1:15" x14ac:dyDescent="0.3">
      <c r="A358" s="11"/>
      <c r="B358" s="5"/>
      <c r="C358" s="12"/>
      <c r="D358" s="13"/>
      <c r="E358" s="13"/>
      <c r="F358" s="5"/>
      <c r="G358" s="14"/>
      <c r="H358" s="15"/>
      <c r="I358" s="12"/>
      <c r="J358" s="5"/>
      <c r="K358" s="5"/>
      <c r="L358" s="8"/>
      <c r="M358" s="8"/>
      <c r="N358" s="8">
        <f>SUMIFS('[1]Finanace - Incentive Data'!BE:BE,'[1]Finanace - Incentive Data'!BS:BS,"Y",'[1]Finanace - Incentive Data'!H:H,$C$339,'[1]Finanace - Incentive Data'!R:R,$B358)</f>
        <v>0</v>
      </c>
      <c r="O358" s="8">
        <f t="shared" si="14"/>
        <v>0</v>
      </c>
    </row>
    <row r="359" spans="1:15" x14ac:dyDescent="0.3">
      <c r="A359" s="11"/>
      <c r="B359" s="5"/>
      <c r="C359" s="12"/>
      <c r="D359" s="13"/>
      <c r="E359" s="13"/>
      <c r="F359" s="5"/>
      <c r="G359" s="14"/>
      <c r="H359" s="15"/>
      <c r="I359" s="12"/>
      <c r="J359" s="5"/>
      <c r="K359" s="5"/>
      <c r="L359" s="8"/>
      <c r="M359" s="8"/>
      <c r="N359" s="8">
        <f>SUMIFS('[1]Finanace - Incentive Data'!BE:BE,'[1]Finanace - Incentive Data'!BS:BS,"Y",'[1]Finanace - Incentive Data'!H:H,$C$339,'[1]Finanace - Incentive Data'!R:R,$B359)</f>
        <v>0</v>
      </c>
      <c r="O359" s="8">
        <f t="shared" si="14"/>
        <v>0</v>
      </c>
    </row>
    <row r="362" spans="1:15" ht="43.2" x14ac:dyDescent="0.3">
      <c r="A362" s="1" t="s">
        <v>0</v>
      </c>
      <c r="B362" s="1" t="s">
        <v>1</v>
      </c>
      <c r="C362" s="1" t="s">
        <v>2</v>
      </c>
      <c r="D362" s="1" t="s">
        <v>3</v>
      </c>
      <c r="E362" s="1" t="s">
        <v>4</v>
      </c>
      <c r="F362" s="1" t="s">
        <v>5</v>
      </c>
      <c r="G362" s="1" t="s">
        <v>6</v>
      </c>
      <c r="H362" s="1" t="s">
        <v>7</v>
      </c>
      <c r="I362" s="1" t="s">
        <v>8</v>
      </c>
      <c r="J362" s="1" t="s">
        <v>9</v>
      </c>
      <c r="K362" s="2" t="s">
        <v>10</v>
      </c>
      <c r="L362" s="2" t="s">
        <v>11</v>
      </c>
      <c r="M362" s="3"/>
      <c r="N362" s="3"/>
    </row>
    <row r="363" spans="1:15" x14ac:dyDescent="0.3">
      <c r="A363" s="5" t="s">
        <v>12</v>
      </c>
      <c r="B363" s="4" t="str">
        <f>_xlfn.XLOOKUP($C363,'[1]Basic EMP Data - 2026'!$D$3:$D$224,'[1]Basic EMP Data - 2026'!$C$3:$C$224)</f>
        <v>VB2359</v>
      </c>
      <c r="C363" s="6" t="s">
        <v>40</v>
      </c>
      <c r="D363" s="5" t="str">
        <f>VLOOKUP($B363,'[1]Basic EMP Data - 2026'!$C$3:$F$224,3,0)</f>
        <v>Abhishek Yadav</v>
      </c>
      <c r="E363" s="5">
        <f>VLOOKUP($B363,'[1]Basic EMP Data - 2026'!$C$3:$I$224,5,0)</f>
        <v>6</v>
      </c>
      <c r="F363" s="5">
        <f>VLOOKUP($B363,'[1]Basic EMP Data - 2026'!$C$3:$I$224,6,0)</f>
        <v>0</v>
      </c>
      <c r="G363" s="7">
        <f>F363/E363</f>
        <v>0</v>
      </c>
      <c r="H363" s="8">
        <f>SUM(L365:L383)</f>
        <v>0</v>
      </c>
      <c r="I363" s="9" cm="1">
        <f t="array" ref="I363">_xlfn.IFS($G363&lt;=34%,0%,$G363&lt;=75%,3%,$G363&lt;=120%,4%,$G363&gt;120%,5%)</f>
        <v>0</v>
      </c>
      <c r="J363" s="8" cm="1">
        <f t="array" ref="J363">SUMPRODUCT((C365:C383=2026)*M365:M383*2)</f>
        <v>0</v>
      </c>
      <c r="K363" s="5">
        <f>SUM(N365:N383)</f>
        <v>0</v>
      </c>
      <c r="L363" s="8">
        <f>J363-K363</f>
        <v>0</v>
      </c>
      <c r="M363" s="3"/>
      <c r="N363" s="3"/>
    </row>
    <row r="364" spans="1:15" ht="43.2" x14ac:dyDescent="0.3">
      <c r="A364" s="10" t="s">
        <v>2</v>
      </c>
      <c r="B364" s="10" t="s">
        <v>14</v>
      </c>
      <c r="C364" s="10" t="s">
        <v>15</v>
      </c>
      <c r="D364" s="10" t="s">
        <v>16</v>
      </c>
      <c r="E364" s="10" t="s">
        <v>17</v>
      </c>
      <c r="F364" s="10" t="s">
        <v>18</v>
      </c>
      <c r="G364" s="10" t="s">
        <v>19</v>
      </c>
      <c r="H364" s="10" t="s">
        <v>20</v>
      </c>
      <c r="I364" s="10" t="s">
        <v>21</v>
      </c>
      <c r="J364" s="10" t="s">
        <v>22</v>
      </c>
      <c r="K364" s="10" t="s">
        <v>23</v>
      </c>
      <c r="L364" s="10" t="s">
        <v>24</v>
      </c>
      <c r="M364" s="10" t="s">
        <v>25</v>
      </c>
      <c r="N364" s="10" t="s">
        <v>26</v>
      </c>
      <c r="O364" s="10" t="s">
        <v>27</v>
      </c>
    </row>
    <row r="365" spans="1:15" x14ac:dyDescent="0.3">
      <c r="A365" s="11" t="str">
        <f>C363</f>
        <v>Shubham Singh</v>
      </c>
      <c r="B365" s="5" t="e" cm="1" vm="1">
        <f t="array" ref="B365">_xlfn.LET(
  _xlpm.data, _xlfn._xlws.FILTER('[1]Finanace - Incentive Data'!A:CA, '[1]Finanace - Incentive Data'!H:H=$C363),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365" s="12"/>
      <c r="D365" s="13"/>
      <c r="E365" s="13"/>
      <c r="F365" s="5"/>
      <c r="G365" s="14"/>
      <c r="H365" s="15"/>
      <c r="I365" s="12"/>
      <c r="J365" s="5"/>
      <c r="K365" s="5"/>
      <c r="L365" s="8"/>
      <c r="M365" s="8"/>
      <c r="N365" s="8">
        <f>SUMIFS('[1]Finanace - Incentive Data'!BE:BE,'[1]Finanace - Incentive Data'!BS:BS,"Y",'[1]Finanace - Incentive Data'!H:H,$C$363,'[1]Finanace - Incentive Data'!R:R,$B365)</f>
        <v>0</v>
      </c>
      <c r="O365" s="8">
        <f>M365-N365</f>
        <v>0</v>
      </c>
    </row>
    <row r="366" spans="1:15" x14ac:dyDescent="0.3">
      <c r="A366" s="11"/>
      <c r="B366" s="5"/>
      <c r="C366" s="12"/>
      <c r="D366" s="13"/>
      <c r="E366" s="13"/>
      <c r="F366" s="5"/>
      <c r="G366" s="14"/>
      <c r="H366" s="15"/>
      <c r="I366" s="12"/>
      <c r="J366" s="5"/>
      <c r="K366" s="5"/>
      <c r="L366" s="8"/>
      <c r="M366" s="8"/>
      <c r="N366" s="8">
        <f>SUMIFS('[1]Finanace - Incentive Data'!BE:BE,'[1]Finanace - Incentive Data'!BS:BS,"Y",'[1]Finanace - Incentive Data'!H:H,$C$363,'[1]Finanace - Incentive Data'!R:R,$B366)</f>
        <v>0</v>
      </c>
      <c r="O366" s="8">
        <f>M366-N366</f>
        <v>0</v>
      </c>
    </row>
    <row r="367" spans="1:15" x14ac:dyDescent="0.3">
      <c r="A367" s="11"/>
      <c r="B367" s="5"/>
      <c r="C367" s="12"/>
      <c r="D367" s="13"/>
      <c r="E367" s="13"/>
      <c r="F367" s="5"/>
      <c r="G367" s="14"/>
      <c r="H367" s="15"/>
      <c r="I367" s="12"/>
      <c r="J367" s="5"/>
      <c r="K367" s="5"/>
      <c r="L367" s="8"/>
      <c r="M367" s="8"/>
      <c r="N367" s="8">
        <f>SUMIFS('[1]Finanace - Incentive Data'!BE:BE,'[1]Finanace - Incentive Data'!BS:BS,"Y",'[1]Finanace - Incentive Data'!H:H,$C$363,'[1]Finanace - Incentive Data'!R:R,$B367)</f>
        <v>0</v>
      </c>
      <c r="O367" s="8">
        <f t="shared" ref="O367:O383" si="15">M367-N367</f>
        <v>0</v>
      </c>
    </row>
    <row r="368" spans="1:15" x14ac:dyDescent="0.3">
      <c r="A368" s="11"/>
      <c r="B368" s="5"/>
      <c r="C368" s="12"/>
      <c r="D368" s="13"/>
      <c r="E368" s="13"/>
      <c r="F368" s="5"/>
      <c r="G368" s="14"/>
      <c r="H368" s="15"/>
      <c r="I368" s="12"/>
      <c r="J368" s="5"/>
      <c r="K368" s="5"/>
      <c r="L368" s="8"/>
      <c r="M368" s="8"/>
      <c r="N368" s="8">
        <f>SUMIFS('[1]Finanace - Incentive Data'!BE:BE,'[1]Finanace - Incentive Data'!BS:BS,"Y",'[1]Finanace - Incentive Data'!H:H,$C$363,'[1]Finanace - Incentive Data'!R:R,$B368)</f>
        <v>0</v>
      </c>
      <c r="O368" s="8">
        <f t="shared" si="15"/>
        <v>0</v>
      </c>
    </row>
    <row r="369" spans="1:15" x14ac:dyDescent="0.3">
      <c r="A369" s="11"/>
      <c r="B369" s="5"/>
      <c r="C369" s="12"/>
      <c r="D369" s="13"/>
      <c r="E369" s="13"/>
      <c r="F369" s="5"/>
      <c r="G369" s="14"/>
      <c r="H369" s="15"/>
      <c r="I369" s="12"/>
      <c r="J369" s="5"/>
      <c r="K369" s="5"/>
      <c r="L369" s="8"/>
      <c r="M369" s="8"/>
      <c r="N369" s="8">
        <f>SUMIFS('[1]Finanace - Incentive Data'!BE:BE,'[1]Finanace - Incentive Data'!BS:BS,"Y",'[1]Finanace - Incentive Data'!H:H,$C$363,'[1]Finanace - Incentive Data'!R:R,$B369)</f>
        <v>0</v>
      </c>
      <c r="O369" s="8">
        <f t="shared" si="15"/>
        <v>0</v>
      </c>
    </row>
    <row r="370" spans="1:15" x14ac:dyDescent="0.3">
      <c r="A370" s="11"/>
      <c r="B370" s="5"/>
      <c r="C370" s="12"/>
      <c r="D370" s="13"/>
      <c r="E370" s="13"/>
      <c r="F370" s="5"/>
      <c r="G370" s="14"/>
      <c r="H370" s="15"/>
      <c r="I370" s="12"/>
      <c r="J370" s="5"/>
      <c r="K370" s="5"/>
      <c r="L370" s="8"/>
      <c r="M370" s="8"/>
      <c r="N370" s="8">
        <f>SUMIFS('[1]Finanace - Incentive Data'!BE:BE,'[1]Finanace - Incentive Data'!BS:BS,"Y",'[1]Finanace - Incentive Data'!H:H,$C$363,'[1]Finanace - Incentive Data'!R:R,$B370)</f>
        <v>0</v>
      </c>
      <c r="O370" s="8">
        <f t="shared" si="15"/>
        <v>0</v>
      </c>
    </row>
    <row r="371" spans="1:15" x14ac:dyDescent="0.3">
      <c r="A371" s="11"/>
      <c r="B371" s="5"/>
      <c r="C371" s="12"/>
      <c r="D371" s="13"/>
      <c r="E371" s="13"/>
      <c r="F371" s="5"/>
      <c r="G371" s="14"/>
      <c r="H371" s="15"/>
      <c r="I371" s="12"/>
      <c r="J371" s="5"/>
      <c r="K371" s="5"/>
      <c r="L371" s="8"/>
      <c r="M371" s="8"/>
      <c r="N371" s="8">
        <f>SUMIFS('[1]Finanace - Incentive Data'!BE:BE,'[1]Finanace - Incentive Data'!BS:BS,"Y",'[1]Finanace - Incentive Data'!H:H,$C$363,'[1]Finanace - Incentive Data'!R:R,$B371)</f>
        <v>0</v>
      </c>
      <c r="O371" s="8">
        <f t="shared" si="15"/>
        <v>0</v>
      </c>
    </row>
    <row r="372" spans="1:15" x14ac:dyDescent="0.3">
      <c r="A372" s="11"/>
      <c r="B372" s="5"/>
      <c r="C372" s="12"/>
      <c r="D372" s="13"/>
      <c r="E372" s="13"/>
      <c r="F372" s="5"/>
      <c r="G372" s="14"/>
      <c r="H372" s="15"/>
      <c r="I372" s="12"/>
      <c r="J372" s="5"/>
      <c r="K372" s="5"/>
      <c r="L372" s="8"/>
      <c r="M372" s="8"/>
      <c r="N372" s="8">
        <f>SUMIFS('[1]Finanace - Incentive Data'!BE:BE,'[1]Finanace - Incentive Data'!BS:BS,"Y",'[1]Finanace - Incentive Data'!H:H,$C$363,'[1]Finanace - Incentive Data'!R:R,$B372)</f>
        <v>0</v>
      </c>
      <c r="O372" s="8">
        <f t="shared" si="15"/>
        <v>0</v>
      </c>
    </row>
    <row r="373" spans="1:15" x14ac:dyDescent="0.3">
      <c r="A373" s="11"/>
      <c r="B373" s="5"/>
      <c r="C373" s="12"/>
      <c r="D373" s="13"/>
      <c r="E373" s="13"/>
      <c r="F373" s="5"/>
      <c r="G373" s="14"/>
      <c r="H373" s="15"/>
      <c r="I373" s="12"/>
      <c r="J373" s="5"/>
      <c r="K373" s="5"/>
      <c r="L373" s="8"/>
      <c r="M373" s="8"/>
      <c r="N373" s="8">
        <f>SUMIFS('[1]Finanace - Incentive Data'!BE:BE,'[1]Finanace - Incentive Data'!BS:BS,"Y",'[1]Finanace - Incentive Data'!H:H,$C$363,'[1]Finanace - Incentive Data'!R:R,$B373)</f>
        <v>0</v>
      </c>
      <c r="O373" s="8">
        <f t="shared" si="15"/>
        <v>0</v>
      </c>
    </row>
    <row r="374" spans="1:15" x14ac:dyDescent="0.3">
      <c r="A374" s="11"/>
      <c r="B374" s="5"/>
      <c r="C374" s="12"/>
      <c r="D374" s="13"/>
      <c r="E374" s="13"/>
      <c r="F374" s="5"/>
      <c r="G374" s="14"/>
      <c r="H374" s="15"/>
      <c r="I374" s="12"/>
      <c r="J374" s="5"/>
      <c r="K374" s="5"/>
      <c r="L374" s="8"/>
      <c r="M374" s="8"/>
      <c r="N374" s="8">
        <f>SUMIFS('[1]Finanace - Incentive Data'!BE:BE,'[1]Finanace - Incentive Data'!BS:BS,"Y",'[1]Finanace - Incentive Data'!H:H,$C$363,'[1]Finanace - Incentive Data'!R:R,$B374)</f>
        <v>0</v>
      </c>
      <c r="O374" s="8">
        <f t="shared" si="15"/>
        <v>0</v>
      </c>
    </row>
    <row r="375" spans="1:15" x14ac:dyDescent="0.3">
      <c r="A375" s="11"/>
      <c r="B375" s="5"/>
      <c r="C375" s="12"/>
      <c r="D375" s="13"/>
      <c r="E375" s="13"/>
      <c r="F375" s="5"/>
      <c r="G375" s="14"/>
      <c r="H375" s="15"/>
      <c r="I375" s="12"/>
      <c r="J375" s="5"/>
      <c r="K375" s="5"/>
      <c r="L375" s="8"/>
      <c r="M375" s="8"/>
      <c r="N375" s="8">
        <f>SUMIFS('[1]Finanace - Incentive Data'!BE:BE,'[1]Finanace - Incentive Data'!BS:BS,"Y",'[1]Finanace - Incentive Data'!H:H,$C$363,'[1]Finanace - Incentive Data'!R:R,$B375)</f>
        <v>0</v>
      </c>
      <c r="O375" s="8">
        <f t="shared" si="15"/>
        <v>0</v>
      </c>
    </row>
    <row r="376" spans="1:15" x14ac:dyDescent="0.3">
      <c r="A376" s="11"/>
      <c r="B376" s="5"/>
      <c r="C376" s="12"/>
      <c r="D376" s="13"/>
      <c r="E376" s="13"/>
      <c r="F376" s="5"/>
      <c r="G376" s="14"/>
      <c r="H376" s="15"/>
      <c r="I376" s="12"/>
      <c r="J376" s="5"/>
      <c r="K376" s="5"/>
      <c r="L376" s="8"/>
      <c r="M376" s="8"/>
      <c r="N376" s="8">
        <f>SUMIFS('[1]Finanace - Incentive Data'!BE:BE,'[1]Finanace - Incentive Data'!BS:BS,"Y",'[1]Finanace - Incentive Data'!H:H,$C$363,'[1]Finanace - Incentive Data'!R:R,$B376)</f>
        <v>0</v>
      </c>
      <c r="O376" s="8">
        <f t="shared" si="15"/>
        <v>0</v>
      </c>
    </row>
    <row r="377" spans="1:15" x14ac:dyDescent="0.3">
      <c r="A377" s="11"/>
      <c r="B377" s="5"/>
      <c r="C377" s="12"/>
      <c r="D377" s="13"/>
      <c r="E377" s="13"/>
      <c r="F377" s="5"/>
      <c r="G377" s="14"/>
      <c r="H377" s="15"/>
      <c r="I377" s="12"/>
      <c r="J377" s="5"/>
      <c r="K377" s="5"/>
      <c r="L377" s="8"/>
      <c r="M377" s="8"/>
      <c r="N377" s="8">
        <f>SUMIFS('[1]Finanace - Incentive Data'!BE:BE,'[1]Finanace - Incentive Data'!BS:BS,"Y",'[1]Finanace - Incentive Data'!H:H,$C$363,'[1]Finanace - Incentive Data'!R:R,$B377)</f>
        <v>0</v>
      </c>
      <c r="O377" s="8">
        <f t="shared" si="15"/>
        <v>0</v>
      </c>
    </row>
    <row r="378" spans="1:15" x14ac:dyDescent="0.3">
      <c r="A378" s="11"/>
      <c r="B378" s="5"/>
      <c r="C378" s="12"/>
      <c r="D378" s="13"/>
      <c r="E378" s="13"/>
      <c r="F378" s="5"/>
      <c r="G378" s="14"/>
      <c r="H378" s="15"/>
      <c r="I378" s="12"/>
      <c r="J378" s="5"/>
      <c r="K378" s="5"/>
      <c r="L378" s="8"/>
      <c r="M378" s="8"/>
      <c r="N378" s="8">
        <f>SUMIFS('[1]Finanace - Incentive Data'!BE:BE,'[1]Finanace - Incentive Data'!BS:BS,"Y",'[1]Finanace - Incentive Data'!H:H,$C$363,'[1]Finanace - Incentive Data'!R:R,$B378)</f>
        <v>0</v>
      </c>
      <c r="O378" s="8">
        <f t="shared" si="15"/>
        <v>0</v>
      </c>
    </row>
    <row r="379" spans="1:15" x14ac:dyDescent="0.3">
      <c r="A379" s="11"/>
      <c r="B379" s="5"/>
      <c r="C379" s="12"/>
      <c r="D379" s="13"/>
      <c r="E379" s="13"/>
      <c r="F379" s="5"/>
      <c r="G379" s="14"/>
      <c r="H379" s="15"/>
      <c r="I379" s="12"/>
      <c r="J379" s="5"/>
      <c r="K379" s="5"/>
      <c r="L379" s="8"/>
      <c r="M379" s="8"/>
      <c r="N379" s="8">
        <f>SUMIFS('[1]Finanace - Incentive Data'!BE:BE,'[1]Finanace - Incentive Data'!BS:BS,"Y",'[1]Finanace - Incentive Data'!H:H,$C$363,'[1]Finanace - Incentive Data'!R:R,$B379)</f>
        <v>0</v>
      </c>
      <c r="O379" s="8">
        <f t="shared" si="15"/>
        <v>0</v>
      </c>
    </row>
    <row r="380" spans="1:15" x14ac:dyDescent="0.3">
      <c r="A380" s="11"/>
      <c r="B380" s="5"/>
      <c r="C380" s="12"/>
      <c r="D380" s="13"/>
      <c r="E380" s="13"/>
      <c r="F380" s="5"/>
      <c r="G380" s="14"/>
      <c r="H380" s="15"/>
      <c r="I380" s="12"/>
      <c r="J380" s="5"/>
      <c r="K380" s="5"/>
      <c r="L380" s="8"/>
      <c r="M380" s="8"/>
      <c r="N380" s="8">
        <f>SUMIFS('[1]Finanace - Incentive Data'!BE:BE,'[1]Finanace - Incentive Data'!BS:BS,"Y",'[1]Finanace - Incentive Data'!H:H,$C$363,'[1]Finanace - Incentive Data'!R:R,$B380)</f>
        <v>0</v>
      </c>
      <c r="O380" s="8">
        <f t="shared" si="15"/>
        <v>0</v>
      </c>
    </row>
    <row r="381" spans="1:15" x14ac:dyDescent="0.3">
      <c r="A381" s="11"/>
      <c r="B381" s="5"/>
      <c r="C381" s="12"/>
      <c r="D381" s="13"/>
      <c r="E381" s="13"/>
      <c r="F381" s="5"/>
      <c r="G381" s="14"/>
      <c r="H381" s="15"/>
      <c r="I381" s="12"/>
      <c r="J381" s="5"/>
      <c r="K381" s="5"/>
      <c r="L381" s="8"/>
      <c r="M381" s="8"/>
      <c r="N381" s="8">
        <f>SUMIFS('[1]Finanace - Incentive Data'!BE:BE,'[1]Finanace - Incentive Data'!BS:BS,"Y",'[1]Finanace - Incentive Data'!H:H,$C$363,'[1]Finanace - Incentive Data'!R:R,$B381)</f>
        <v>0</v>
      </c>
      <c r="O381" s="8">
        <f t="shared" si="15"/>
        <v>0</v>
      </c>
    </row>
    <row r="382" spans="1:15" x14ac:dyDescent="0.3">
      <c r="A382" s="11"/>
      <c r="B382" s="5"/>
      <c r="C382" s="12"/>
      <c r="D382" s="13"/>
      <c r="E382" s="13"/>
      <c r="F382" s="5"/>
      <c r="G382" s="14"/>
      <c r="H382" s="15"/>
      <c r="I382" s="12"/>
      <c r="J382" s="5"/>
      <c r="K382" s="5"/>
      <c r="L382" s="8"/>
      <c r="M382" s="8"/>
      <c r="N382" s="8">
        <f>SUMIFS('[1]Finanace - Incentive Data'!BE:BE,'[1]Finanace - Incentive Data'!BS:BS,"Y",'[1]Finanace - Incentive Data'!H:H,$C$363,'[1]Finanace - Incentive Data'!R:R,$B382)</f>
        <v>0</v>
      </c>
      <c r="O382" s="8">
        <f t="shared" si="15"/>
        <v>0</v>
      </c>
    </row>
    <row r="383" spans="1:15" x14ac:dyDescent="0.3">
      <c r="A383" s="11"/>
      <c r="B383" s="5"/>
      <c r="C383" s="12"/>
      <c r="D383" s="13"/>
      <c r="E383" s="13"/>
      <c r="F383" s="5"/>
      <c r="G383" s="14"/>
      <c r="H383" s="15"/>
      <c r="I383" s="12"/>
      <c r="J383" s="5"/>
      <c r="K383" s="5"/>
      <c r="L383" s="8"/>
      <c r="M383" s="8"/>
      <c r="N383" s="8">
        <f>SUMIFS('[1]Finanace - Incentive Data'!BE:BE,'[1]Finanace - Incentive Data'!BS:BS,"Y",'[1]Finanace - Incentive Data'!H:H,$C$363,'[1]Finanace - Incentive Data'!R:R,$B383)</f>
        <v>0</v>
      </c>
      <c r="O383" s="8">
        <f t="shared" si="15"/>
        <v>0</v>
      </c>
    </row>
    <row r="386" spans="1:15" ht="43.2" x14ac:dyDescent="0.3">
      <c r="A386" s="1" t="s">
        <v>0</v>
      </c>
      <c r="B386" s="1" t="s">
        <v>1</v>
      </c>
      <c r="C386" s="1" t="s">
        <v>2</v>
      </c>
      <c r="D386" s="1" t="s">
        <v>3</v>
      </c>
      <c r="E386" s="1" t="s">
        <v>4</v>
      </c>
      <c r="F386" s="1" t="s">
        <v>5</v>
      </c>
      <c r="G386" s="1" t="s">
        <v>6</v>
      </c>
      <c r="H386" s="1" t="s">
        <v>7</v>
      </c>
      <c r="I386" s="1" t="s">
        <v>8</v>
      </c>
      <c r="J386" s="1" t="s">
        <v>9</v>
      </c>
      <c r="K386" s="2" t="s">
        <v>10</v>
      </c>
      <c r="L386" s="2" t="s">
        <v>11</v>
      </c>
      <c r="M386" s="3"/>
      <c r="N386" s="3"/>
    </row>
    <row r="387" spans="1:15" x14ac:dyDescent="0.3">
      <c r="A387" s="5" t="s">
        <v>12</v>
      </c>
      <c r="B387" s="4" t="str">
        <f>_xlfn.XLOOKUP($C387,'[1]Basic EMP Data - 2026'!$D$3:$D$224,'[1]Basic EMP Data - 2026'!$C$3:$C$224)</f>
        <v>VB1697</v>
      </c>
      <c r="C387" s="6" t="s">
        <v>41</v>
      </c>
      <c r="D387" s="5" t="str">
        <f>VLOOKUP($B387,'[1]Basic EMP Data - 2026'!$C$3:$F$224,3,0)</f>
        <v>Kashif Nabi</v>
      </c>
      <c r="E387" s="5">
        <f>VLOOKUP($B387,'[1]Basic EMP Data - 2026'!$C$3:$I$224,5,0)</f>
        <v>7</v>
      </c>
      <c r="F387" s="5">
        <f>VLOOKUP($B387,'[1]Basic EMP Data - 2026'!$C$3:$I$224,6,0)</f>
        <v>1</v>
      </c>
      <c r="G387" s="7">
        <f>F387/E387</f>
        <v>0.14285714285714285</v>
      </c>
      <c r="H387" s="8">
        <f>SUM(L389:L407)</f>
        <v>3777.8049599999949</v>
      </c>
      <c r="I387" s="9" cm="1">
        <f t="array" ref="I387">_xlfn.IFS($G387&lt;=34%,0%,$G387&lt;=75%,3%,$G387&lt;=120%,4%,$G387&gt;120%,5%)</f>
        <v>0</v>
      </c>
      <c r="J387" s="8" cm="1">
        <f t="array" ref="J387">SUMPRODUCT((C389:C407=2026)*M389:M407*2)</f>
        <v>0</v>
      </c>
      <c r="K387" s="5">
        <f>SUM(N389:N407)</f>
        <v>0</v>
      </c>
      <c r="L387" s="8">
        <f>J387-K387</f>
        <v>0</v>
      </c>
      <c r="M387" s="3"/>
      <c r="N387" s="3"/>
    </row>
    <row r="388" spans="1:15" ht="43.2" x14ac:dyDescent="0.3">
      <c r="A388" s="10" t="s">
        <v>2</v>
      </c>
      <c r="B388" s="10" t="s">
        <v>14</v>
      </c>
      <c r="C388" s="10" t="s">
        <v>15</v>
      </c>
      <c r="D388" s="10" t="s">
        <v>16</v>
      </c>
      <c r="E388" s="10" t="s">
        <v>17</v>
      </c>
      <c r="F388" s="10" t="s">
        <v>18</v>
      </c>
      <c r="G388" s="10" t="s">
        <v>19</v>
      </c>
      <c r="H388" s="10" t="s">
        <v>20</v>
      </c>
      <c r="I388" s="10" t="s">
        <v>21</v>
      </c>
      <c r="J388" s="10" t="s">
        <v>22</v>
      </c>
      <c r="K388" s="10" t="s">
        <v>23</v>
      </c>
      <c r="L388" s="10" t="s">
        <v>24</v>
      </c>
      <c r="M388" s="10" t="s">
        <v>25</v>
      </c>
      <c r="N388" s="10" t="s">
        <v>26</v>
      </c>
      <c r="O388" s="10" t="s">
        <v>27</v>
      </c>
    </row>
    <row r="389" spans="1:15" x14ac:dyDescent="0.3">
      <c r="A389" s="11" t="str">
        <f>C387</f>
        <v>Ritik Arya</v>
      </c>
      <c r="B389" s="5" t="str" cm="1">
        <f t="array" ref="B389:M391">_xlfn.LET(
  _xlpm.data, _xlfn._xlws.FILTER('[1]Finanace - Incentive Data'!A:CA, '[1]Finanace - Incentive Data'!H:H=$C387),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Lakshmi Venkata Naga Sujan Srikakulam</v>
      </c>
      <c r="C389" s="12">
        <v>2026</v>
      </c>
      <c r="D389" s="13">
        <v>46052</v>
      </c>
      <c r="E389" s="13">
        <v>46094</v>
      </c>
      <c r="F389" s="5" t="str">
        <v>Genpact</v>
      </c>
      <c r="G389" s="14" t="str">
        <v>PLC-4653</v>
      </c>
      <c r="H389" s="15" t="str">
        <v>C2C Canada</v>
      </c>
      <c r="I389" s="12" t="str">
        <v>-</v>
      </c>
      <c r="J389" s="5" t="str">
        <v>-</v>
      </c>
      <c r="K389" s="5">
        <v>240</v>
      </c>
      <c r="L389" s="8">
        <v>2555.9999999999982</v>
      </c>
      <c r="M389" s="8">
        <v>0</v>
      </c>
      <c r="N389" s="8">
        <f>SUMIFS('[1]Finanace - Incentive Data'!BE:BE,'[1]Finanace - Incentive Data'!BS:BS,"Y",'[1]Finanace - Incentive Data'!H:H,$C$387,'[1]Finanace - Incentive Data'!R:R,$B389)</f>
        <v>0</v>
      </c>
      <c r="O389" s="8">
        <f>M389-N389</f>
        <v>0</v>
      </c>
    </row>
    <row r="390" spans="1:15" x14ac:dyDescent="0.3">
      <c r="A390" s="11"/>
      <c r="B390" s="5" t="str">
        <v>Revanth Siddu</v>
      </c>
      <c r="C390" s="12">
        <v>2026</v>
      </c>
      <c r="D390" s="13">
        <v>46140</v>
      </c>
      <c r="E390" s="13">
        <v>0</v>
      </c>
      <c r="F390" s="5" t="str">
        <v>GRI</v>
      </c>
      <c r="G390" s="14" t="str">
        <v>PLC-4831</v>
      </c>
      <c r="H390" s="15" t="str">
        <v>C2C</v>
      </c>
      <c r="I390" s="12" t="str">
        <v>-</v>
      </c>
      <c r="J390" s="5" t="str">
        <v>-</v>
      </c>
      <c r="K390" s="5">
        <v>40</v>
      </c>
      <c r="L390" s="8">
        <v>125.43695999999973</v>
      </c>
      <c r="M390" s="8">
        <v>0</v>
      </c>
      <c r="N390" s="8">
        <f>SUMIFS('[1]Finanace - Incentive Data'!BE:BE,'[1]Finanace - Incentive Data'!BS:BS,"Y",'[1]Finanace - Incentive Data'!H:H,$C$387,'[1]Finanace - Incentive Data'!R:R,$B390)</f>
        <v>0</v>
      </c>
      <c r="O390" s="8">
        <f>M390-N390</f>
        <v>0</v>
      </c>
    </row>
    <row r="391" spans="1:15" x14ac:dyDescent="0.3">
      <c r="A391" s="11"/>
      <c r="B391" s="5" t="str">
        <v>Venkata Sai Gokul Gadamsetty</v>
      </c>
      <c r="C391" s="12">
        <v>2026</v>
      </c>
      <c r="D391" s="13">
        <v>46027</v>
      </c>
      <c r="E391" s="13">
        <v>46079</v>
      </c>
      <c r="F391" s="5" t="str">
        <v>GRI</v>
      </c>
      <c r="G391" s="14" t="str">
        <v>PLC-4630</v>
      </c>
      <c r="H391" s="15" t="str">
        <v>C2C</v>
      </c>
      <c r="I391" s="12" t="str">
        <v>-</v>
      </c>
      <c r="J391" s="5" t="str">
        <v>-</v>
      </c>
      <c r="K391" s="5">
        <v>336</v>
      </c>
      <c r="L391" s="8">
        <v>1096.367999999997</v>
      </c>
      <c r="M391" s="8">
        <v>0</v>
      </c>
      <c r="N391" s="8">
        <f>SUMIFS('[1]Finanace - Incentive Data'!BE:BE,'[1]Finanace - Incentive Data'!BS:BS,"Y",'[1]Finanace - Incentive Data'!H:H,$C$387,'[1]Finanace - Incentive Data'!R:R,$B391)</f>
        <v>0</v>
      </c>
      <c r="O391" s="8">
        <f t="shared" ref="O391:O407" si="16">M391-N391</f>
        <v>0</v>
      </c>
    </row>
    <row r="392" spans="1:15" x14ac:dyDescent="0.3">
      <c r="A392" s="11"/>
      <c r="B392" s="5"/>
      <c r="C392" s="12"/>
      <c r="D392" s="13"/>
      <c r="E392" s="13"/>
      <c r="F392" s="5"/>
      <c r="G392" s="14"/>
      <c r="H392" s="15"/>
      <c r="I392" s="12"/>
      <c r="J392" s="5"/>
      <c r="K392" s="5"/>
      <c r="L392" s="8"/>
      <c r="M392" s="8"/>
      <c r="N392" s="8">
        <f>SUMIFS('[1]Finanace - Incentive Data'!BE:BE,'[1]Finanace - Incentive Data'!BS:BS,"Y",'[1]Finanace - Incentive Data'!H:H,$C$387,'[1]Finanace - Incentive Data'!R:R,$B392)</f>
        <v>0</v>
      </c>
      <c r="O392" s="8">
        <f t="shared" si="16"/>
        <v>0</v>
      </c>
    </row>
    <row r="393" spans="1:15" x14ac:dyDescent="0.3">
      <c r="A393" s="11"/>
      <c r="B393" s="5"/>
      <c r="C393" s="12"/>
      <c r="D393" s="13"/>
      <c r="E393" s="13"/>
      <c r="F393" s="5"/>
      <c r="G393" s="14"/>
      <c r="H393" s="15"/>
      <c r="I393" s="12"/>
      <c r="J393" s="5"/>
      <c r="K393" s="5"/>
      <c r="L393" s="8"/>
      <c r="M393" s="8"/>
      <c r="N393" s="8">
        <f>SUMIFS('[1]Finanace - Incentive Data'!BE:BE,'[1]Finanace - Incentive Data'!BS:BS,"Y",'[1]Finanace - Incentive Data'!H:H,$C$387,'[1]Finanace - Incentive Data'!R:R,$B393)</f>
        <v>0</v>
      </c>
      <c r="O393" s="8">
        <f t="shared" si="16"/>
        <v>0</v>
      </c>
    </row>
    <row r="394" spans="1:15" x14ac:dyDescent="0.3">
      <c r="A394" s="11"/>
      <c r="B394" s="5"/>
      <c r="C394" s="12"/>
      <c r="D394" s="13"/>
      <c r="E394" s="13"/>
      <c r="F394" s="5"/>
      <c r="G394" s="14"/>
      <c r="H394" s="15"/>
      <c r="I394" s="12"/>
      <c r="J394" s="5"/>
      <c r="K394" s="5"/>
      <c r="L394" s="8"/>
      <c r="M394" s="8"/>
      <c r="N394" s="8">
        <f>SUMIFS('[1]Finanace - Incentive Data'!BE:BE,'[1]Finanace - Incentive Data'!BS:BS,"Y",'[1]Finanace - Incentive Data'!H:H,$C$387,'[1]Finanace - Incentive Data'!R:R,$B394)</f>
        <v>0</v>
      </c>
      <c r="O394" s="8">
        <f t="shared" si="16"/>
        <v>0</v>
      </c>
    </row>
    <row r="395" spans="1:15" x14ac:dyDescent="0.3">
      <c r="A395" s="11"/>
      <c r="B395" s="5"/>
      <c r="C395" s="12"/>
      <c r="D395" s="13"/>
      <c r="E395" s="13"/>
      <c r="F395" s="5"/>
      <c r="G395" s="14"/>
      <c r="H395" s="15"/>
      <c r="I395" s="12"/>
      <c r="J395" s="5"/>
      <c r="K395" s="5"/>
      <c r="L395" s="8"/>
      <c r="M395" s="8"/>
      <c r="N395" s="8">
        <f>SUMIFS('[1]Finanace - Incentive Data'!BE:BE,'[1]Finanace - Incentive Data'!BS:BS,"Y",'[1]Finanace - Incentive Data'!H:H,$C$387,'[1]Finanace - Incentive Data'!R:R,$B395)</f>
        <v>0</v>
      </c>
      <c r="O395" s="8">
        <f t="shared" si="16"/>
        <v>0</v>
      </c>
    </row>
    <row r="396" spans="1:15" x14ac:dyDescent="0.3">
      <c r="A396" s="11"/>
      <c r="B396" s="5"/>
      <c r="C396" s="12"/>
      <c r="D396" s="13"/>
      <c r="E396" s="13"/>
      <c r="F396" s="5"/>
      <c r="G396" s="14"/>
      <c r="H396" s="15"/>
      <c r="I396" s="12"/>
      <c r="J396" s="5"/>
      <c r="K396" s="5"/>
      <c r="L396" s="8"/>
      <c r="M396" s="8"/>
      <c r="N396" s="8">
        <f>SUMIFS('[1]Finanace - Incentive Data'!BE:BE,'[1]Finanace - Incentive Data'!BS:BS,"Y",'[1]Finanace - Incentive Data'!H:H,$C$387,'[1]Finanace - Incentive Data'!R:R,$B396)</f>
        <v>0</v>
      </c>
      <c r="O396" s="8">
        <f t="shared" si="16"/>
        <v>0</v>
      </c>
    </row>
    <row r="397" spans="1:15" x14ac:dyDescent="0.3">
      <c r="A397" s="11"/>
      <c r="B397" s="5"/>
      <c r="C397" s="12"/>
      <c r="D397" s="13"/>
      <c r="E397" s="13"/>
      <c r="F397" s="5"/>
      <c r="G397" s="14"/>
      <c r="H397" s="15"/>
      <c r="I397" s="12"/>
      <c r="J397" s="5"/>
      <c r="K397" s="5"/>
      <c r="L397" s="8"/>
      <c r="M397" s="8"/>
      <c r="N397" s="8">
        <f>SUMIFS('[1]Finanace - Incentive Data'!BE:BE,'[1]Finanace - Incentive Data'!BS:BS,"Y",'[1]Finanace - Incentive Data'!H:H,$C$387,'[1]Finanace - Incentive Data'!R:R,$B397)</f>
        <v>0</v>
      </c>
      <c r="O397" s="8">
        <f t="shared" si="16"/>
        <v>0</v>
      </c>
    </row>
    <row r="398" spans="1:15" x14ac:dyDescent="0.3">
      <c r="A398" s="11"/>
      <c r="B398" s="5"/>
      <c r="C398" s="12"/>
      <c r="D398" s="13"/>
      <c r="E398" s="13"/>
      <c r="F398" s="5"/>
      <c r="G398" s="14"/>
      <c r="H398" s="15"/>
      <c r="I398" s="12"/>
      <c r="J398" s="5"/>
      <c r="K398" s="5"/>
      <c r="L398" s="8"/>
      <c r="M398" s="8"/>
      <c r="N398" s="8">
        <f>SUMIFS('[1]Finanace - Incentive Data'!BE:BE,'[1]Finanace - Incentive Data'!BS:BS,"Y",'[1]Finanace - Incentive Data'!H:H,$C$387,'[1]Finanace - Incentive Data'!R:R,$B398)</f>
        <v>0</v>
      </c>
      <c r="O398" s="8">
        <f t="shared" si="16"/>
        <v>0</v>
      </c>
    </row>
    <row r="399" spans="1:15" x14ac:dyDescent="0.3">
      <c r="A399" s="11"/>
      <c r="B399" s="5"/>
      <c r="C399" s="12"/>
      <c r="D399" s="13"/>
      <c r="E399" s="13"/>
      <c r="F399" s="5"/>
      <c r="G399" s="14"/>
      <c r="H399" s="15"/>
      <c r="I399" s="12"/>
      <c r="J399" s="5"/>
      <c r="K399" s="5"/>
      <c r="L399" s="8"/>
      <c r="M399" s="8"/>
      <c r="N399" s="8">
        <f>SUMIFS('[1]Finanace - Incentive Data'!BE:BE,'[1]Finanace - Incentive Data'!BS:BS,"Y",'[1]Finanace - Incentive Data'!H:H,$C$387,'[1]Finanace - Incentive Data'!R:R,$B399)</f>
        <v>0</v>
      </c>
      <c r="O399" s="8">
        <f t="shared" si="16"/>
        <v>0</v>
      </c>
    </row>
    <row r="400" spans="1:15" x14ac:dyDescent="0.3">
      <c r="A400" s="11"/>
      <c r="B400" s="5"/>
      <c r="C400" s="12"/>
      <c r="D400" s="13"/>
      <c r="E400" s="13"/>
      <c r="F400" s="5"/>
      <c r="G400" s="14"/>
      <c r="H400" s="15"/>
      <c r="I400" s="12"/>
      <c r="J400" s="5"/>
      <c r="K400" s="5"/>
      <c r="L400" s="8"/>
      <c r="M400" s="8"/>
      <c r="N400" s="8">
        <f>SUMIFS('[1]Finanace - Incentive Data'!BE:BE,'[1]Finanace - Incentive Data'!BS:BS,"Y",'[1]Finanace - Incentive Data'!H:H,$C$387,'[1]Finanace - Incentive Data'!R:R,$B400)</f>
        <v>0</v>
      </c>
      <c r="O400" s="8">
        <f t="shared" si="16"/>
        <v>0</v>
      </c>
    </row>
    <row r="401" spans="1:15" x14ac:dyDescent="0.3">
      <c r="A401" s="11"/>
      <c r="B401" s="5"/>
      <c r="C401" s="12"/>
      <c r="D401" s="13"/>
      <c r="E401" s="13"/>
      <c r="F401" s="5"/>
      <c r="G401" s="14"/>
      <c r="H401" s="15"/>
      <c r="I401" s="12"/>
      <c r="J401" s="5"/>
      <c r="K401" s="5"/>
      <c r="L401" s="8"/>
      <c r="M401" s="8"/>
      <c r="N401" s="8">
        <f>SUMIFS('[1]Finanace - Incentive Data'!BE:BE,'[1]Finanace - Incentive Data'!BS:BS,"Y",'[1]Finanace - Incentive Data'!H:H,$C$387,'[1]Finanace - Incentive Data'!R:R,$B401)</f>
        <v>0</v>
      </c>
      <c r="O401" s="8">
        <f t="shared" si="16"/>
        <v>0</v>
      </c>
    </row>
    <row r="402" spans="1:15" x14ac:dyDescent="0.3">
      <c r="A402" s="11"/>
      <c r="B402" s="5"/>
      <c r="C402" s="12"/>
      <c r="D402" s="13"/>
      <c r="E402" s="13"/>
      <c r="F402" s="5"/>
      <c r="G402" s="14"/>
      <c r="H402" s="15"/>
      <c r="I402" s="12"/>
      <c r="J402" s="5"/>
      <c r="K402" s="5"/>
      <c r="L402" s="8"/>
      <c r="M402" s="8"/>
      <c r="N402" s="8">
        <f>SUMIFS('[1]Finanace - Incentive Data'!BE:BE,'[1]Finanace - Incentive Data'!BS:BS,"Y",'[1]Finanace - Incentive Data'!H:H,$C$387,'[1]Finanace - Incentive Data'!R:R,$B402)</f>
        <v>0</v>
      </c>
      <c r="O402" s="8">
        <f t="shared" si="16"/>
        <v>0</v>
      </c>
    </row>
    <row r="403" spans="1:15" x14ac:dyDescent="0.3">
      <c r="A403" s="11"/>
      <c r="B403" s="5"/>
      <c r="C403" s="12"/>
      <c r="D403" s="13"/>
      <c r="E403" s="13"/>
      <c r="F403" s="5"/>
      <c r="G403" s="14"/>
      <c r="H403" s="15"/>
      <c r="I403" s="12"/>
      <c r="J403" s="5"/>
      <c r="K403" s="5"/>
      <c r="L403" s="8"/>
      <c r="M403" s="8"/>
      <c r="N403" s="8">
        <f>SUMIFS('[1]Finanace - Incentive Data'!BE:BE,'[1]Finanace - Incentive Data'!BS:BS,"Y",'[1]Finanace - Incentive Data'!H:H,$C$387,'[1]Finanace - Incentive Data'!R:R,$B403)</f>
        <v>0</v>
      </c>
      <c r="O403" s="8">
        <f t="shared" si="16"/>
        <v>0</v>
      </c>
    </row>
    <row r="404" spans="1:15" x14ac:dyDescent="0.3">
      <c r="A404" s="11"/>
      <c r="B404" s="5"/>
      <c r="C404" s="12"/>
      <c r="D404" s="13"/>
      <c r="E404" s="13"/>
      <c r="F404" s="5"/>
      <c r="G404" s="14"/>
      <c r="H404" s="15"/>
      <c r="I404" s="12"/>
      <c r="J404" s="5"/>
      <c r="K404" s="5"/>
      <c r="L404" s="8"/>
      <c r="M404" s="8"/>
      <c r="N404" s="8">
        <f>SUMIFS('[1]Finanace - Incentive Data'!BE:BE,'[1]Finanace - Incentive Data'!BS:BS,"Y",'[1]Finanace - Incentive Data'!H:H,$C$387,'[1]Finanace - Incentive Data'!R:R,$B404)</f>
        <v>0</v>
      </c>
      <c r="O404" s="8">
        <f t="shared" si="16"/>
        <v>0</v>
      </c>
    </row>
    <row r="405" spans="1:15" x14ac:dyDescent="0.3">
      <c r="A405" s="11"/>
      <c r="B405" s="5"/>
      <c r="C405" s="12"/>
      <c r="D405" s="13"/>
      <c r="E405" s="13"/>
      <c r="F405" s="5"/>
      <c r="G405" s="14"/>
      <c r="H405" s="15"/>
      <c r="I405" s="12"/>
      <c r="J405" s="5"/>
      <c r="K405" s="5"/>
      <c r="L405" s="8"/>
      <c r="M405" s="8"/>
      <c r="N405" s="8">
        <f>SUMIFS('[1]Finanace - Incentive Data'!BE:BE,'[1]Finanace - Incentive Data'!BS:BS,"Y",'[1]Finanace - Incentive Data'!H:H,$C$387,'[1]Finanace - Incentive Data'!R:R,$B405)</f>
        <v>0</v>
      </c>
      <c r="O405" s="8">
        <f t="shared" si="16"/>
        <v>0</v>
      </c>
    </row>
    <row r="406" spans="1:15" x14ac:dyDescent="0.3">
      <c r="A406" s="11"/>
      <c r="B406" s="5"/>
      <c r="C406" s="12"/>
      <c r="D406" s="13"/>
      <c r="E406" s="13"/>
      <c r="F406" s="5"/>
      <c r="G406" s="14"/>
      <c r="H406" s="15"/>
      <c r="I406" s="12"/>
      <c r="J406" s="5"/>
      <c r="K406" s="5"/>
      <c r="L406" s="8"/>
      <c r="M406" s="8"/>
      <c r="N406" s="8">
        <f>SUMIFS('[1]Finanace - Incentive Data'!BE:BE,'[1]Finanace - Incentive Data'!BS:BS,"Y",'[1]Finanace - Incentive Data'!H:H,$C$387,'[1]Finanace - Incentive Data'!R:R,$B406)</f>
        <v>0</v>
      </c>
      <c r="O406" s="8">
        <f t="shared" si="16"/>
        <v>0</v>
      </c>
    </row>
    <row r="407" spans="1:15" x14ac:dyDescent="0.3">
      <c r="A407" s="11"/>
      <c r="B407" s="5"/>
      <c r="C407" s="12"/>
      <c r="D407" s="13"/>
      <c r="E407" s="13"/>
      <c r="F407" s="5"/>
      <c r="G407" s="14"/>
      <c r="H407" s="15"/>
      <c r="I407" s="12"/>
      <c r="J407" s="5"/>
      <c r="K407" s="5"/>
      <c r="L407" s="8"/>
      <c r="M407" s="8"/>
      <c r="N407" s="8">
        <f>SUMIFS('[1]Finanace - Incentive Data'!BE:BE,'[1]Finanace - Incentive Data'!BS:BS,"Y",'[1]Finanace - Incentive Data'!H:H,$C$387,'[1]Finanace - Incentive Data'!R:R,$B407)</f>
        <v>0</v>
      </c>
      <c r="O407" s="8">
        <f t="shared" si="16"/>
        <v>0</v>
      </c>
    </row>
    <row r="410" spans="1:15" ht="43.2" x14ac:dyDescent="0.3">
      <c r="A410" s="1" t="s">
        <v>0</v>
      </c>
      <c r="B410" s="1" t="s">
        <v>1</v>
      </c>
      <c r="C410" s="1" t="s">
        <v>2</v>
      </c>
      <c r="D410" s="1" t="s">
        <v>3</v>
      </c>
      <c r="E410" s="1" t="s">
        <v>4</v>
      </c>
      <c r="F410" s="1" t="s">
        <v>5</v>
      </c>
      <c r="G410" s="1" t="s">
        <v>6</v>
      </c>
      <c r="H410" s="1" t="s">
        <v>7</v>
      </c>
      <c r="I410" s="1" t="s">
        <v>8</v>
      </c>
      <c r="J410" s="1" t="s">
        <v>9</v>
      </c>
      <c r="K410" s="2" t="s">
        <v>10</v>
      </c>
      <c r="L410" s="2" t="s">
        <v>11</v>
      </c>
      <c r="M410" s="3"/>
      <c r="N410" s="3"/>
    </row>
    <row r="411" spans="1:15" x14ac:dyDescent="0.3">
      <c r="A411" s="5" t="s">
        <v>12</v>
      </c>
      <c r="B411" s="4" t="str">
        <f>_xlfn.XLOOKUP($C411,'[1]Basic EMP Data - 2026'!$D$3:$D$224,'[1]Basic EMP Data - 2026'!$C$3:$C$224)</f>
        <v>VB1495</v>
      </c>
      <c r="C411" s="6" t="s">
        <v>42</v>
      </c>
      <c r="D411" s="5" t="str">
        <f>VLOOKUP($B411,'[1]Basic EMP Data - 2026'!$C$3:$F$224,3,0)</f>
        <v>Kashif Nabi</v>
      </c>
      <c r="E411" s="5">
        <f>VLOOKUP($B411,'[1]Basic EMP Data - 2026'!$C$3:$I$224,5,0)</f>
        <v>7</v>
      </c>
      <c r="F411" s="5">
        <f>VLOOKUP($B411,'[1]Basic EMP Data - 2026'!$C$3:$I$224,6,0)</f>
        <v>1</v>
      </c>
      <c r="G411" s="7">
        <f>F411/E411</f>
        <v>0.14285714285714285</v>
      </c>
      <c r="H411" s="8">
        <f>SUM(L413:L431)</f>
        <v>2991.6</v>
      </c>
      <c r="I411" s="9" cm="1">
        <f t="array" ref="I411">_xlfn.IFS($G411&lt;=34%,0%,$G411&lt;=75%,3%,$G411&lt;=120%,4%,$G411&gt;120%,5%)</f>
        <v>0</v>
      </c>
      <c r="J411" s="8" cm="1">
        <f t="array" ref="J411">SUMPRODUCT((C413:C431=2026)*M413:M431*2)</f>
        <v>0</v>
      </c>
      <c r="K411" s="5">
        <f>SUM(N413:N431)</f>
        <v>0</v>
      </c>
      <c r="L411" s="8">
        <f>J411-K411</f>
        <v>0</v>
      </c>
      <c r="M411" s="3"/>
      <c r="N411" s="3"/>
    </row>
    <row r="412" spans="1:15" ht="43.2" x14ac:dyDescent="0.3">
      <c r="A412" s="10" t="s">
        <v>2</v>
      </c>
      <c r="B412" s="10" t="s">
        <v>14</v>
      </c>
      <c r="C412" s="10" t="s">
        <v>15</v>
      </c>
      <c r="D412" s="10" t="s">
        <v>16</v>
      </c>
      <c r="E412" s="10" t="s">
        <v>17</v>
      </c>
      <c r="F412" s="10" t="s">
        <v>18</v>
      </c>
      <c r="G412" s="10" t="s">
        <v>19</v>
      </c>
      <c r="H412" s="10" t="s">
        <v>20</v>
      </c>
      <c r="I412" s="10" t="s">
        <v>21</v>
      </c>
      <c r="J412" s="10" t="s">
        <v>22</v>
      </c>
      <c r="K412" s="10" t="s">
        <v>23</v>
      </c>
      <c r="L412" s="10" t="s">
        <v>24</v>
      </c>
      <c r="M412" s="10" t="s">
        <v>25</v>
      </c>
      <c r="N412" s="10" t="s">
        <v>26</v>
      </c>
      <c r="O412" s="10" t="s">
        <v>27</v>
      </c>
    </row>
    <row r="413" spans="1:15" x14ac:dyDescent="0.3">
      <c r="A413" s="11" t="str">
        <f>C411</f>
        <v>Priyanka Sharma</v>
      </c>
      <c r="B413" s="5" t="str" cm="1">
        <f t="array" ref="B413:M413">_xlfn.LET(
  _xlpm.data, _xlfn._xlws.FILTER('[1]Finanace - Incentive Data'!A:CA, '[1]Finanace - Incentive Data'!H:H=$C411),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Anusha Kiranmai Velidi</v>
      </c>
      <c r="C413" s="12">
        <v>2026</v>
      </c>
      <c r="D413" s="13">
        <v>46035</v>
      </c>
      <c r="E413" s="13">
        <v>46124</v>
      </c>
      <c r="F413" s="5" t="str">
        <v>Genpact</v>
      </c>
      <c r="G413" s="14" t="str">
        <v>PLC-4654</v>
      </c>
      <c r="H413" s="15" t="str">
        <v>C2C</v>
      </c>
      <c r="I413" s="12" t="str">
        <v>-</v>
      </c>
      <c r="J413" s="5" t="str">
        <v>-</v>
      </c>
      <c r="K413" s="5">
        <v>600</v>
      </c>
      <c r="L413" s="8">
        <v>2991.6</v>
      </c>
      <c r="M413" s="8">
        <v>0</v>
      </c>
      <c r="N413" s="8">
        <f>SUMIFS('[1]Finanace - Incentive Data'!BE:BE,'[1]Finanace - Incentive Data'!BS:BS,"Y",'[1]Finanace - Incentive Data'!H:H,$C$411,'[1]Finanace - Incentive Data'!R:R,$B413)</f>
        <v>0</v>
      </c>
      <c r="O413" s="8">
        <f>M413-N413</f>
        <v>0</v>
      </c>
    </row>
    <row r="414" spans="1:15" x14ac:dyDescent="0.3">
      <c r="A414" s="11"/>
      <c r="B414" s="5"/>
      <c r="C414" s="12"/>
      <c r="D414" s="13"/>
      <c r="E414" s="13"/>
      <c r="F414" s="5"/>
      <c r="G414" s="14"/>
      <c r="H414" s="15"/>
      <c r="I414" s="12"/>
      <c r="J414" s="5"/>
      <c r="K414" s="5"/>
      <c r="L414" s="8"/>
      <c r="M414" s="8"/>
      <c r="N414" s="8">
        <f>SUMIFS('[1]Finanace - Incentive Data'!BE:BE,'[1]Finanace - Incentive Data'!BS:BS,"Y",'[1]Finanace - Incentive Data'!H:H,$C$411,'[1]Finanace - Incentive Data'!R:R,$B414)</f>
        <v>0</v>
      </c>
      <c r="O414" s="8">
        <f>M414-N414</f>
        <v>0</v>
      </c>
    </row>
    <row r="415" spans="1:15" x14ac:dyDescent="0.3">
      <c r="A415" s="11"/>
      <c r="B415" s="5"/>
      <c r="C415" s="12"/>
      <c r="D415" s="13"/>
      <c r="E415" s="13"/>
      <c r="F415" s="5"/>
      <c r="G415" s="14"/>
      <c r="H415" s="15"/>
      <c r="I415" s="12"/>
      <c r="J415" s="5"/>
      <c r="K415" s="5"/>
      <c r="L415" s="8"/>
      <c r="M415" s="8"/>
      <c r="N415" s="8">
        <f>SUMIFS('[1]Finanace - Incentive Data'!BE:BE,'[1]Finanace - Incentive Data'!BS:BS,"Y",'[1]Finanace - Incentive Data'!H:H,$C$411,'[1]Finanace - Incentive Data'!R:R,$B415)</f>
        <v>0</v>
      </c>
      <c r="O415" s="8">
        <f t="shared" ref="O415:O431" si="17">M415-N415</f>
        <v>0</v>
      </c>
    </row>
    <row r="416" spans="1:15" x14ac:dyDescent="0.3">
      <c r="A416" s="11"/>
      <c r="B416" s="5"/>
      <c r="C416" s="12"/>
      <c r="D416" s="13"/>
      <c r="E416" s="13"/>
      <c r="F416" s="5"/>
      <c r="G416" s="14"/>
      <c r="H416" s="15"/>
      <c r="I416" s="12"/>
      <c r="J416" s="5"/>
      <c r="K416" s="5"/>
      <c r="L416" s="8"/>
      <c r="M416" s="8"/>
      <c r="N416" s="8">
        <f>SUMIFS('[1]Finanace - Incentive Data'!BE:BE,'[1]Finanace - Incentive Data'!BS:BS,"Y",'[1]Finanace - Incentive Data'!H:H,$C$411,'[1]Finanace - Incentive Data'!R:R,$B416)</f>
        <v>0</v>
      </c>
      <c r="O416" s="8">
        <f t="shared" si="17"/>
        <v>0</v>
      </c>
    </row>
    <row r="417" spans="1:15" x14ac:dyDescent="0.3">
      <c r="A417" s="11"/>
      <c r="B417" s="5"/>
      <c r="C417" s="12"/>
      <c r="D417" s="13"/>
      <c r="E417" s="13"/>
      <c r="F417" s="5"/>
      <c r="G417" s="14"/>
      <c r="H417" s="15"/>
      <c r="I417" s="12"/>
      <c r="J417" s="5"/>
      <c r="K417" s="5"/>
      <c r="L417" s="8"/>
      <c r="M417" s="8"/>
      <c r="N417" s="8">
        <f>SUMIFS('[1]Finanace - Incentive Data'!BE:BE,'[1]Finanace - Incentive Data'!BS:BS,"Y",'[1]Finanace - Incentive Data'!H:H,$C$411,'[1]Finanace - Incentive Data'!R:R,$B417)</f>
        <v>0</v>
      </c>
      <c r="O417" s="8">
        <f t="shared" si="17"/>
        <v>0</v>
      </c>
    </row>
    <row r="418" spans="1:15" x14ac:dyDescent="0.3">
      <c r="A418" s="11"/>
      <c r="B418" s="5"/>
      <c r="C418" s="12"/>
      <c r="D418" s="13"/>
      <c r="E418" s="13"/>
      <c r="F418" s="5"/>
      <c r="G418" s="14"/>
      <c r="H418" s="15"/>
      <c r="I418" s="12"/>
      <c r="J418" s="5"/>
      <c r="K418" s="5"/>
      <c r="L418" s="8"/>
      <c r="M418" s="8"/>
      <c r="N418" s="8">
        <f>SUMIFS('[1]Finanace - Incentive Data'!BE:BE,'[1]Finanace - Incentive Data'!BS:BS,"Y",'[1]Finanace - Incentive Data'!H:H,$C$411,'[1]Finanace - Incentive Data'!R:R,$B418)</f>
        <v>0</v>
      </c>
      <c r="O418" s="8">
        <f t="shared" si="17"/>
        <v>0</v>
      </c>
    </row>
    <row r="419" spans="1:15" x14ac:dyDescent="0.3">
      <c r="A419" s="11"/>
      <c r="B419" s="5"/>
      <c r="C419" s="12"/>
      <c r="D419" s="13"/>
      <c r="E419" s="13"/>
      <c r="F419" s="5"/>
      <c r="G419" s="14"/>
      <c r="H419" s="15"/>
      <c r="I419" s="12"/>
      <c r="J419" s="5"/>
      <c r="K419" s="5"/>
      <c r="L419" s="8"/>
      <c r="M419" s="8"/>
      <c r="N419" s="8">
        <f>SUMIFS('[1]Finanace - Incentive Data'!BE:BE,'[1]Finanace - Incentive Data'!BS:BS,"Y",'[1]Finanace - Incentive Data'!H:H,$C$411,'[1]Finanace - Incentive Data'!R:R,$B419)</f>
        <v>0</v>
      </c>
      <c r="O419" s="8">
        <f t="shared" si="17"/>
        <v>0</v>
      </c>
    </row>
    <row r="420" spans="1:15" x14ac:dyDescent="0.3">
      <c r="A420" s="11"/>
      <c r="B420" s="5"/>
      <c r="C420" s="12"/>
      <c r="D420" s="13"/>
      <c r="E420" s="13"/>
      <c r="F420" s="5"/>
      <c r="G420" s="14"/>
      <c r="H420" s="15"/>
      <c r="I420" s="12"/>
      <c r="J420" s="5"/>
      <c r="K420" s="5"/>
      <c r="L420" s="8"/>
      <c r="M420" s="8"/>
      <c r="N420" s="8">
        <f>SUMIFS('[1]Finanace - Incentive Data'!BE:BE,'[1]Finanace - Incentive Data'!BS:BS,"Y",'[1]Finanace - Incentive Data'!H:H,$C$411,'[1]Finanace - Incentive Data'!R:R,$B420)</f>
        <v>0</v>
      </c>
      <c r="O420" s="8">
        <f t="shared" si="17"/>
        <v>0</v>
      </c>
    </row>
    <row r="421" spans="1:15" x14ac:dyDescent="0.3">
      <c r="A421" s="11"/>
      <c r="B421" s="5"/>
      <c r="C421" s="12"/>
      <c r="D421" s="13"/>
      <c r="E421" s="13"/>
      <c r="F421" s="5"/>
      <c r="G421" s="14"/>
      <c r="H421" s="15"/>
      <c r="I421" s="12"/>
      <c r="J421" s="5"/>
      <c r="K421" s="5"/>
      <c r="L421" s="8"/>
      <c r="M421" s="8"/>
      <c r="N421" s="8">
        <f>SUMIFS('[1]Finanace - Incentive Data'!BE:BE,'[1]Finanace - Incentive Data'!BS:BS,"Y",'[1]Finanace - Incentive Data'!H:H,$C$411,'[1]Finanace - Incentive Data'!R:R,$B421)</f>
        <v>0</v>
      </c>
      <c r="O421" s="8">
        <f t="shared" si="17"/>
        <v>0</v>
      </c>
    </row>
    <row r="422" spans="1:15" x14ac:dyDescent="0.3">
      <c r="A422" s="11"/>
      <c r="B422" s="5"/>
      <c r="C422" s="12"/>
      <c r="D422" s="13"/>
      <c r="E422" s="13"/>
      <c r="F422" s="5"/>
      <c r="G422" s="14"/>
      <c r="H422" s="15"/>
      <c r="I422" s="12"/>
      <c r="J422" s="5"/>
      <c r="K422" s="5"/>
      <c r="L422" s="8"/>
      <c r="M422" s="8"/>
      <c r="N422" s="8">
        <f>SUMIFS('[1]Finanace - Incentive Data'!BE:BE,'[1]Finanace - Incentive Data'!BS:BS,"Y",'[1]Finanace - Incentive Data'!H:H,$C$411,'[1]Finanace - Incentive Data'!R:R,$B422)</f>
        <v>0</v>
      </c>
      <c r="O422" s="8">
        <f t="shared" si="17"/>
        <v>0</v>
      </c>
    </row>
    <row r="423" spans="1:15" x14ac:dyDescent="0.3">
      <c r="A423" s="11"/>
      <c r="B423" s="5"/>
      <c r="C423" s="12"/>
      <c r="D423" s="13"/>
      <c r="E423" s="13"/>
      <c r="F423" s="5"/>
      <c r="G423" s="14"/>
      <c r="H423" s="15"/>
      <c r="I423" s="12"/>
      <c r="J423" s="5"/>
      <c r="K423" s="5"/>
      <c r="L423" s="8"/>
      <c r="M423" s="8"/>
      <c r="N423" s="8">
        <f>SUMIFS('[1]Finanace - Incentive Data'!BE:BE,'[1]Finanace - Incentive Data'!BS:BS,"Y",'[1]Finanace - Incentive Data'!H:H,$C$411,'[1]Finanace - Incentive Data'!R:R,$B423)</f>
        <v>0</v>
      </c>
      <c r="O423" s="8">
        <f t="shared" si="17"/>
        <v>0</v>
      </c>
    </row>
    <row r="424" spans="1:15" x14ac:dyDescent="0.3">
      <c r="A424" s="11"/>
      <c r="B424" s="5"/>
      <c r="C424" s="12"/>
      <c r="D424" s="13"/>
      <c r="E424" s="13"/>
      <c r="F424" s="5"/>
      <c r="G424" s="14"/>
      <c r="H424" s="15"/>
      <c r="I424" s="12"/>
      <c r="J424" s="5"/>
      <c r="K424" s="5"/>
      <c r="L424" s="8"/>
      <c r="M424" s="8"/>
      <c r="N424" s="8">
        <f>SUMIFS('[1]Finanace - Incentive Data'!BE:BE,'[1]Finanace - Incentive Data'!BS:BS,"Y",'[1]Finanace - Incentive Data'!H:H,$C$411,'[1]Finanace - Incentive Data'!R:R,$B424)</f>
        <v>0</v>
      </c>
      <c r="O424" s="8">
        <f t="shared" si="17"/>
        <v>0</v>
      </c>
    </row>
    <row r="425" spans="1:15" x14ac:dyDescent="0.3">
      <c r="A425" s="11"/>
      <c r="B425" s="5"/>
      <c r="C425" s="12"/>
      <c r="D425" s="13"/>
      <c r="E425" s="13"/>
      <c r="F425" s="5"/>
      <c r="G425" s="14"/>
      <c r="H425" s="15"/>
      <c r="I425" s="12"/>
      <c r="J425" s="5"/>
      <c r="K425" s="5"/>
      <c r="L425" s="8"/>
      <c r="M425" s="8"/>
      <c r="N425" s="8">
        <f>SUMIFS('[1]Finanace - Incentive Data'!BE:BE,'[1]Finanace - Incentive Data'!BS:BS,"Y",'[1]Finanace - Incentive Data'!H:H,$C$411,'[1]Finanace - Incentive Data'!R:R,$B425)</f>
        <v>0</v>
      </c>
      <c r="O425" s="8">
        <f t="shared" si="17"/>
        <v>0</v>
      </c>
    </row>
    <row r="426" spans="1:15" x14ac:dyDescent="0.3">
      <c r="A426" s="11"/>
      <c r="B426" s="5"/>
      <c r="C426" s="12"/>
      <c r="D426" s="13"/>
      <c r="E426" s="13"/>
      <c r="F426" s="5"/>
      <c r="G426" s="14"/>
      <c r="H426" s="15"/>
      <c r="I426" s="12"/>
      <c r="J426" s="5"/>
      <c r="K426" s="5"/>
      <c r="L426" s="8"/>
      <c r="M426" s="8"/>
      <c r="N426" s="8">
        <f>SUMIFS('[1]Finanace - Incentive Data'!BE:BE,'[1]Finanace - Incentive Data'!BS:BS,"Y",'[1]Finanace - Incentive Data'!H:H,$C$411,'[1]Finanace - Incentive Data'!R:R,$B426)</f>
        <v>0</v>
      </c>
      <c r="O426" s="8">
        <f t="shared" si="17"/>
        <v>0</v>
      </c>
    </row>
    <row r="427" spans="1:15" x14ac:dyDescent="0.3">
      <c r="A427" s="11"/>
      <c r="B427" s="5"/>
      <c r="C427" s="12"/>
      <c r="D427" s="13"/>
      <c r="E427" s="13"/>
      <c r="F427" s="5"/>
      <c r="G427" s="14"/>
      <c r="H427" s="15"/>
      <c r="I427" s="12"/>
      <c r="J427" s="5"/>
      <c r="K427" s="5"/>
      <c r="L427" s="8"/>
      <c r="M427" s="8"/>
      <c r="N427" s="8">
        <f>SUMIFS('[1]Finanace - Incentive Data'!BE:BE,'[1]Finanace - Incentive Data'!BS:BS,"Y",'[1]Finanace - Incentive Data'!H:H,$C$411,'[1]Finanace - Incentive Data'!R:R,$B427)</f>
        <v>0</v>
      </c>
      <c r="O427" s="8">
        <f t="shared" si="17"/>
        <v>0</v>
      </c>
    </row>
    <row r="428" spans="1:15" x14ac:dyDescent="0.3">
      <c r="A428" s="11"/>
      <c r="B428" s="5"/>
      <c r="C428" s="12"/>
      <c r="D428" s="13"/>
      <c r="E428" s="13"/>
      <c r="F428" s="5"/>
      <c r="G428" s="14"/>
      <c r="H428" s="15"/>
      <c r="I428" s="12"/>
      <c r="J428" s="5"/>
      <c r="K428" s="5"/>
      <c r="L428" s="8"/>
      <c r="M428" s="8"/>
      <c r="N428" s="8">
        <f>SUMIFS('[1]Finanace - Incentive Data'!BE:BE,'[1]Finanace - Incentive Data'!BS:BS,"Y",'[1]Finanace - Incentive Data'!H:H,$C$411,'[1]Finanace - Incentive Data'!R:R,$B428)</f>
        <v>0</v>
      </c>
      <c r="O428" s="8">
        <f t="shared" si="17"/>
        <v>0</v>
      </c>
    </row>
    <row r="429" spans="1:15" x14ac:dyDescent="0.3">
      <c r="A429" s="11"/>
      <c r="B429" s="5"/>
      <c r="C429" s="12"/>
      <c r="D429" s="13"/>
      <c r="E429" s="13"/>
      <c r="F429" s="5"/>
      <c r="G429" s="14"/>
      <c r="H429" s="15"/>
      <c r="I429" s="12"/>
      <c r="J429" s="5"/>
      <c r="K429" s="5"/>
      <c r="L429" s="8"/>
      <c r="M429" s="8"/>
      <c r="N429" s="8">
        <f>SUMIFS('[1]Finanace - Incentive Data'!BE:BE,'[1]Finanace - Incentive Data'!BS:BS,"Y",'[1]Finanace - Incentive Data'!H:H,$C$411,'[1]Finanace - Incentive Data'!R:R,$B429)</f>
        <v>0</v>
      </c>
      <c r="O429" s="8">
        <f t="shared" si="17"/>
        <v>0</v>
      </c>
    </row>
    <row r="430" spans="1:15" x14ac:dyDescent="0.3">
      <c r="A430" s="11"/>
      <c r="B430" s="5"/>
      <c r="C430" s="12"/>
      <c r="D430" s="13"/>
      <c r="E430" s="13"/>
      <c r="F430" s="5"/>
      <c r="G430" s="14"/>
      <c r="H430" s="15"/>
      <c r="I430" s="12"/>
      <c r="J430" s="5"/>
      <c r="K430" s="5"/>
      <c r="L430" s="8"/>
      <c r="M430" s="8"/>
      <c r="N430" s="8">
        <f>SUMIFS('[1]Finanace - Incentive Data'!BE:BE,'[1]Finanace - Incentive Data'!BS:BS,"Y",'[1]Finanace - Incentive Data'!H:H,$C$411,'[1]Finanace - Incentive Data'!R:R,$B430)</f>
        <v>0</v>
      </c>
      <c r="O430" s="8">
        <f t="shared" si="17"/>
        <v>0</v>
      </c>
    </row>
    <row r="431" spans="1:15" x14ac:dyDescent="0.3">
      <c r="A431" s="11"/>
      <c r="B431" s="5"/>
      <c r="C431" s="12"/>
      <c r="D431" s="13"/>
      <c r="E431" s="13"/>
      <c r="F431" s="5"/>
      <c r="G431" s="14"/>
      <c r="H431" s="15"/>
      <c r="I431" s="12"/>
      <c r="J431" s="5"/>
      <c r="K431" s="5"/>
      <c r="L431" s="8"/>
      <c r="M431" s="8"/>
      <c r="N431" s="8">
        <f>SUMIFS('[1]Finanace - Incentive Data'!BE:BE,'[1]Finanace - Incentive Data'!BS:BS,"Y",'[1]Finanace - Incentive Data'!H:H,$C$411,'[1]Finanace - Incentive Data'!R:R,$B431)</f>
        <v>0</v>
      </c>
      <c r="O431" s="8">
        <f t="shared" si="17"/>
        <v>0</v>
      </c>
    </row>
    <row r="434" spans="1:15" ht="43.2" x14ac:dyDescent="0.3">
      <c r="A434" s="1" t="s">
        <v>0</v>
      </c>
      <c r="B434" s="1" t="s">
        <v>1</v>
      </c>
      <c r="C434" s="1" t="s">
        <v>2</v>
      </c>
      <c r="D434" s="1" t="s">
        <v>3</v>
      </c>
      <c r="E434" s="1" t="s">
        <v>4</v>
      </c>
      <c r="F434" s="1" t="s">
        <v>5</v>
      </c>
      <c r="G434" s="1" t="s">
        <v>6</v>
      </c>
      <c r="H434" s="1" t="s">
        <v>7</v>
      </c>
      <c r="I434" s="1" t="s">
        <v>8</v>
      </c>
      <c r="J434" s="1" t="s">
        <v>9</v>
      </c>
      <c r="K434" s="2" t="s">
        <v>10</v>
      </c>
      <c r="L434" s="2" t="s">
        <v>11</v>
      </c>
      <c r="M434" s="3"/>
      <c r="N434" s="3"/>
    </row>
    <row r="435" spans="1:15" x14ac:dyDescent="0.3">
      <c r="A435" s="5" t="s">
        <v>12</v>
      </c>
      <c r="B435" s="4" t="str">
        <f>_xlfn.XLOOKUP($C435,'[1]Basic EMP Data - 2026'!$D$3:$D$224,'[1]Basic EMP Data - 2026'!$C$3:$C$224)</f>
        <v>VB1615</v>
      </c>
      <c r="C435" s="6" t="s">
        <v>43</v>
      </c>
      <c r="D435" s="5" t="str">
        <f>VLOOKUP($B435,'[1]Basic EMP Data - 2026'!$C$3:$F$224,3,0)</f>
        <v>Kashif Nabi</v>
      </c>
      <c r="E435" s="5">
        <f>VLOOKUP($B435,'[1]Basic EMP Data - 2026'!$C$3:$I$224,5,0)</f>
        <v>6</v>
      </c>
      <c r="F435" s="5">
        <f>VLOOKUP($B435,'[1]Basic EMP Data - 2026'!$C$3:$I$224,6,0)</f>
        <v>2</v>
      </c>
      <c r="G435" s="7">
        <f>F435/E435</f>
        <v>0.33333333333333331</v>
      </c>
      <c r="H435" s="8">
        <f>SUM(L437:L455)</f>
        <v>4788.88</v>
      </c>
      <c r="I435" s="9" cm="1">
        <f t="array" ref="I435">_xlfn.IFS($G435&lt;=34%,0%,$G435&lt;=75%,3%,$G435&lt;=120%,4%,$G435&gt;120%,5%)</f>
        <v>0</v>
      </c>
      <c r="J435" s="8" cm="1">
        <f t="array" ref="J435">SUMPRODUCT((C437:C455=2026)*M437:M455*2)</f>
        <v>0</v>
      </c>
      <c r="K435" s="5">
        <f>SUM(N437:N455)</f>
        <v>0</v>
      </c>
      <c r="L435" s="8">
        <f>J435-K435</f>
        <v>0</v>
      </c>
      <c r="M435" s="3"/>
      <c r="N435" s="3"/>
    </row>
    <row r="436" spans="1:15" ht="43.2" x14ac:dyDescent="0.3">
      <c r="A436" s="10" t="s">
        <v>2</v>
      </c>
      <c r="B436" s="10" t="s">
        <v>14</v>
      </c>
      <c r="C436" s="10" t="s">
        <v>15</v>
      </c>
      <c r="D436" s="10" t="s">
        <v>16</v>
      </c>
      <c r="E436" s="10" t="s">
        <v>17</v>
      </c>
      <c r="F436" s="10" t="s">
        <v>18</v>
      </c>
      <c r="G436" s="10" t="s">
        <v>19</v>
      </c>
      <c r="H436" s="10" t="s">
        <v>20</v>
      </c>
      <c r="I436" s="10" t="s">
        <v>21</v>
      </c>
      <c r="J436" s="10" t="s">
        <v>22</v>
      </c>
      <c r="K436" s="10" t="s">
        <v>23</v>
      </c>
      <c r="L436" s="10" t="s">
        <v>24</v>
      </c>
      <c r="M436" s="10" t="s">
        <v>25</v>
      </c>
      <c r="N436" s="10" t="s">
        <v>26</v>
      </c>
      <c r="O436" s="10" t="s">
        <v>27</v>
      </c>
    </row>
    <row r="437" spans="1:15" x14ac:dyDescent="0.3">
      <c r="A437" s="11" t="str">
        <f>C435</f>
        <v>Harshita Mani Srivastava</v>
      </c>
      <c r="B437" s="5" t="str" cm="1">
        <f t="array" ref="B437:M438">_xlfn.LET(
  _xlpm.data, _xlfn._xlws.FILTER('[1]Finanace - Incentive Data'!A:CA, '[1]Finanace - Incentive Data'!H:H=$C435),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Mikael Kenneth Huff</v>
      </c>
      <c r="C437" s="12">
        <v>2026</v>
      </c>
      <c r="D437" s="13">
        <v>46044</v>
      </c>
      <c r="E437" s="13">
        <v>0</v>
      </c>
      <c r="F437" s="5" t="str">
        <v>CoForge</v>
      </c>
      <c r="G437" s="14" t="str">
        <v>PLC-4691</v>
      </c>
      <c r="H437" s="15" t="str">
        <v>C2C</v>
      </c>
      <c r="I437" s="12" t="str">
        <v>-</v>
      </c>
      <c r="J437" s="5" t="str">
        <v>-</v>
      </c>
      <c r="K437" s="5">
        <v>1136</v>
      </c>
      <c r="L437" s="8">
        <v>2831.2</v>
      </c>
      <c r="M437" s="8">
        <v>0</v>
      </c>
      <c r="N437" s="8">
        <f>SUMIFS('[1]Finanace - Incentive Data'!BE:BE,'[1]Finanace - Incentive Data'!BS:BS,"Y",'[1]Finanace - Incentive Data'!H:H,$C$435,'[1]Finanace - Incentive Data'!R:R,$B437)</f>
        <v>0</v>
      </c>
      <c r="O437" s="8">
        <f>M437-N437</f>
        <v>0</v>
      </c>
    </row>
    <row r="438" spans="1:15" x14ac:dyDescent="0.3">
      <c r="A438" s="11"/>
      <c r="B438" s="5" t="str">
        <v>Sandeep Choudary Paleru</v>
      </c>
      <c r="C438" s="12">
        <v>2026</v>
      </c>
      <c r="D438" s="13">
        <v>46058</v>
      </c>
      <c r="E438" s="13">
        <v>0</v>
      </c>
      <c r="F438" s="5" t="str">
        <v>Genpact</v>
      </c>
      <c r="G438" s="14" t="str">
        <v>PLC-4672</v>
      </c>
      <c r="H438" s="15" t="str">
        <v>C2C</v>
      </c>
      <c r="I438" s="12" t="str">
        <v>-</v>
      </c>
      <c r="J438" s="5" t="str">
        <v>-</v>
      </c>
      <c r="K438" s="5">
        <v>656</v>
      </c>
      <c r="L438" s="8">
        <v>1957.68</v>
      </c>
      <c r="M438" s="8">
        <v>0</v>
      </c>
      <c r="N438" s="8">
        <f>SUMIFS('[1]Finanace - Incentive Data'!BE:BE,'[1]Finanace - Incentive Data'!BS:BS,"Y",'[1]Finanace - Incentive Data'!H:H,$C$435,'[1]Finanace - Incentive Data'!R:R,$B438)</f>
        <v>0</v>
      </c>
      <c r="O438" s="8">
        <f t="shared" ref="O438:O455" si="18">M438-N438</f>
        <v>0</v>
      </c>
    </row>
    <row r="439" spans="1:15" x14ac:dyDescent="0.3">
      <c r="A439" s="11"/>
      <c r="B439" s="5"/>
      <c r="C439" s="12"/>
      <c r="D439" s="13"/>
      <c r="E439" s="13"/>
      <c r="F439" s="5"/>
      <c r="G439" s="14"/>
      <c r="H439" s="15"/>
      <c r="I439" s="12"/>
      <c r="J439" s="5"/>
      <c r="K439" s="5"/>
      <c r="L439" s="8"/>
      <c r="M439" s="8"/>
      <c r="N439" s="8">
        <f>SUMIFS('[1]Finanace - Incentive Data'!BE:BE,'[1]Finanace - Incentive Data'!BS:BS,"Y",'[1]Finanace - Incentive Data'!H:H,$C$435,'[1]Finanace - Incentive Data'!R:R,$B439)</f>
        <v>0</v>
      </c>
      <c r="O439" s="8">
        <f t="shared" si="18"/>
        <v>0</v>
      </c>
    </row>
    <row r="440" spans="1:15" x14ac:dyDescent="0.3">
      <c r="A440" s="11"/>
      <c r="B440" s="5"/>
      <c r="C440" s="12"/>
      <c r="D440" s="13"/>
      <c r="E440" s="13"/>
      <c r="F440" s="5"/>
      <c r="G440" s="14"/>
      <c r="H440" s="15"/>
      <c r="I440" s="12"/>
      <c r="J440" s="5"/>
      <c r="K440" s="5"/>
      <c r="L440" s="8"/>
      <c r="M440" s="8"/>
      <c r="N440" s="8">
        <f>SUMIFS('[1]Finanace - Incentive Data'!BE:BE,'[1]Finanace - Incentive Data'!BS:BS,"Y",'[1]Finanace - Incentive Data'!H:H,$C$435,'[1]Finanace - Incentive Data'!R:R,$B440)</f>
        <v>0</v>
      </c>
      <c r="O440" s="8">
        <f t="shared" si="18"/>
        <v>0</v>
      </c>
    </row>
    <row r="441" spans="1:15" x14ac:dyDescent="0.3">
      <c r="A441" s="11"/>
      <c r="B441" s="5"/>
      <c r="C441" s="12"/>
      <c r="D441" s="13"/>
      <c r="E441" s="13"/>
      <c r="F441" s="5"/>
      <c r="G441" s="14"/>
      <c r="H441" s="15"/>
      <c r="I441" s="12"/>
      <c r="J441" s="5"/>
      <c r="K441" s="5"/>
      <c r="L441" s="8"/>
      <c r="M441" s="8"/>
      <c r="N441" s="8">
        <f>SUMIFS('[1]Finanace - Incentive Data'!BE:BE,'[1]Finanace - Incentive Data'!BS:BS,"Y",'[1]Finanace - Incentive Data'!H:H,$C$435,'[1]Finanace - Incentive Data'!R:R,$B441)</f>
        <v>0</v>
      </c>
      <c r="O441" s="8">
        <f t="shared" si="18"/>
        <v>0</v>
      </c>
    </row>
    <row r="442" spans="1:15" x14ac:dyDescent="0.3">
      <c r="A442" s="11"/>
      <c r="B442" s="5"/>
      <c r="C442" s="12"/>
      <c r="D442" s="13"/>
      <c r="E442" s="13"/>
      <c r="F442" s="5"/>
      <c r="G442" s="14"/>
      <c r="H442" s="15"/>
      <c r="I442" s="12"/>
      <c r="J442" s="5"/>
      <c r="K442" s="5"/>
      <c r="L442" s="8"/>
      <c r="M442" s="8"/>
      <c r="N442" s="8">
        <f>SUMIFS('[1]Finanace - Incentive Data'!BE:BE,'[1]Finanace - Incentive Data'!BS:BS,"Y",'[1]Finanace - Incentive Data'!H:H,$C$435,'[1]Finanace - Incentive Data'!R:R,$B442)</f>
        <v>0</v>
      </c>
      <c r="O442" s="8">
        <f t="shared" si="18"/>
        <v>0</v>
      </c>
    </row>
    <row r="443" spans="1:15" x14ac:dyDescent="0.3">
      <c r="A443" s="11"/>
      <c r="B443" s="5"/>
      <c r="C443" s="12"/>
      <c r="D443" s="13"/>
      <c r="E443" s="13"/>
      <c r="F443" s="5"/>
      <c r="G443" s="14"/>
      <c r="H443" s="15"/>
      <c r="I443" s="12"/>
      <c r="J443" s="5"/>
      <c r="K443" s="5"/>
      <c r="L443" s="8"/>
      <c r="M443" s="8"/>
      <c r="N443" s="8">
        <f>SUMIFS('[1]Finanace - Incentive Data'!BE:BE,'[1]Finanace - Incentive Data'!BS:BS,"Y",'[1]Finanace - Incentive Data'!H:H,$C$435,'[1]Finanace - Incentive Data'!R:R,$B443)</f>
        <v>0</v>
      </c>
      <c r="O443" s="8">
        <f t="shared" si="18"/>
        <v>0</v>
      </c>
    </row>
    <row r="444" spans="1:15" x14ac:dyDescent="0.3">
      <c r="A444" s="11"/>
      <c r="B444" s="5"/>
      <c r="C444" s="12"/>
      <c r="D444" s="13"/>
      <c r="E444" s="13"/>
      <c r="F444" s="5"/>
      <c r="G444" s="14"/>
      <c r="H444" s="15"/>
      <c r="I444" s="12"/>
      <c r="J444" s="5"/>
      <c r="K444" s="5"/>
      <c r="L444" s="8"/>
      <c r="M444" s="8"/>
      <c r="N444" s="8">
        <f>SUMIFS('[1]Finanace - Incentive Data'!BE:BE,'[1]Finanace - Incentive Data'!BS:BS,"Y",'[1]Finanace - Incentive Data'!H:H,$C$435,'[1]Finanace - Incentive Data'!R:R,$B444)</f>
        <v>0</v>
      </c>
      <c r="O444" s="8">
        <f t="shared" si="18"/>
        <v>0</v>
      </c>
    </row>
    <row r="445" spans="1:15" x14ac:dyDescent="0.3">
      <c r="A445" s="11"/>
      <c r="B445" s="5"/>
      <c r="C445" s="12"/>
      <c r="D445" s="13"/>
      <c r="E445" s="13"/>
      <c r="F445" s="5"/>
      <c r="G445" s="14"/>
      <c r="H445" s="15"/>
      <c r="I445" s="12"/>
      <c r="J445" s="5"/>
      <c r="K445" s="5"/>
      <c r="L445" s="8"/>
      <c r="M445" s="8"/>
      <c r="N445" s="8">
        <f>SUMIFS('[1]Finanace - Incentive Data'!BE:BE,'[1]Finanace - Incentive Data'!BS:BS,"Y",'[1]Finanace - Incentive Data'!H:H,$C$435,'[1]Finanace - Incentive Data'!R:R,$B445)</f>
        <v>0</v>
      </c>
      <c r="O445" s="8">
        <f t="shared" si="18"/>
        <v>0</v>
      </c>
    </row>
    <row r="446" spans="1:15" x14ac:dyDescent="0.3">
      <c r="A446" s="11"/>
      <c r="B446" s="5"/>
      <c r="C446" s="12"/>
      <c r="D446" s="13"/>
      <c r="E446" s="13"/>
      <c r="F446" s="5"/>
      <c r="G446" s="14"/>
      <c r="H446" s="15"/>
      <c r="I446" s="12"/>
      <c r="J446" s="5"/>
      <c r="K446" s="5"/>
      <c r="L446" s="8"/>
      <c r="M446" s="8"/>
      <c r="N446" s="8">
        <f>SUMIFS('[1]Finanace - Incentive Data'!BE:BE,'[1]Finanace - Incentive Data'!BS:BS,"Y",'[1]Finanace - Incentive Data'!H:H,$C$435,'[1]Finanace - Incentive Data'!R:R,$B446)</f>
        <v>0</v>
      </c>
      <c r="O446" s="8">
        <f t="shared" si="18"/>
        <v>0</v>
      </c>
    </row>
    <row r="447" spans="1:15" x14ac:dyDescent="0.3">
      <c r="A447" s="11"/>
      <c r="B447" s="5"/>
      <c r="C447" s="12"/>
      <c r="D447" s="13"/>
      <c r="E447" s="13"/>
      <c r="F447" s="5"/>
      <c r="G447" s="14"/>
      <c r="H447" s="15"/>
      <c r="I447" s="12"/>
      <c r="J447" s="5"/>
      <c r="K447" s="5"/>
      <c r="L447" s="8"/>
      <c r="M447" s="8"/>
      <c r="N447" s="8">
        <f>SUMIFS('[1]Finanace - Incentive Data'!BE:BE,'[1]Finanace - Incentive Data'!BS:BS,"Y",'[1]Finanace - Incentive Data'!H:H,$C$435,'[1]Finanace - Incentive Data'!R:R,$B447)</f>
        <v>0</v>
      </c>
      <c r="O447" s="8">
        <f t="shared" si="18"/>
        <v>0</v>
      </c>
    </row>
    <row r="448" spans="1:15" x14ac:dyDescent="0.3">
      <c r="A448" s="11"/>
      <c r="B448" s="5"/>
      <c r="C448" s="12"/>
      <c r="D448" s="13"/>
      <c r="E448" s="13"/>
      <c r="F448" s="5"/>
      <c r="G448" s="14"/>
      <c r="H448" s="15"/>
      <c r="I448" s="12"/>
      <c r="J448" s="5"/>
      <c r="K448" s="5"/>
      <c r="L448" s="8"/>
      <c r="M448" s="8"/>
      <c r="N448" s="8">
        <f>SUMIFS('[1]Finanace - Incentive Data'!BE:BE,'[1]Finanace - Incentive Data'!BS:BS,"Y",'[1]Finanace - Incentive Data'!H:H,$C$435,'[1]Finanace - Incentive Data'!R:R,$B448)</f>
        <v>0</v>
      </c>
      <c r="O448" s="8">
        <f t="shared" si="18"/>
        <v>0</v>
      </c>
    </row>
    <row r="449" spans="1:15" x14ac:dyDescent="0.3">
      <c r="A449" s="11"/>
      <c r="B449" s="5"/>
      <c r="C449" s="12"/>
      <c r="D449" s="13"/>
      <c r="E449" s="13"/>
      <c r="F449" s="5"/>
      <c r="G449" s="14"/>
      <c r="H449" s="15"/>
      <c r="I449" s="12"/>
      <c r="J449" s="5"/>
      <c r="K449" s="5"/>
      <c r="L449" s="8"/>
      <c r="M449" s="8"/>
      <c r="N449" s="8">
        <f>SUMIFS('[1]Finanace - Incentive Data'!BE:BE,'[1]Finanace - Incentive Data'!BS:BS,"Y",'[1]Finanace - Incentive Data'!H:H,$C$435,'[1]Finanace - Incentive Data'!R:R,$B449)</f>
        <v>0</v>
      </c>
      <c r="O449" s="8">
        <f t="shared" si="18"/>
        <v>0</v>
      </c>
    </row>
    <row r="450" spans="1:15" x14ac:dyDescent="0.3">
      <c r="A450" s="11"/>
      <c r="B450" s="5"/>
      <c r="C450" s="12"/>
      <c r="D450" s="13"/>
      <c r="E450" s="13"/>
      <c r="F450" s="5"/>
      <c r="G450" s="14"/>
      <c r="H450" s="15"/>
      <c r="I450" s="12"/>
      <c r="J450" s="5"/>
      <c r="K450" s="5"/>
      <c r="L450" s="8"/>
      <c r="M450" s="8"/>
      <c r="N450" s="8">
        <f>SUMIFS('[1]Finanace - Incentive Data'!BE:BE,'[1]Finanace - Incentive Data'!BS:BS,"Y",'[1]Finanace - Incentive Data'!H:H,$C$435,'[1]Finanace - Incentive Data'!R:R,$B450)</f>
        <v>0</v>
      </c>
      <c r="O450" s="8">
        <f t="shared" si="18"/>
        <v>0</v>
      </c>
    </row>
    <row r="451" spans="1:15" x14ac:dyDescent="0.3">
      <c r="A451" s="11"/>
      <c r="B451" s="5"/>
      <c r="C451" s="12"/>
      <c r="D451" s="13"/>
      <c r="E451" s="13"/>
      <c r="F451" s="5"/>
      <c r="G451" s="14"/>
      <c r="H451" s="15"/>
      <c r="I451" s="12"/>
      <c r="J451" s="5"/>
      <c r="K451" s="5"/>
      <c r="L451" s="8"/>
      <c r="M451" s="8"/>
      <c r="N451" s="8">
        <f>SUMIFS('[1]Finanace - Incentive Data'!BE:BE,'[1]Finanace - Incentive Data'!BS:BS,"Y",'[1]Finanace - Incentive Data'!H:H,$C$435,'[1]Finanace - Incentive Data'!R:R,$B451)</f>
        <v>0</v>
      </c>
      <c r="O451" s="8">
        <f t="shared" si="18"/>
        <v>0</v>
      </c>
    </row>
    <row r="452" spans="1:15" x14ac:dyDescent="0.3">
      <c r="A452" s="11"/>
      <c r="B452" s="5"/>
      <c r="C452" s="12"/>
      <c r="D452" s="13"/>
      <c r="E452" s="13"/>
      <c r="F452" s="5"/>
      <c r="G452" s="14"/>
      <c r="H452" s="15"/>
      <c r="I452" s="12"/>
      <c r="J452" s="5"/>
      <c r="K452" s="5"/>
      <c r="L452" s="8"/>
      <c r="M452" s="8"/>
      <c r="N452" s="8">
        <f>SUMIFS('[1]Finanace - Incentive Data'!BE:BE,'[1]Finanace - Incentive Data'!BS:BS,"Y",'[1]Finanace - Incentive Data'!H:H,$C$435,'[1]Finanace - Incentive Data'!R:R,$B452)</f>
        <v>0</v>
      </c>
      <c r="O452" s="8">
        <f t="shared" si="18"/>
        <v>0</v>
      </c>
    </row>
    <row r="453" spans="1:15" x14ac:dyDescent="0.3">
      <c r="A453" s="11"/>
      <c r="B453" s="5"/>
      <c r="C453" s="12"/>
      <c r="D453" s="13"/>
      <c r="E453" s="13"/>
      <c r="F453" s="5"/>
      <c r="G453" s="14"/>
      <c r="H453" s="15"/>
      <c r="I453" s="12"/>
      <c r="J453" s="5"/>
      <c r="K453" s="5"/>
      <c r="L453" s="8"/>
      <c r="M453" s="8"/>
      <c r="N453" s="8">
        <f>SUMIFS('[1]Finanace - Incentive Data'!BE:BE,'[1]Finanace - Incentive Data'!BS:BS,"Y",'[1]Finanace - Incentive Data'!H:H,$C$435,'[1]Finanace - Incentive Data'!R:R,$B453)</f>
        <v>0</v>
      </c>
      <c r="O453" s="8">
        <f t="shared" si="18"/>
        <v>0</v>
      </c>
    </row>
    <row r="454" spans="1:15" x14ac:dyDescent="0.3">
      <c r="A454" s="11"/>
      <c r="B454" s="5"/>
      <c r="C454" s="12"/>
      <c r="D454" s="13"/>
      <c r="E454" s="13"/>
      <c r="F454" s="5"/>
      <c r="G454" s="14"/>
      <c r="H454" s="15"/>
      <c r="I454" s="12"/>
      <c r="J454" s="5"/>
      <c r="K454" s="5"/>
      <c r="L454" s="8"/>
      <c r="M454" s="8"/>
      <c r="N454" s="8">
        <f>SUMIFS('[1]Finanace - Incentive Data'!BE:BE,'[1]Finanace - Incentive Data'!BS:BS,"Y",'[1]Finanace - Incentive Data'!H:H,$C$435,'[1]Finanace - Incentive Data'!R:R,$B454)</f>
        <v>0</v>
      </c>
      <c r="O454" s="8">
        <f t="shared" si="18"/>
        <v>0</v>
      </c>
    </row>
    <row r="455" spans="1:15" x14ac:dyDescent="0.3">
      <c r="A455" s="11"/>
      <c r="B455" s="5"/>
      <c r="C455" s="12"/>
      <c r="D455" s="13"/>
      <c r="E455" s="13"/>
      <c r="F455" s="5"/>
      <c r="G455" s="14"/>
      <c r="H455" s="15"/>
      <c r="I455" s="12"/>
      <c r="J455" s="5"/>
      <c r="K455" s="5"/>
      <c r="L455" s="8"/>
      <c r="M455" s="8"/>
      <c r="N455" s="8">
        <f>SUMIFS('[1]Finanace - Incentive Data'!BE:BE,'[1]Finanace - Incentive Data'!BS:BS,"Y",'[1]Finanace - Incentive Data'!H:H,$C$435,'[1]Finanace - Incentive Data'!R:R,$B455)</f>
        <v>0</v>
      </c>
      <c r="O455" s="8">
        <f t="shared" si="18"/>
        <v>0</v>
      </c>
    </row>
    <row r="457" spans="1:15" ht="43.2" x14ac:dyDescent="0.3">
      <c r="A457" s="1" t="s">
        <v>0</v>
      </c>
      <c r="B457" s="1" t="s">
        <v>1</v>
      </c>
      <c r="C457" s="1" t="s">
        <v>2</v>
      </c>
      <c r="D457" s="1" t="s">
        <v>3</v>
      </c>
      <c r="E457" s="1" t="s">
        <v>4</v>
      </c>
      <c r="F457" s="1" t="s">
        <v>5</v>
      </c>
      <c r="G457" s="1" t="s">
        <v>6</v>
      </c>
      <c r="H457" s="1" t="s">
        <v>7</v>
      </c>
      <c r="I457" s="1" t="s">
        <v>8</v>
      </c>
      <c r="J457" s="1" t="s">
        <v>9</v>
      </c>
      <c r="K457" s="2" t="s">
        <v>10</v>
      </c>
      <c r="L457" s="2" t="s">
        <v>11</v>
      </c>
      <c r="M457" s="3"/>
      <c r="N457" s="3"/>
    </row>
    <row r="458" spans="1:15" x14ac:dyDescent="0.3">
      <c r="A458" s="5" t="s">
        <v>12</v>
      </c>
      <c r="B458" s="4" t="str">
        <f>_xlfn.XLOOKUP($C458,'[1]Basic EMP Data - 2026'!$D$3:$D$224,'[1]Basic EMP Data - 2026'!$C$3:$C$224)</f>
        <v>VB1133</v>
      </c>
      <c r="C458" s="6" t="s">
        <v>44</v>
      </c>
      <c r="D458" s="5" t="str">
        <f>VLOOKUP($B458,'[1]Basic EMP Data - 2026'!$C$3:$F$224,3,0)</f>
        <v>Kashif Nabi</v>
      </c>
      <c r="E458" s="5">
        <f>VLOOKUP($B458,'[1]Basic EMP Data - 2026'!$C$3:$I$224,5,0)</f>
        <v>8</v>
      </c>
      <c r="F458" s="5">
        <f>VLOOKUP($B458,'[1]Basic EMP Data - 2026'!$C$3:$I$224,6,0)</f>
        <v>3</v>
      </c>
      <c r="G458" s="7">
        <f>F458/E458</f>
        <v>0.375</v>
      </c>
      <c r="H458" s="8">
        <f>SUM(L460:L478)</f>
        <v>4973.5422559999988</v>
      </c>
      <c r="I458" s="9" cm="1">
        <f t="array" ref="I458">_xlfn.IFS($G458&lt;=34%,0%,$G458&lt;=75%,3%,$G458&lt;=120%,4%,$G458&gt;120%,5%)</f>
        <v>0.03</v>
      </c>
      <c r="J458" s="8" cm="1">
        <f t="array" ref="J458">SUMPRODUCT((C460:C478=2026)*M460:M478*2)</f>
        <v>13130.151555839995</v>
      </c>
      <c r="K458" s="5">
        <f>SUM(N460:N478)</f>
        <v>4506.8657779199984</v>
      </c>
      <c r="L458" s="8">
        <f>J458-K458</f>
        <v>8623.2857779199967</v>
      </c>
      <c r="M458" s="3"/>
      <c r="N458" s="3"/>
    </row>
    <row r="459" spans="1:15" ht="43.2" x14ac:dyDescent="0.3">
      <c r="A459" s="10" t="s">
        <v>2</v>
      </c>
      <c r="B459" s="10" t="s">
        <v>14</v>
      </c>
      <c r="C459" s="10" t="s">
        <v>15</v>
      </c>
      <c r="D459" s="10" t="s">
        <v>16</v>
      </c>
      <c r="E459" s="10" t="s">
        <v>17</v>
      </c>
      <c r="F459" s="10" t="s">
        <v>18</v>
      </c>
      <c r="G459" s="10" t="s">
        <v>19</v>
      </c>
      <c r="H459" s="10" t="s">
        <v>20</v>
      </c>
      <c r="I459" s="10" t="s">
        <v>21</v>
      </c>
      <c r="J459" s="10" t="s">
        <v>22</v>
      </c>
      <c r="K459" s="10" t="s">
        <v>23</v>
      </c>
      <c r="L459" s="10" t="s">
        <v>24</v>
      </c>
      <c r="M459" s="10" t="s">
        <v>25</v>
      </c>
      <c r="N459" s="10" t="s">
        <v>26</v>
      </c>
      <c r="O459" s="10" t="s">
        <v>27</v>
      </c>
    </row>
    <row r="460" spans="1:15" x14ac:dyDescent="0.3">
      <c r="A460" s="11" t="str">
        <f>C458</f>
        <v>Ubaid Rahman</v>
      </c>
      <c r="B460" s="5" t="str" cm="1">
        <f t="array" ref="B460:M462">_xlfn.LET(
  _xlpm.data, _xlfn._xlws.FILTER('[1]Finanace - Incentive Data'!A:CA, '[1]Finanace - Incentive Data'!H:H=$C458),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Manikanta Manoj Paruchuri</v>
      </c>
      <c r="C460" s="12">
        <v>2026</v>
      </c>
      <c r="D460" s="13">
        <v>46118</v>
      </c>
      <c r="E460" s="13">
        <v>0</v>
      </c>
      <c r="F460" s="5" t="str">
        <v>GRI</v>
      </c>
      <c r="G460" s="14" t="str">
        <v>PLC-4756</v>
      </c>
      <c r="H460" s="15" t="str">
        <v>C2C</v>
      </c>
      <c r="I460" s="12" t="str">
        <v>-</v>
      </c>
      <c r="J460" s="5" t="str">
        <v>-</v>
      </c>
      <c r="K460" s="5">
        <v>184</v>
      </c>
      <c r="L460" s="8">
        <v>1526.7922559999984</v>
      </c>
      <c r="M460" s="8">
        <v>2015.365777919998</v>
      </c>
      <c r="N460" s="8">
        <f>SUMIFS('[1]Finanace - Incentive Data'!BE:BE,'[1]Finanace - Incentive Data'!BS:BS,"Y",'[1]Finanace - Incentive Data'!H:H,$C$458,'[1]Finanace - Incentive Data'!R:R,$B460)</f>
        <v>2015.365777919998</v>
      </c>
      <c r="O460" s="8">
        <f>M460-N460</f>
        <v>0</v>
      </c>
    </row>
    <row r="461" spans="1:15" x14ac:dyDescent="0.3">
      <c r="A461" s="11"/>
      <c r="B461" s="5" t="str">
        <v xml:space="preserve">Nandan Rao Gorrey Sammaiah </v>
      </c>
      <c r="C461" s="12">
        <v>2026</v>
      </c>
      <c r="D461" s="13">
        <v>46162</v>
      </c>
      <c r="E461" s="13">
        <v>0</v>
      </c>
      <c r="F461" s="5" t="str">
        <v>Genpact</v>
      </c>
      <c r="G461" s="14">
        <v>0</v>
      </c>
      <c r="H461" s="15" t="str">
        <v>C2C</v>
      </c>
      <c r="I461" s="12" t="str">
        <v>-</v>
      </c>
      <c r="J461" s="5" t="str">
        <v>-</v>
      </c>
      <c r="K461" s="5">
        <v>0</v>
      </c>
      <c r="L461" s="8">
        <v>0</v>
      </c>
      <c r="M461" s="8">
        <v>0</v>
      </c>
      <c r="N461" s="8">
        <f>SUMIFS('[1]Finanace - Incentive Data'!BE:BE,'[1]Finanace - Incentive Data'!BS:BS,"Y",'[1]Finanace - Incentive Data'!H:H,$C$458,'[1]Finanace - Incentive Data'!R:R,$B461)</f>
        <v>0</v>
      </c>
      <c r="O461" s="8">
        <f>M461-N461</f>
        <v>0</v>
      </c>
    </row>
    <row r="462" spans="1:15" x14ac:dyDescent="0.3">
      <c r="A462" s="11"/>
      <c r="B462" s="5" t="str">
        <v>Varsha Tiwari</v>
      </c>
      <c r="C462" s="12">
        <v>2026</v>
      </c>
      <c r="D462" s="13">
        <v>46057</v>
      </c>
      <c r="E462" s="13">
        <v>0</v>
      </c>
      <c r="F462" s="5" t="str">
        <v>Genpact</v>
      </c>
      <c r="G462" s="14" t="str">
        <v>PLC-4693</v>
      </c>
      <c r="H462" s="15" t="str">
        <v>C2C</v>
      </c>
      <c r="I462" s="12" t="str">
        <v>-</v>
      </c>
      <c r="J462" s="5" t="str">
        <v>-</v>
      </c>
      <c r="K462" s="5">
        <v>692.5</v>
      </c>
      <c r="L462" s="8">
        <v>3446.75</v>
      </c>
      <c r="M462" s="8">
        <v>4549.71</v>
      </c>
      <c r="N462" s="8">
        <f>SUMIFS('[1]Finanace - Incentive Data'!BE:BE,'[1]Finanace - Incentive Data'!BS:BS,"Y",'[1]Finanace - Incentive Data'!H:H,$C$458,'[1]Finanace - Incentive Data'!R:R,$B462)</f>
        <v>2491.5</v>
      </c>
      <c r="O462" s="8">
        <f t="shared" ref="O462:O478" si="19">M462-N462</f>
        <v>2058.21</v>
      </c>
    </row>
    <row r="463" spans="1:15" x14ac:dyDescent="0.3">
      <c r="A463" s="11"/>
      <c r="B463" s="5"/>
      <c r="C463" s="12"/>
      <c r="D463" s="13"/>
      <c r="E463" s="13"/>
      <c r="F463" s="5"/>
      <c r="G463" s="14"/>
      <c r="H463" s="15"/>
      <c r="I463" s="12"/>
      <c r="J463" s="5"/>
      <c r="K463" s="5"/>
      <c r="L463" s="8"/>
      <c r="M463" s="8"/>
      <c r="N463" s="8">
        <f>SUMIFS('[1]Finanace - Incentive Data'!BE:BE,'[1]Finanace - Incentive Data'!BS:BS,"Y",'[1]Finanace - Incentive Data'!H:H,$C$458,'[1]Finanace - Incentive Data'!R:R,$B463)</f>
        <v>0</v>
      </c>
      <c r="O463" s="8">
        <f t="shared" si="19"/>
        <v>0</v>
      </c>
    </row>
    <row r="464" spans="1:15" x14ac:dyDescent="0.3">
      <c r="A464" s="11"/>
      <c r="B464" s="5"/>
      <c r="C464" s="12"/>
      <c r="D464" s="13"/>
      <c r="E464" s="13"/>
      <c r="F464" s="5"/>
      <c r="G464" s="14"/>
      <c r="H464" s="15"/>
      <c r="I464" s="12"/>
      <c r="J464" s="5"/>
      <c r="K464" s="5"/>
      <c r="L464" s="8"/>
      <c r="M464" s="8"/>
      <c r="N464" s="8">
        <f>SUMIFS('[1]Finanace - Incentive Data'!BE:BE,'[1]Finanace - Incentive Data'!BS:BS,"Y",'[1]Finanace - Incentive Data'!H:H,$C$458,'[1]Finanace - Incentive Data'!R:R,$B464)</f>
        <v>0</v>
      </c>
      <c r="O464" s="8">
        <f t="shared" si="19"/>
        <v>0</v>
      </c>
    </row>
    <row r="465" spans="1:15" x14ac:dyDescent="0.3">
      <c r="A465" s="11"/>
      <c r="B465" s="5"/>
      <c r="C465" s="12"/>
      <c r="D465" s="13"/>
      <c r="E465" s="13"/>
      <c r="F465" s="5"/>
      <c r="G465" s="14"/>
      <c r="H465" s="15"/>
      <c r="I465" s="12"/>
      <c r="J465" s="5"/>
      <c r="K465" s="5"/>
      <c r="L465" s="8"/>
      <c r="M465" s="8"/>
      <c r="N465" s="8">
        <f>SUMIFS('[1]Finanace - Incentive Data'!BE:BE,'[1]Finanace - Incentive Data'!BS:BS,"Y",'[1]Finanace - Incentive Data'!H:H,$C$458,'[1]Finanace - Incentive Data'!R:R,$B465)</f>
        <v>0</v>
      </c>
      <c r="O465" s="8">
        <f t="shared" si="19"/>
        <v>0</v>
      </c>
    </row>
    <row r="466" spans="1:15" x14ac:dyDescent="0.3">
      <c r="A466" s="11"/>
      <c r="B466" s="5"/>
      <c r="C466" s="12"/>
      <c r="D466" s="13"/>
      <c r="E466" s="13"/>
      <c r="F466" s="5"/>
      <c r="G466" s="14"/>
      <c r="H466" s="15"/>
      <c r="I466" s="12"/>
      <c r="J466" s="5"/>
      <c r="K466" s="5"/>
      <c r="L466" s="8"/>
      <c r="M466" s="8"/>
      <c r="N466" s="8">
        <f>SUMIFS('[1]Finanace - Incentive Data'!BE:BE,'[1]Finanace - Incentive Data'!BS:BS,"Y",'[1]Finanace - Incentive Data'!H:H,$C$458,'[1]Finanace - Incentive Data'!R:R,$B466)</f>
        <v>0</v>
      </c>
      <c r="O466" s="8">
        <f t="shared" si="19"/>
        <v>0</v>
      </c>
    </row>
    <row r="467" spans="1:15" x14ac:dyDescent="0.3">
      <c r="A467" s="11"/>
      <c r="B467" s="5"/>
      <c r="C467" s="12"/>
      <c r="D467" s="13"/>
      <c r="E467" s="13"/>
      <c r="F467" s="5"/>
      <c r="G467" s="14"/>
      <c r="H467" s="15"/>
      <c r="I467" s="12"/>
      <c r="J467" s="5"/>
      <c r="K467" s="5"/>
      <c r="L467" s="8"/>
      <c r="M467" s="8"/>
      <c r="N467" s="8">
        <f>SUMIFS('[1]Finanace - Incentive Data'!BE:BE,'[1]Finanace - Incentive Data'!BS:BS,"Y",'[1]Finanace - Incentive Data'!H:H,$C$458,'[1]Finanace - Incentive Data'!R:R,$B467)</f>
        <v>0</v>
      </c>
      <c r="O467" s="8">
        <f t="shared" si="19"/>
        <v>0</v>
      </c>
    </row>
    <row r="468" spans="1:15" x14ac:dyDescent="0.3">
      <c r="A468" s="11"/>
      <c r="B468" s="5"/>
      <c r="C468" s="12"/>
      <c r="D468" s="13"/>
      <c r="E468" s="13"/>
      <c r="F468" s="5"/>
      <c r="G468" s="14"/>
      <c r="H468" s="15"/>
      <c r="I468" s="12"/>
      <c r="J468" s="5"/>
      <c r="K468" s="5"/>
      <c r="L468" s="8"/>
      <c r="M468" s="8"/>
      <c r="N468" s="8">
        <f>SUMIFS('[1]Finanace - Incentive Data'!BE:BE,'[1]Finanace - Incentive Data'!BS:BS,"Y",'[1]Finanace - Incentive Data'!H:H,$C$458,'[1]Finanace - Incentive Data'!R:R,$B468)</f>
        <v>0</v>
      </c>
      <c r="O468" s="8">
        <f t="shared" si="19"/>
        <v>0</v>
      </c>
    </row>
    <row r="469" spans="1:15" x14ac:dyDescent="0.3">
      <c r="A469" s="11"/>
      <c r="B469" s="5"/>
      <c r="C469" s="12"/>
      <c r="D469" s="13"/>
      <c r="E469" s="13"/>
      <c r="F469" s="5"/>
      <c r="G469" s="14"/>
      <c r="H469" s="15"/>
      <c r="I469" s="12"/>
      <c r="J469" s="5"/>
      <c r="K469" s="5"/>
      <c r="L469" s="8"/>
      <c r="M469" s="8"/>
      <c r="N469" s="8">
        <f>SUMIFS('[1]Finanace - Incentive Data'!BE:BE,'[1]Finanace - Incentive Data'!BS:BS,"Y",'[1]Finanace - Incentive Data'!H:H,$C$458,'[1]Finanace - Incentive Data'!R:R,$B469)</f>
        <v>0</v>
      </c>
      <c r="O469" s="8">
        <f t="shared" si="19"/>
        <v>0</v>
      </c>
    </row>
    <row r="470" spans="1:15" x14ac:dyDescent="0.3">
      <c r="A470" s="11"/>
      <c r="B470" s="5"/>
      <c r="C470" s="12"/>
      <c r="D470" s="13"/>
      <c r="E470" s="13"/>
      <c r="F470" s="5"/>
      <c r="G470" s="14"/>
      <c r="H470" s="15"/>
      <c r="I470" s="12"/>
      <c r="J470" s="5"/>
      <c r="K470" s="5"/>
      <c r="L470" s="8"/>
      <c r="M470" s="8"/>
      <c r="N470" s="8">
        <f>SUMIFS('[1]Finanace - Incentive Data'!BE:BE,'[1]Finanace - Incentive Data'!BS:BS,"Y",'[1]Finanace - Incentive Data'!H:H,$C$458,'[1]Finanace - Incentive Data'!R:R,$B470)</f>
        <v>0</v>
      </c>
      <c r="O470" s="8">
        <f t="shared" si="19"/>
        <v>0</v>
      </c>
    </row>
    <row r="471" spans="1:15" x14ac:dyDescent="0.3">
      <c r="A471" s="11"/>
      <c r="B471" s="5"/>
      <c r="C471" s="12"/>
      <c r="D471" s="13"/>
      <c r="E471" s="13"/>
      <c r="F471" s="5"/>
      <c r="G471" s="14"/>
      <c r="H471" s="15"/>
      <c r="I471" s="12"/>
      <c r="J471" s="5"/>
      <c r="K471" s="5"/>
      <c r="L471" s="8"/>
      <c r="M471" s="8"/>
      <c r="N471" s="8">
        <f>SUMIFS('[1]Finanace - Incentive Data'!BE:BE,'[1]Finanace - Incentive Data'!BS:BS,"Y",'[1]Finanace - Incentive Data'!H:H,$C$458,'[1]Finanace - Incentive Data'!R:R,$B471)</f>
        <v>0</v>
      </c>
      <c r="O471" s="8">
        <f t="shared" si="19"/>
        <v>0</v>
      </c>
    </row>
    <row r="472" spans="1:15" x14ac:dyDescent="0.3">
      <c r="A472" s="11"/>
      <c r="B472" s="5"/>
      <c r="C472" s="12"/>
      <c r="D472" s="13"/>
      <c r="E472" s="13"/>
      <c r="F472" s="5"/>
      <c r="G472" s="14"/>
      <c r="H472" s="15"/>
      <c r="I472" s="12"/>
      <c r="J472" s="5"/>
      <c r="K472" s="5"/>
      <c r="L472" s="8"/>
      <c r="M472" s="8"/>
      <c r="N472" s="8">
        <f>SUMIFS('[1]Finanace - Incentive Data'!BE:BE,'[1]Finanace - Incentive Data'!BS:BS,"Y",'[1]Finanace - Incentive Data'!H:H,$C$458,'[1]Finanace - Incentive Data'!R:R,$B472)</f>
        <v>0</v>
      </c>
      <c r="O472" s="8">
        <f t="shared" si="19"/>
        <v>0</v>
      </c>
    </row>
    <row r="473" spans="1:15" x14ac:dyDescent="0.3">
      <c r="A473" s="11"/>
      <c r="B473" s="5"/>
      <c r="C473" s="12"/>
      <c r="D473" s="13"/>
      <c r="E473" s="13"/>
      <c r="F473" s="5"/>
      <c r="G473" s="14"/>
      <c r="H473" s="15"/>
      <c r="I473" s="12"/>
      <c r="J473" s="5"/>
      <c r="K473" s="5"/>
      <c r="L473" s="8"/>
      <c r="M473" s="8"/>
      <c r="N473" s="8">
        <f>SUMIFS('[1]Finanace - Incentive Data'!BE:BE,'[1]Finanace - Incentive Data'!BS:BS,"Y",'[1]Finanace - Incentive Data'!H:H,$C$458,'[1]Finanace - Incentive Data'!R:R,$B473)</f>
        <v>0</v>
      </c>
      <c r="O473" s="8">
        <f t="shared" si="19"/>
        <v>0</v>
      </c>
    </row>
    <row r="474" spans="1:15" x14ac:dyDescent="0.3">
      <c r="A474" s="11"/>
      <c r="B474" s="5"/>
      <c r="C474" s="12"/>
      <c r="D474" s="13"/>
      <c r="E474" s="13"/>
      <c r="F474" s="5"/>
      <c r="G474" s="14"/>
      <c r="H474" s="15"/>
      <c r="I474" s="12"/>
      <c r="J474" s="5"/>
      <c r="K474" s="5"/>
      <c r="L474" s="8"/>
      <c r="M474" s="8"/>
      <c r="N474" s="8">
        <f>SUMIFS('[1]Finanace - Incentive Data'!BE:BE,'[1]Finanace - Incentive Data'!BS:BS,"Y",'[1]Finanace - Incentive Data'!H:H,$C$458,'[1]Finanace - Incentive Data'!R:R,$B474)</f>
        <v>0</v>
      </c>
      <c r="O474" s="8">
        <f t="shared" si="19"/>
        <v>0</v>
      </c>
    </row>
    <row r="475" spans="1:15" x14ac:dyDescent="0.3">
      <c r="A475" s="11"/>
      <c r="B475" s="5"/>
      <c r="C475" s="12"/>
      <c r="D475" s="13"/>
      <c r="E475" s="13"/>
      <c r="F475" s="5"/>
      <c r="G475" s="14"/>
      <c r="H475" s="15"/>
      <c r="I475" s="12"/>
      <c r="J475" s="5"/>
      <c r="K475" s="5"/>
      <c r="L475" s="8"/>
      <c r="M475" s="8"/>
      <c r="N475" s="8">
        <f>SUMIFS('[1]Finanace - Incentive Data'!BE:BE,'[1]Finanace - Incentive Data'!BS:BS,"Y",'[1]Finanace - Incentive Data'!H:H,$C$458,'[1]Finanace - Incentive Data'!R:R,$B475)</f>
        <v>0</v>
      </c>
      <c r="O475" s="8">
        <f t="shared" si="19"/>
        <v>0</v>
      </c>
    </row>
    <row r="476" spans="1:15" x14ac:dyDescent="0.3">
      <c r="A476" s="11"/>
      <c r="B476" s="5"/>
      <c r="C476" s="12"/>
      <c r="D476" s="13"/>
      <c r="E476" s="13"/>
      <c r="F476" s="5"/>
      <c r="G476" s="14"/>
      <c r="H476" s="15"/>
      <c r="I476" s="12"/>
      <c r="J476" s="5"/>
      <c r="K476" s="5"/>
      <c r="L476" s="8"/>
      <c r="M476" s="8"/>
      <c r="N476" s="8">
        <f>SUMIFS('[1]Finanace - Incentive Data'!BE:BE,'[1]Finanace - Incentive Data'!BS:BS,"Y",'[1]Finanace - Incentive Data'!H:H,$C$458,'[1]Finanace - Incentive Data'!R:R,$B476)</f>
        <v>0</v>
      </c>
      <c r="O476" s="8">
        <f t="shared" si="19"/>
        <v>0</v>
      </c>
    </row>
    <row r="477" spans="1:15" x14ac:dyDescent="0.3">
      <c r="A477" s="11"/>
      <c r="B477" s="5"/>
      <c r="C477" s="12"/>
      <c r="D477" s="13"/>
      <c r="E477" s="13"/>
      <c r="F477" s="5"/>
      <c r="G477" s="14"/>
      <c r="H477" s="15"/>
      <c r="I477" s="12"/>
      <c r="J477" s="5"/>
      <c r="K477" s="5"/>
      <c r="L477" s="8"/>
      <c r="M477" s="8"/>
      <c r="N477" s="8">
        <f>SUMIFS('[1]Finanace - Incentive Data'!BE:BE,'[1]Finanace - Incentive Data'!BS:BS,"Y",'[1]Finanace - Incentive Data'!H:H,$C$458,'[1]Finanace - Incentive Data'!R:R,$B477)</f>
        <v>0</v>
      </c>
      <c r="O477" s="8">
        <f t="shared" si="19"/>
        <v>0</v>
      </c>
    </row>
    <row r="478" spans="1:15" x14ac:dyDescent="0.3">
      <c r="A478" s="11"/>
      <c r="B478" s="5"/>
      <c r="C478" s="12"/>
      <c r="D478" s="13"/>
      <c r="E478" s="13"/>
      <c r="F478" s="5"/>
      <c r="G478" s="14"/>
      <c r="H478" s="15"/>
      <c r="I478" s="12"/>
      <c r="J478" s="5"/>
      <c r="K478" s="5"/>
      <c r="L478" s="8"/>
      <c r="M478" s="8"/>
      <c r="N478" s="8">
        <f>SUMIFS('[1]Finanace - Incentive Data'!BE:BE,'[1]Finanace - Incentive Data'!BS:BS,"Y",'[1]Finanace - Incentive Data'!H:H,$C$458,'[1]Finanace - Incentive Data'!R:R,$B478)</f>
        <v>0</v>
      </c>
      <c r="O478" s="8">
        <f t="shared" si="19"/>
        <v>0</v>
      </c>
    </row>
    <row r="481" spans="1:15" ht="43.2" x14ac:dyDescent="0.3">
      <c r="A481" s="1" t="s">
        <v>0</v>
      </c>
      <c r="B481" s="1" t="s">
        <v>1</v>
      </c>
      <c r="C481" s="1" t="s">
        <v>2</v>
      </c>
      <c r="D481" s="1" t="s">
        <v>3</v>
      </c>
      <c r="E481" s="1" t="s">
        <v>4</v>
      </c>
      <c r="F481" s="1" t="s">
        <v>5</v>
      </c>
      <c r="G481" s="1" t="s">
        <v>6</v>
      </c>
      <c r="H481" s="1" t="s">
        <v>7</v>
      </c>
      <c r="I481" s="1" t="s">
        <v>8</v>
      </c>
      <c r="J481" s="1" t="s">
        <v>9</v>
      </c>
      <c r="K481" s="2" t="s">
        <v>10</v>
      </c>
      <c r="L481" s="2" t="s">
        <v>11</v>
      </c>
      <c r="M481" s="3"/>
      <c r="N481" s="3"/>
    </row>
    <row r="482" spans="1:15" x14ac:dyDescent="0.3">
      <c r="A482" s="5" t="s">
        <v>12</v>
      </c>
      <c r="B482" s="4" t="str">
        <f>_xlfn.XLOOKUP($C482,'[1]Basic EMP Data - 2026'!$D$3:$D$224,'[1]Basic EMP Data - 2026'!$C$3:$C$224)</f>
        <v>VB2261</v>
      </c>
      <c r="C482" s="6" t="s">
        <v>45</v>
      </c>
      <c r="D482" s="5" t="str">
        <f>VLOOKUP($B482,'[1]Basic EMP Data - 2026'!$C$3:$F$224,3,0)</f>
        <v>Kashif Nabi</v>
      </c>
      <c r="E482" s="5">
        <f>VLOOKUP($B482,'[1]Basic EMP Data - 2026'!$C$3:$I$224,5,0)</f>
        <v>4</v>
      </c>
      <c r="F482" s="5">
        <f>VLOOKUP($B482,'[1]Basic EMP Data - 2026'!$C$3:$I$224,6,0)</f>
        <v>0</v>
      </c>
      <c r="G482" s="7">
        <f>F482/E482</f>
        <v>0</v>
      </c>
      <c r="H482" s="8">
        <f>SUM(L484:L502)</f>
        <v>0</v>
      </c>
      <c r="I482" s="9" cm="1">
        <f t="array" ref="I482">_xlfn.IFS($G482&lt;=34%,0%,$G482&lt;=75%,3%,$G482&lt;=120%,4%,$G482&gt;120%,5%)</f>
        <v>0</v>
      </c>
      <c r="J482" s="8" cm="1">
        <f t="array" ref="J482">SUMPRODUCT((C484:C502=2026)*M484:M502*2)</f>
        <v>0</v>
      </c>
      <c r="K482" s="5">
        <f>SUM(N484:N502)</f>
        <v>0</v>
      </c>
      <c r="L482" s="8">
        <f>J482-K482</f>
        <v>0</v>
      </c>
      <c r="M482" s="3"/>
      <c r="N482" s="3"/>
    </row>
    <row r="483" spans="1:15" ht="43.2" x14ac:dyDescent="0.3">
      <c r="A483" s="10" t="s">
        <v>2</v>
      </c>
      <c r="B483" s="10" t="s">
        <v>14</v>
      </c>
      <c r="C483" s="10" t="s">
        <v>15</v>
      </c>
      <c r="D483" s="10" t="s">
        <v>16</v>
      </c>
      <c r="E483" s="10" t="s">
        <v>17</v>
      </c>
      <c r="F483" s="10" t="s">
        <v>18</v>
      </c>
      <c r="G483" s="10" t="s">
        <v>19</v>
      </c>
      <c r="H483" s="10" t="s">
        <v>20</v>
      </c>
      <c r="I483" s="10" t="s">
        <v>21</v>
      </c>
      <c r="J483" s="10" t="s">
        <v>22</v>
      </c>
      <c r="K483" s="10" t="s">
        <v>23</v>
      </c>
      <c r="L483" s="10" t="s">
        <v>24</v>
      </c>
      <c r="M483" s="10" t="s">
        <v>25</v>
      </c>
      <c r="N483" s="10" t="s">
        <v>26</v>
      </c>
      <c r="O483" s="10" t="s">
        <v>27</v>
      </c>
    </row>
    <row r="484" spans="1:15" x14ac:dyDescent="0.3">
      <c r="A484" s="11" t="str">
        <f>C482</f>
        <v>Mohammad Faizan Ansari</v>
      </c>
      <c r="B484" s="5" t="e" cm="1" vm="1">
        <f t="array" ref="B484">_xlfn.LET(
  _xlpm.data, _xlfn._xlws.FILTER('[1]Finanace - Incentive Data'!A:CA, '[1]Finanace - Incentive Data'!H:H=$C482),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484" s="12"/>
      <c r="D484" s="13"/>
      <c r="E484" s="13"/>
      <c r="F484" s="5"/>
      <c r="G484" s="14"/>
      <c r="H484" s="15"/>
      <c r="I484" s="12"/>
      <c r="J484" s="5"/>
      <c r="K484" s="5"/>
      <c r="L484" s="8"/>
      <c r="M484" s="8"/>
      <c r="N484" s="8">
        <f>SUMIFS('[1]Finanace - Incentive Data'!BE:BE,'[1]Finanace - Incentive Data'!BS:BS,"Y",'[1]Finanace - Incentive Data'!H:H,$C$482,'[1]Finanace - Incentive Data'!R:R,$B484)</f>
        <v>0</v>
      </c>
      <c r="O484" s="8">
        <f>M484-N484</f>
        <v>0</v>
      </c>
    </row>
    <row r="485" spans="1:15" x14ac:dyDescent="0.3">
      <c r="A485" s="11"/>
      <c r="B485" s="5"/>
      <c r="C485" s="12"/>
      <c r="D485" s="13"/>
      <c r="E485" s="13"/>
      <c r="F485" s="5"/>
      <c r="G485" s="14"/>
      <c r="H485" s="15"/>
      <c r="I485" s="12"/>
      <c r="J485" s="5"/>
      <c r="K485" s="5"/>
      <c r="L485" s="8"/>
      <c r="M485" s="8"/>
      <c r="N485" s="8">
        <f>SUMIFS('[1]Finanace - Incentive Data'!BE:BE,'[1]Finanace - Incentive Data'!BS:BS,"Y",'[1]Finanace - Incentive Data'!H:H,$C$482,'[1]Finanace - Incentive Data'!R:R,$B485)</f>
        <v>0</v>
      </c>
      <c r="O485" s="8">
        <f t="shared" ref="O485:O502" si="20">M485-N485</f>
        <v>0</v>
      </c>
    </row>
    <row r="486" spans="1:15" x14ac:dyDescent="0.3">
      <c r="A486" s="11"/>
      <c r="B486" s="5"/>
      <c r="C486" s="12"/>
      <c r="D486" s="13"/>
      <c r="E486" s="13"/>
      <c r="F486" s="5"/>
      <c r="G486" s="14"/>
      <c r="H486" s="15"/>
      <c r="I486" s="12"/>
      <c r="J486" s="5"/>
      <c r="K486" s="5"/>
      <c r="L486" s="8"/>
      <c r="M486" s="8"/>
      <c r="N486" s="8">
        <f>SUMIFS('[1]Finanace - Incentive Data'!BE:BE,'[1]Finanace - Incentive Data'!BS:BS,"Y",'[1]Finanace - Incentive Data'!H:H,$C$482,'[1]Finanace - Incentive Data'!R:R,$B486)</f>
        <v>0</v>
      </c>
      <c r="O486" s="8">
        <f t="shared" si="20"/>
        <v>0</v>
      </c>
    </row>
    <row r="487" spans="1:15" x14ac:dyDescent="0.3">
      <c r="A487" s="11"/>
      <c r="B487" s="5"/>
      <c r="C487" s="12"/>
      <c r="D487" s="13"/>
      <c r="E487" s="13"/>
      <c r="F487" s="5"/>
      <c r="G487" s="14"/>
      <c r="H487" s="15"/>
      <c r="I487" s="12"/>
      <c r="J487" s="5"/>
      <c r="K487" s="5"/>
      <c r="L487" s="8"/>
      <c r="M487" s="8"/>
      <c r="N487" s="8">
        <f>SUMIFS('[1]Finanace - Incentive Data'!BE:BE,'[1]Finanace - Incentive Data'!BS:BS,"Y",'[1]Finanace - Incentive Data'!H:H,$C$482,'[1]Finanace - Incentive Data'!R:R,$B487)</f>
        <v>0</v>
      </c>
      <c r="O487" s="8">
        <f t="shared" si="20"/>
        <v>0</v>
      </c>
    </row>
    <row r="488" spans="1:15" x14ac:dyDescent="0.3">
      <c r="A488" s="11"/>
      <c r="B488" s="5"/>
      <c r="C488" s="12"/>
      <c r="D488" s="13"/>
      <c r="E488" s="13"/>
      <c r="F488" s="5"/>
      <c r="G488" s="14"/>
      <c r="H488" s="15"/>
      <c r="I488" s="12"/>
      <c r="J488" s="5"/>
      <c r="K488" s="5"/>
      <c r="L488" s="8"/>
      <c r="M488" s="8"/>
      <c r="N488" s="8">
        <f>SUMIFS('[1]Finanace - Incentive Data'!BE:BE,'[1]Finanace - Incentive Data'!BS:BS,"Y",'[1]Finanace - Incentive Data'!H:H,$C$482,'[1]Finanace - Incentive Data'!R:R,$B488)</f>
        <v>0</v>
      </c>
      <c r="O488" s="8">
        <f t="shared" si="20"/>
        <v>0</v>
      </c>
    </row>
    <row r="489" spans="1:15" x14ac:dyDescent="0.3">
      <c r="A489" s="11"/>
      <c r="B489" s="5"/>
      <c r="C489" s="12"/>
      <c r="D489" s="13"/>
      <c r="E489" s="13"/>
      <c r="F489" s="5"/>
      <c r="G489" s="14"/>
      <c r="H489" s="15"/>
      <c r="I489" s="12"/>
      <c r="J489" s="5"/>
      <c r="K489" s="5"/>
      <c r="L489" s="8"/>
      <c r="M489" s="8"/>
      <c r="N489" s="8">
        <f>SUMIFS('[1]Finanace - Incentive Data'!BE:BE,'[1]Finanace - Incentive Data'!BS:BS,"Y",'[1]Finanace - Incentive Data'!H:H,$C$482,'[1]Finanace - Incentive Data'!R:R,$B489)</f>
        <v>0</v>
      </c>
      <c r="O489" s="8">
        <f t="shared" si="20"/>
        <v>0</v>
      </c>
    </row>
    <row r="490" spans="1:15" x14ac:dyDescent="0.3">
      <c r="A490" s="11"/>
      <c r="B490" s="5"/>
      <c r="C490" s="12"/>
      <c r="D490" s="13"/>
      <c r="E490" s="13"/>
      <c r="F490" s="5"/>
      <c r="G490" s="14"/>
      <c r="H490" s="15"/>
      <c r="I490" s="12"/>
      <c r="J490" s="5"/>
      <c r="K490" s="5"/>
      <c r="L490" s="8"/>
      <c r="M490" s="8"/>
      <c r="N490" s="8">
        <f>SUMIFS('[1]Finanace - Incentive Data'!BE:BE,'[1]Finanace - Incentive Data'!BS:BS,"Y",'[1]Finanace - Incentive Data'!H:H,$C$482,'[1]Finanace - Incentive Data'!R:R,$B490)</f>
        <v>0</v>
      </c>
      <c r="O490" s="8">
        <f t="shared" si="20"/>
        <v>0</v>
      </c>
    </row>
    <row r="491" spans="1:15" x14ac:dyDescent="0.3">
      <c r="A491" s="11"/>
      <c r="B491" s="5"/>
      <c r="C491" s="12"/>
      <c r="D491" s="13"/>
      <c r="E491" s="13"/>
      <c r="F491" s="5"/>
      <c r="G491" s="14"/>
      <c r="H491" s="15"/>
      <c r="I491" s="12"/>
      <c r="J491" s="5"/>
      <c r="K491" s="5"/>
      <c r="L491" s="8"/>
      <c r="M491" s="8"/>
      <c r="N491" s="8">
        <f>SUMIFS('[1]Finanace - Incentive Data'!BE:BE,'[1]Finanace - Incentive Data'!BS:BS,"Y",'[1]Finanace - Incentive Data'!H:H,$C$482,'[1]Finanace - Incentive Data'!R:R,$B491)</f>
        <v>0</v>
      </c>
      <c r="O491" s="8">
        <f t="shared" si="20"/>
        <v>0</v>
      </c>
    </row>
    <row r="492" spans="1:15" x14ac:dyDescent="0.3">
      <c r="A492" s="11"/>
      <c r="B492" s="5"/>
      <c r="C492" s="12"/>
      <c r="D492" s="13"/>
      <c r="E492" s="13"/>
      <c r="F492" s="5"/>
      <c r="G492" s="14"/>
      <c r="H492" s="15"/>
      <c r="I492" s="12"/>
      <c r="J492" s="5"/>
      <c r="K492" s="5"/>
      <c r="L492" s="8"/>
      <c r="M492" s="8"/>
      <c r="N492" s="8">
        <f>SUMIFS('[1]Finanace - Incentive Data'!BE:BE,'[1]Finanace - Incentive Data'!BS:BS,"Y",'[1]Finanace - Incentive Data'!H:H,$C$482,'[1]Finanace - Incentive Data'!R:R,$B492)</f>
        <v>0</v>
      </c>
      <c r="O492" s="8">
        <f t="shared" si="20"/>
        <v>0</v>
      </c>
    </row>
    <row r="493" spans="1:15" x14ac:dyDescent="0.3">
      <c r="A493" s="11"/>
      <c r="B493" s="5"/>
      <c r="C493" s="12"/>
      <c r="D493" s="13"/>
      <c r="E493" s="13"/>
      <c r="F493" s="5"/>
      <c r="G493" s="14"/>
      <c r="H493" s="15"/>
      <c r="I493" s="12"/>
      <c r="J493" s="5"/>
      <c r="K493" s="5"/>
      <c r="L493" s="8"/>
      <c r="M493" s="8"/>
      <c r="N493" s="8">
        <f>SUMIFS('[1]Finanace - Incentive Data'!BE:BE,'[1]Finanace - Incentive Data'!BS:BS,"Y",'[1]Finanace - Incentive Data'!H:H,$C$482,'[1]Finanace - Incentive Data'!R:R,$B493)</f>
        <v>0</v>
      </c>
      <c r="O493" s="8">
        <f t="shared" si="20"/>
        <v>0</v>
      </c>
    </row>
    <row r="494" spans="1:15" x14ac:dyDescent="0.3">
      <c r="A494" s="11"/>
      <c r="B494" s="5"/>
      <c r="C494" s="12"/>
      <c r="D494" s="13"/>
      <c r="E494" s="13"/>
      <c r="F494" s="5"/>
      <c r="G494" s="14"/>
      <c r="H494" s="15"/>
      <c r="I494" s="12"/>
      <c r="J494" s="5"/>
      <c r="K494" s="5"/>
      <c r="L494" s="8"/>
      <c r="M494" s="8"/>
      <c r="N494" s="8">
        <f>SUMIFS('[1]Finanace - Incentive Data'!BE:BE,'[1]Finanace - Incentive Data'!BS:BS,"Y",'[1]Finanace - Incentive Data'!H:H,$C$482,'[1]Finanace - Incentive Data'!R:R,$B494)</f>
        <v>0</v>
      </c>
      <c r="O494" s="8">
        <f t="shared" si="20"/>
        <v>0</v>
      </c>
    </row>
    <row r="495" spans="1:15" x14ac:dyDescent="0.3">
      <c r="A495" s="11"/>
      <c r="B495" s="5"/>
      <c r="C495" s="12"/>
      <c r="D495" s="13"/>
      <c r="E495" s="13"/>
      <c r="F495" s="5"/>
      <c r="G495" s="14"/>
      <c r="H495" s="15"/>
      <c r="I495" s="12"/>
      <c r="J495" s="5"/>
      <c r="K495" s="5"/>
      <c r="L495" s="8"/>
      <c r="M495" s="8"/>
      <c r="N495" s="8">
        <f>SUMIFS('[1]Finanace - Incentive Data'!BE:BE,'[1]Finanace - Incentive Data'!BS:BS,"Y",'[1]Finanace - Incentive Data'!H:H,$C$482,'[1]Finanace - Incentive Data'!R:R,$B495)</f>
        <v>0</v>
      </c>
      <c r="O495" s="8">
        <f t="shared" si="20"/>
        <v>0</v>
      </c>
    </row>
    <row r="496" spans="1:15" x14ac:dyDescent="0.3">
      <c r="A496" s="11"/>
      <c r="B496" s="5"/>
      <c r="C496" s="12"/>
      <c r="D496" s="13"/>
      <c r="E496" s="13"/>
      <c r="F496" s="5"/>
      <c r="G496" s="14"/>
      <c r="H496" s="15"/>
      <c r="I496" s="12"/>
      <c r="J496" s="5"/>
      <c r="K496" s="5"/>
      <c r="L496" s="8"/>
      <c r="M496" s="8"/>
      <c r="N496" s="8">
        <f>SUMIFS('[1]Finanace - Incentive Data'!BE:BE,'[1]Finanace - Incentive Data'!BS:BS,"Y",'[1]Finanace - Incentive Data'!H:H,$C$482,'[1]Finanace - Incentive Data'!R:R,$B496)</f>
        <v>0</v>
      </c>
      <c r="O496" s="8">
        <f t="shared" si="20"/>
        <v>0</v>
      </c>
    </row>
    <row r="497" spans="1:15" x14ac:dyDescent="0.3">
      <c r="A497" s="11"/>
      <c r="B497" s="5"/>
      <c r="C497" s="12"/>
      <c r="D497" s="13"/>
      <c r="E497" s="13"/>
      <c r="F497" s="5"/>
      <c r="G497" s="14"/>
      <c r="H497" s="15"/>
      <c r="I497" s="12"/>
      <c r="J497" s="5"/>
      <c r="K497" s="5"/>
      <c r="L497" s="8"/>
      <c r="M497" s="8"/>
      <c r="N497" s="8">
        <f>SUMIFS('[1]Finanace - Incentive Data'!BE:BE,'[1]Finanace - Incentive Data'!BS:BS,"Y",'[1]Finanace - Incentive Data'!H:H,$C$482,'[1]Finanace - Incentive Data'!R:R,$B497)</f>
        <v>0</v>
      </c>
      <c r="O497" s="8">
        <f t="shared" si="20"/>
        <v>0</v>
      </c>
    </row>
    <row r="498" spans="1:15" x14ac:dyDescent="0.3">
      <c r="A498" s="11"/>
      <c r="B498" s="5"/>
      <c r="C498" s="12"/>
      <c r="D498" s="13"/>
      <c r="E498" s="13"/>
      <c r="F498" s="5"/>
      <c r="G498" s="14"/>
      <c r="H498" s="15"/>
      <c r="I498" s="12"/>
      <c r="J498" s="5"/>
      <c r="K498" s="5"/>
      <c r="L498" s="8"/>
      <c r="M498" s="8"/>
      <c r="N498" s="8">
        <f>SUMIFS('[1]Finanace - Incentive Data'!BE:BE,'[1]Finanace - Incentive Data'!BS:BS,"Y",'[1]Finanace - Incentive Data'!H:H,$C$482,'[1]Finanace - Incentive Data'!R:R,$B498)</f>
        <v>0</v>
      </c>
      <c r="O498" s="8">
        <f t="shared" si="20"/>
        <v>0</v>
      </c>
    </row>
    <row r="499" spans="1:15" x14ac:dyDescent="0.3">
      <c r="A499" s="11"/>
      <c r="B499" s="5"/>
      <c r="C499" s="12"/>
      <c r="D499" s="13"/>
      <c r="E499" s="13"/>
      <c r="F499" s="5"/>
      <c r="G499" s="14"/>
      <c r="H499" s="15"/>
      <c r="I499" s="12"/>
      <c r="J499" s="5"/>
      <c r="K499" s="5"/>
      <c r="L499" s="8"/>
      <c r="M499" s="8"/>
      <c r="N499" s="8">
        <f>SUMIFS('[1]Finanace - Incentive Data'!BE:BE,'[1]Finanace - Incentive Data'!BS:BS,"Y",'[1]Finanace - Incentive Data'!H:H,$C$482,'[1]Finanace - Incentive Data'!R:R,$B499)</f>
        <v>0</v>
      </c>
      <c r="O499" s="8">
        <f t="shared" si="20"/>
        <v>0</v>
      </c>
    </row>
    <row r="500" spans="1:15" x14ac:dyDescent="0.3">
      <c r="A500" s="11"/>
      <c r="B500" s="5"/>
      <c r="C500" s="12"/>
      <c r="D500" s="13"/>
      <c r="E500" s="13"/>
      <c r="F500" s="5"/>
      <c r="G500" s="14"/>
      <c r="H500" s="15"/>
      <c r="I500" s="12"/>
      <c r="J500" s="5"/>
      <c r="K500" s="5"/>
      <c r="L500" s="8"/>
      <c r="M500" s="8"/>
      <c r="N500" s="8">
        <f>SUMIFS('[1]Finanace - Incentive Data'!BE:BE,'[1]Finanace - Incentive Data'!BS:BS,"Y",'[1]Finanace - Incentive Data'!H:H,$C$482,'[1]Finanace - Incentive Data'!R:R,$B500)</f>
        <v>0</v>
      </c>
      <c r="O500" s="8">
        <f t="shared" si="20"/>
        <v>0</v>
      </c>
    </row>
    <row r="501" spans="1:15" x14ac:dyDescent="0.3">
      <c r="A501" s="11"/>
      <c r="B501" s="5"/>
      <c r="C501" s="12"/>
      <c r="D501" s="13"/>
      <c r="E501" s="13"/>
      <c r="F501" s="5"/>
      <c r="G501" s="14"/>
      <c r="H501" s="15"/>
      <c r="I501" s="12"/>
      <c r="J501" s="5"/>
      <c r="K501" s="5"/>
      <c r="L501" s="8"/>
      <c r="M501" s="8"/>
      <c r="N501" s="8">
        <f>SUMIFS('[1]Finanace - Incentive Data'!BE:BE,'[1]Finanace - Incentive Data'!BS:BS,"Y",'[1]Finanace - Incentive Data'!H:H,$C$482,'[1]Finanace - Incentive Data'!R:R,$B501)</f>
        <v>0</v>
      </c>
      <c r="O501" s="8">
        <f t="shared" si="20"/>
        <v>0</v>
      </c>
    </row>
    <row r="502" spans="1:15" x14ac:dyDescent="0.3">
      <c r="A502" s="11"/>
      <c r="B502" s="5"/>
      <c r="C502" s="12"/>
      <c r="D502" s="13"/>
      <c r="E502" s="13"/>
      <c r="F502" s="5"/>
      <c r="G502" s="14"/>
      <c r="H502" s="15"/>
      <c r="I502" s="12"/>
      <c r="J502" s="5"/>
      <c r="K502" s="5"/>
      <c r="L502" s="8"/>
      <c r="M502" s="8"/>
      <c r="N502" s="8">
        <f>SUMIFS('[1]Finanace - Incentive Data'!BE:BE,'[1]Finanace - Incentive Data'!BS:BS,"Y",'[1]Finanace - Incentive Data'!H:H,$C$482,'[1]Finanace - Incentive Data'!R:R,$B502)</f>
        <v>0</v>
      </c>
      <c r="O502" s="8">
        <f t="shared" si="20"/>
        <v>0</v>
      </c>
    </row>
    <row r="505" spans="1:15" ht="43.2" x14ac:dyDescent="0.3">
      <c r="A505" s="1" t="s">
        <v>0</v>
      </c>
      <c r="B505" s="1" t="s">
        <v>1</v>
      </c>
      <c r="C505" s="1" t="s">
        <v>2</v>
      </c>
      <c r="D505" s="1" t="s">
        <v>3</v>
      </c>
      <c r="E505" s="1" t="s">
        <v>4</v>
      </c>
      <c r="F505" s="1" t="s">
        <v>5</v>
      </c>
      <c r="G505" s="1" t="s">
        <v>6</v>
      </c>
      <c r="H505" s="1" t="s">
        <v>7</v>
      </c>
      <c r="I505" s="1" t="s">
        <v>8</v>
      </c>
      <c r="J505" s="1" t="s">
        <v>9</v>
      </c>
      <c r="K505" s="2" t="s">
        <v>10</v>
      </c>
      <c r="L505" s="2" t="s">
        <v>11</v>
      </c>
      <c r="M505" s="3"/>
      <c r="N505" s="3"/>
    </row>
    <row r="506" spans="1:15" x14ac:dyDescent="0.3">
      <c r="A506" s="5" t="s">
        <v>12</v>
      </c>
      <c r="B506" s="4" t="str">
        <f>_xlfn.XLOOKUP($C506,'[1]Basic EMP Data - 2026'!$D$3:$D$224,'[1]Basic EMP Data - 2026'!$C$3:$C$224)</f>
        <v>VB1949</v>
      </c>
      <c r="C506" s="6" t="s">
        <v>46</v>
      </c>
      <c r="D506" s="5" t="str">
        <f>VLOOKUP($B506,'[1]Basic EMP Data - 2026'!$C$3:$F$224,3,0)</f>
        <v>Kashif Nabi</v>
      </c>
      <c r="E506" s="5">
        <f>VLOOKUP($B506,'[1]Basic EMP Data - 2026'!$C$3:$I$224,5,0)</f>
        <v>6</v>
      </c>
      <c r="F506" s="5">
        <f>VLOOKUP($B506,'[1]Basic EMP Data - 2026'!$C$3:$I$224,6,0)</f>
        <v>1</v>
      </c>
      <c r="G506" s="7">
        <f>F506/E506</f>
        <v>0.16666666666666666</v>
      </c>
      <c r="H506" s="8">
        <f>SUM(L508:L526)</f>
        <v>5197.4000000000005</v>
      </c>
      <c r="I506" s="9" cm="1">
        <f t="array" ref="I506">_xlfn.IFS($G506&lt;=34%,0%,$G506&lt;=75%,3%,$G506&lt;=120%,4%,$G506&gt;120%,5%)</f>
        <v>0</v>
      </c>
      <c r="J506" s="8" cm="1">
        <f t="array" ref="J506">SUMPRODUCT((C508:C526=2026)*M508:M526*2)</f>
        <v>0</v>
      </c>
      <c r="K506" s="5">
        <f>SUM(N508:N526)</f>
        <v>0</v>
      </c>
      <c r="L506" s="8">
        <f>J506-K506</f>
        <v>0</v>
      </c>
      <c r="M506" s="3"/>
      <c r="N506" s="3"/>
    </row>
    <row r="507" spans="1:15" ht="43.2" x14ac:dyDescent="0.3">
      <c r="A507" s="10" t="s">
        <v>2</v>
      </c>
      <c r="B507" s="10" t="s">
        <v>14</v>
      </c>
      <c r="C507" s="10" t="s">
        <v>15</v>
      </c>
      <c r="D507" s="10" t="s">
        <v>16</v>
      </c>
      <c r="E507" s="10" t="s">
        <v>17</v>
      </c>
      <c r="F507" s="10" t="s">
        <v>18</v>
      </c>
      <c r="G507" s="10" t="s">
        <v>19</v>
      </c>
      <c r="H507" s="10" t="s">
        <v>20</v>
      </c>
      <c r="I507" s="10" t="s">
        <v>21</v>
      </c>
      <c r="J507" s="10" t="s">
        <v>22</v>
      </c>
      <c r="K507" s="10" t="s">
        <v>23</v>
      </c>
      <c r="L507" s="10" t="s">
        <v>24</v>
      </c>
      <c r="M507" s="10" t="s">
        <v>25</v>
      </c>
      <c r="N507" s="10" t="s">
        <v>26</v>
      </c>
      <c r="O507" s="10" t="s">
        <v>27</v>
      </c>
    </row>
    <row r="508" spans="1:15" x14ac:dyDescent="0.3">
      <c r="A508" s="11" t="str">
        <f>C506</f>
        <v>Arpit Gupta</v>
      </c>
      <c r="B508" s="5" t="str" cm="1">
        <f t="array" ref="B508:M509">_xlfn.LET(
  _xlpm.data, _xlfn._xlws.FILTER('[1]Finanace - Incentive Data'!A:CA, '[1]Finanace - Incentive Data'!H:H=$C506),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Jatin Mohan Arora</v>
      </c>
      <c r="C508" s="12">
        <v>2026</v>
      </c>
      <c r="D508" s="13">
        <v>46038</v>
      </c>
      <c r="E508" s="13">
        <v>46094</v>
      </c>
      <c r="F508" s="5" t="str">
        <v>Genpact</v>
      </c>
      <c r="G508" s="14" t="str">
        <v>PLC-4469</v>
      </c>
      <c r="H508" s="15" t="str">
        <v>C2C Canada</v>
      </c>
      <c r="I508" s="12" t="str">
        <v>-</v>
      </c>
      <c r="J508" s="5" t="str">
        <v>-</v>
      </c>
      <c r="K508" s="5">
        <v>320</v>
      </c>
      <c r="L508" s="8">
        <v>4544.0000000000009</v>
      </c>
      <c r="M508" s="8">
        <v>0</v>
      </c>
      <c r="N508" s="8">
        <f>SUMIFS('[1]Finanace - Incentive Data'!BE:BE,'[1]Finanace - Incentive Data'!BS:BS,"Y",'[1]Finanace - Incentive Data'!H:H,$C$506,'[1]Finanace - Incentive Data'!R:R,$B508)</f>
        <v>0</v>
      </c>
      <c r="O508" s="8">
        <f>M508-N508</f>
        <v>0</v>
      </c>
    </row>
    <row r="509" spans="1:15" x14ac:dyDescent="0.3">
      <c r="A509" s="11"/>
      <c r="B509" s="5" t="str">
        <v>Rizwanuddin Muhammad Qazi</v>
      </c>
      <c r="C509" s="12">
        <v>2026</v>
      </c>
      <c r="D509" s="13">
        <v>46129</v>
      </c>
      <c r="E509" s="13">
        <v>0</v>
      </c>
      <c r="F509" s="5" t="str">
        <v>Genpact</v>
      </c>
      <c r="G509" s="14" t="str">
        <v>PLC-4813</v>
      </c>
      <c r="H509" s="15" t="str">
        <v>C2C</v>
      </c>
      <c r="I509" s="12" t="str">
        <v>-</v>
      </c>
      <c r="J509" s="5" t="str">
        <v>-</v>
      </c>
      <c r="K509" s="5">
        <v>120</v>
      </c>
      <c r="L509" s="8">
        <v>653.4</v>
      </c>
      <c r="M509" s="8">
        <v>0</v>
      </c>
      <c r="N509" s="8">
        <f>SUMIFS('[1]Finanace - Incentive Data'!BE:BE,'[1]Finanace - Incentive Data'!BS:BS,"Y",'[1]Finanace - Incentive Data'!H:H,$C$506,'[1]Finanace - Incentive Data'!R:R,$B509)</f>
        <v>0</v>
      </c>
      <c r="O509" s="8">
        <f t="shared" ref="O509:O526" si="21">M509-N509</f>
        <v>0</v>
      </c>
    </row>
    <row r="510" spans="1:15" x14ac:dyDescent="0.3">
      <c r="A510" s="11"/>
      <c r="B510" s="5"/>
      <c r="C510" s="12"/>
      <c r="D510" s="13"/>
      <c r="E510" s="13"/>
      <c r="F510" s="5"/>
      <c r="G510" s="14"/>
      <c r="H510" s="15"/>
      <c r="I510" s="12"/>
      <c r="J510" s="5"/>
      <c r="K510" s="5"/>
      <c r="L510" s="8"/>
      <c r="M510" s="8"/>
      <c r="N510" s="8">
        <f>SUMIFS('[1]Finanace - Incentive Data'!BE:BE,'[1]Finanace - Incentive Data'!BS:BS,"Y",'[1]Finanace - Incentive Data'!H:H,$C$506,'[1]Finanace - Incentive Data'!R:R,$B510)</f>
        <v>0</v>
      </c>
      <c r="O510" s="8">
        <f t="shared" si="21"/>
        <v>0</v>
      </c>
    </row>
    <row r="511" spans="1:15" x14ac:dyDescent="0.3">
      <c r="A511" s="11"/>
      <c r="B511" s="5"/>
      <c r="C511" s="12"/>
      <c r="D511" s="13"/>
      <c r="E511" s="13"/>
      <c r="F511" s="5"/>
      <c r="G511" s="14"/>
      <c r="H511" s="15"/>
      <c r="I511" s="12"/>
      <c r="J511" s="5"/>
      <c r="K511" s="5"/>
      <c r="L511" s="8"/>
      <c r="M511" s="8"/>
      <c r="N511" s="8">
        <f>SUMIFS('[1]Finanace - Incentive Data'!BE:BE,'[1]Finanace - Incentive Data'!BS:BS,"Y",'[1]Finanace - Incentive Data'!H:H,$C$506,'[1]Finanace - Incentive Data'!R:R,$B511)</f>
        <v>0</v>
      </c>
      <c r="O511" s="8">
        <f t="shared" si="21"/>
        <v>0</v>
      </c>
    </row>
    <row r="512" spans="1:15" x14ac:dyDescent="0.3">
      <c r="A512" s="11"/>
      <c r="B512" s="5"/>
      <c r="C512" s="12"/>
      <c r="D512" s="13"/>
      <c r="E512" s="13"/>
      <c r="F512" s="5"/>
      <c r="G512" s="14"/>
      <c r="H512" s="15"/>
      <c r="I512" s="12"/>
      <c r="J512" s="5"/>
      <c r="K512" s="5"/>
      <c r="L512" s="8"/>
      <c r="M512" s="8"/>
      <c r="N512" s="8">
        <f>SUMIFS('[1]Finanace - Incentive Data'!BE:BE,'[1]Finanace - Incentive Data'!BS:BS,"Y",'[1]Finanace - Incentive Data'!H:H,$C$506,'[1]Finanace - Incentive Data'!R:R,$B512)</f>
        <v>0</v>
      </c>
      <c r="O512" s="8">
        <f t="shared" si="21"/>
        <v>0</v>
      </c>
    </row>
    <row r="513" spans="1:15" x14ac:dyDescent="0.3">
      <c r="A513" s="11"/>
      <c r="B513" s="5"/>
      <c r="C513" s="12"/>
      <c r="D513" s="13"/>
      <c r="E513" s="13"/>
      <c r="F513" s="5"/>
      <c r="G513" s="14"/>
      <c r="H513" s="15"/>
      <c r="I513" s="12"/>
      <c r="J513" s="5"/>
      <c r="K513" s="5"/>
      <c r="L513" s="8"/>
      <c r="M513" s="8"/>
      <c r="N513" s="8">
        <f>SUMIFS('[1]Finanace - Incentive Data'!BE:BE,'[1]Finanace - Incentive Data'!BS:BS,"Y",'[1]Finanace - Incentive Data'!H:H,$C$506,'[1]Finanace - Incentive Data'!R:R,$B513)</f>
        <v>0</v>
      </c>
      <c r="O513" s="8">
        <f t="shared" si="21"/>
        <v>0</v>
      </c>
    </row>
    <row r="514" spans="1:15" x14ac:dyDescent="0.3">
      <c r="A514" s="11"/>
      <c r="B514" s="5"/>
      <c r="C514" s="12"/>
      <c r="D514" s="13"/>
      <c r="E514" s="13"/>
      <c r="F514" s="5"/>
      <c r="G514" s="14"/>
      <c r="H514" s="15"/>
      <c r="I514" s="12"/>
      <c r="J514" s="5"/>
      <c r="K514" s="5"/>
      <c r="L514" s="8"/>
      <c r="M514" s="8"/>
      <c r="N514" s="8">
        <f>SUMIFS('[1]Finanace - Incentive Data'!BE:BE,'[1]Finanace - Incentive Data'!BS:BS,"Y",'[1]Finanace - Incentive Data'!H:H,$C$506,'[1]Finanace - Incentive Data'!R:R,$B514)</f>
        <v>0</v>
      </c>
      <c r="O514" s="8">
        <f t="shared" si="21"/>
        <v>0</v>
      </c>
    </row>
    <row r="515" spans="1:15" x14ac:dyDescent="0.3">
      <c r="A515" s="11"/>
      <c r="B515" s="5"/>
      <c r="C515" s="12"/>
      <c r="D515" s="13"/>
      <c r="E515" s="13"/>
      <c r="F515" s="5"/>
      <c r="G515" s="14"/>
      <c r="H515" s="15"/>
      <c r="I515" s="12"/>
      <c r="J515" s="5"/>
      <c r="K515" s="5"/>
      <c r="L515" s="8"/>
      <c r="M515" s="8"/>
      <c r="N515" s="8">
        <f>SUMIFS('[1]Finanace - Incentive Data'!BE:BE,'[1]Finanace - Incentive Data'!BS:BS,"Y",'[1]Finanace - Incentive Data'!H:H,$C$506,'[1]Finanace - Incentive Data'!R:R,$B515)</f>
        <v>0</v>
      </c>
      <c r="O515" s="8">
        <f t="shared" si="21"/>
        <v>0</v>
      </c>
    </row>
    <row r="516" spans="1:15" x14ac:dyDescent="0.3">
      <c r="A516" s="11"/>
      <c r="B516" s="5"/>
      <c r="C516" s="12"/>
      <c r="D516" s="13"/>
      <c r="E516" s="13"/>
      <c r="F516" s="5"/>
      <c r="G516" s="14"/>
      <c r="H516" s="15"/>
      <c r="I516" s="12"/>
      <c r="J516" s="5"/>
      <c r="K516" s="5"/>
      <c r="L516" s="8"/>
      <c r="M516" s="8"/>
      <c r="N516" s="8">
        <f>SUMIFS('[1]Finanace - Incentive Data'!BE:BE,'[1]Finanace - Incentive Data'!BS:BS,"Y",'[1]Finanace - Incentive Data'!H:H,$C$506,'[1]Finanace - Incentive Data'!R:R,$B516)</f>
        <v>0</v>
      </c>
      <c r="O516" s="8">
        <f t="shared" si="21"/>
        <v>0</v>
      </c>
    </row>
    <row r="517" spans="1:15" x14ac:dyDescent="0.3">
      <c r="A517" s="11"/>
      <c r="B517" s="5"/>
      <c r="C517" s="12"/>
      <c r="D517" s="13"/>
      <c r="E517" s="13"/>
      <c r="F517" s="5"/>
      <c r="G517" s="14"/>
      <c r="H517" s="15"/>
      <c r="I517" s="12"/>
      <c r="J517" s="5"/>
      <c r="K517" s="5"/>
      <c r="L517" s="8"/>
      <c r="M517" s="8"/>
      <c r="N517" s="8">
        <f>SUMIFS('[1]Finanace - Incentive Data'!BE:BE,'[1]Finanace - Incentive Data'!BS:BS,"Y",'[1]Finanace - Incentive Data'!H:H,$C$506,'[1]Finanace - Incentive Data'!R:R,$B517)</f>
        <v>0</v>
      </c>
      <c r="O517" s="8">
        <f t="shared" si="21"/>
        <v>0</v>
      </c>
    </row>
    <row r="518" spans="1:15" x14ac:dyDescent="0.3">
      <c r="A518" s="11"/>
      <c r="B518" s="5"/>
      <c r="C518" s="12"/>
      <c r="D518" s="13"/>
      <c r="E518" s="13"/>
      <c r="F518" s="5"/>
      <c r="G518" s="14"/>
      <c r="H518" s="15"/>
      <c r="I518" s="12"/>
      <c r="J518" s="5"/>
      <c r="K518" s="5"/>
      <c r="L518" s="8"/>
      <c r="M518" s="8"/>
      <c r="N518" s="8">
        <f>SUMIFS('[1]Finanace - Incentive Data'!BE:BE,'[1]Finanace - Incentive Data'!BS:BS,"Y",'[1]Finanace - Incentive Data'!H:H,$C$506,'[1]Finanace - Incentive Data'!R:R,$B518)</f>
        <v>0</v>
      </c>
      <c r="O518" s="8">
        <f t="shared" si="21"/>
        <v>0</v>
      </c>
    </row>
    <row r="519" spans="1:15" x14ac:dyDescent="0.3">
      <c r="A519" s="11"/>
      <c r="B519" s="5"/>
      <c r="C519" s="12"/>
      <c r="D519" s="13"/>
      <c r="E519" s="13"/>
      <c r="F519" s="5"/>
      <c r="G519" s="14"/>
      <c r="H519" s="15"/>
      <c r="I519" s="12"/>
      <c r="J519" s="5"/>
      <c r="K519" s="5"/>
      <c r="L519" s="8"/>
      <c r="M519" s="8"/>
      <c r="N519" s="8">
        <f>SUMIFS('[1]Finanace - Incentive Data'!BE:BE,'[1]Finanace - Incentive Data'!BS:BS,"Y",'[1]Finanace - Incentive Data'!H:H,$C$506,'[1]Finanace - Incentive Data'!R:R,$B519)</f>
        <v>0</v>
      </c>
      <c r="O519" s="8">
        <f t="shared" si="21"/>
        <v>0</v>
      </c>
    </row>
    <row r="520" spans="1:15" x14ac:dyDescent="0.3">
      <c r="A520" s="11"/>
      <c r="B520" s="5"/>
      <c r="C520" s="12"/>
      <c r="D520" s="13"/>
      <c r="E520" s="13"/>
      <c r="F520" s="5"/>
      <c r="G520" s="14"/>
      <c r="H520" s="15"/>
      <c r="I520" s="12"/>
      <c r="J520" s="5"/>
      <c r="K520" s="5"/>
      <c r="L520" s="8"/>
      <c r="M520" s="8"/>
      <c r="N520" s="8">
        <f>SUMIFS('[1]Finanace - Incentive Data'!BE:BE,'[1]Finanace - Incentive Data'!BS:BS,"Y",'[1]Finanace - Incentive Data'!H:H,$C$506,'[1]Finanace - Incentive Data'!R:R,$B520)</f>
        <v>0</v>
      </c>
      <c r="O520" s="8">
        <f t="shared" si="21"/>
        <v>0</v>
      </c>
    </row>
    <row r="521" spans="1:15" x14ac:dyDescent="0.3">
      <c r="A521" s="11"/>
      <c r="B521" s="5"/>
      <c r="C521" s="12"/>
      <c r="D521" s="13"/>
      <c r="E521" s="13"/>
      <c r="F521" s="5"/>
      <c r="G521" s="14"/>
      <c r="H521" s="15"/>
      <c r="I521" s="12"/>
      <c r="J521" s="5"/>
      <c r="K521" s="5"/>
      <c r="L521" s="8"/>
      <c r="M521" s="8"/>
      <c r="N521" s="8">
        <f>SUMIFS('[1]Finanace - Incentive Data'!BE:BE,'[1]Finanace - Incentive Data'!BS:BS,"Y",'[1]Finanace - Incentive Data'!H:H,$C$506,'[1]Finanace - Incentive Data'!R:R,$B521)</f>
        <v>0</v>
      </c>
      <c r="O521" s="8">
        <f t="shared" si="21"/>
        <v>0</v>
      </c>
    </row>
    <row r="522" spans="1:15" x14ac:dyDescent="0.3">
      <c r="A522" s="11"/>
      <c r="B522" s="5"/>
      <c r="C522" s="12"/>
      <c r="D522" s="13"/>
      <c r="E522" s="13"/>
      <c r="F522" s="5"/>
      <c r="G522" s="14"/>
      <c r="H522" s="15"/>
      <c r="I522" s="12"/>
      <c r="J522" s="5"/>
      <c r="K522" s="5"/>
      <c r="L522" s="8"/>
      <c r="M522" s="8"/>
      <c r="N522" s="8">
        <f>SUMIFS('[1]Finanace - Incentive Data'!BE:BE,'[1]Finanace - Incentive Data'!BS:BS,"Y",'[1]Finanace - Incentive Data'!H:H,$C$506,'[1]Finanace - Incentive Data'!R:R,$B522)</f>
        <v>0</v>
      </c>
      <c r="O522" s="8">
        <f t="shared" si="21"/>
        <v>0</v>
      </c>
    </row>
    <row r="523" spans="1:15" x14ac:dyDescent="0.3">
      <c r="A523" s="11"/>
      <c r="B523" s="5"/>
      <c r="C523" s="12"/>
      <c r="D523" s="13"/>
      <c r="E523" s="13"/>
      <c r="F523" s="5"/>
      <c r="G523" s="14"/>
      <c r="H523" s="15"/>
      <c r="I523" s="12"/>
      <c r="J523" s="5"/>
      <c r="K523" s="5"/>
      <c r="L523" s="8"/>
      <c r="M523" s="8"/>
      <c r="N523" s="8">
        <f>SUMIFS('[1]Finanace - Incentive Data'!BE:BE,'[1]Finanace - Incentive Data'!BS:BS,"Y",'[1]Finanace - Incentive Data'!H:H,$C$506,'[1]Finanace - Incentive Data'!R:R,$B523)</f>
        <v>0</v>
      </c>
      <c r="O523" s="8">
        <f t="shared" si="21"/>
        <v>0</v>
      </c>
    </row>
    <row r="524" spans="1:15" x14ac:dyDescent="0.3">
      <c r="A524" s="11"/>
      <c r="B524" s="5"/>
      <c r="C524" s="12"/>
      <c r="D524" s="13"/>
      <c r="E524" s="13"/>
      <c r="F524" s="5"/>
      <c r="G524" s="14"/>
      <c r="H524" s="15"/>
      <c r="I524" s="12"/>
      <c r="J524" s="5"/>
      <c r="K524" s="5"/>
      <c r="L524" s="8"/>
      <c r="M524" s="8"/>
      <c r="N524" s="8">
        <f>SUMIFS('[1]Finanace - Incentive Data'!BE:BE,'[1]Finanace - Incentive Data'!BS:BS,"Y",'[1]Finanace - Incentive Data'!H:H,$C$506,'[1]Finanace - Incentive Data'!R:R,$B524)</f>
        <v>0</v>
      </c>
      <c r="O524" s="8">
        <f t="shared" si="21"/>
        <v>0</v>
      </c>
    </row>
    <row r="525" spans="1:15" x14ac:dyDescent="0.3">
      <c r="A525" s="11"/>
      <c r="B525" s="5"/>
      <c r="C525" s="12"/>
      <c r="D525" s="13"/>
      <c r="E525" s="13"/>
      <c r="F525" s="5"/>
      <c r="G525" s="14"/>
      <c r="H525" s="15"/>
      <c r="I525" s="12"/>
      <c r="J525" s="5"/>
      <c r="K525" s="5"/>
      <c r="L525" s="8"/>
      <c r="M525" s="8"/>
      <c r="N525" s="8">
        <f>SUMIFS('[1]Finanace - Incentive Data'!BE:BE,'[1]Finanace - Incentive Data'!BS:BS,"Y",'[1]Finanace - Incentive Data'!H:H,$C$506,'[1]Finanace - Incentive Data'!R:R,$B525)</f>
        <v>0</v>
      </c>
      <c r="O525" s="8">
        <f t="shared" si="21"/>
        <v>0</v>
      </c>
    </row>
    <row r="526" spans="1:15" x14ac:dyDescent="0.3">
      <c r="A526" s="11"/>
      <c r="B526" s="5"/>
      <c r="C526" s="12"/>
      <c r="D526" s="13"/>
      <c r="E526" s="13"/>
      <c r="F526" s="5"/>
      <c r="G526" s="14"/>
      <c r="H526" s="15"/>
      <c r="I526" s="12"/>
      <c r="J526" s="5"/>
      <c r="K526" s="5"/>
      <c r="L526" s="8"/>
      <c r="M526" s="8"/>
      <c r="N526" s="8">
        <f>SUMIFS('[1]Finanace - Incentive Data'!BE:BE,'[1]Finanace - Incentive Data'!BS:BS,"Y",'[1]Finanace - Incentive Data'!H:H,$C$506,'[1]Finanace - Incentive Data'!R:R,$B526)</f>
        <v>0</v>
      </c>
      <c r="O526" s="8">
        <f t="shared" si="21"/>
        <v>0</v>
      </c>
    </row>
    <row r="529" spans="1:15" ht="43.2" x14ac:dyDescent="0.3">
      <c r="A529" s="1" t="s">
        <v>0</v>
      </c>
      <c r="B529" s="1" t="s">
        <v>1</v>
      </c>
      <c r="C529" s="1" t="s">
        <v>2</v>
      </c>
      <c r="D529" s="1" t="s">
        <v>3</v>
      </c>
      <c r="E529" s="1" t="s">
        <v>4</v>
      </c>
      <c r="F529" s="1" t="s">
        <v>5</v>
      </c>
      <c r="G529" s="1" t="s">
        <v>6</v>
      </c>
      <c r="H529" s="1" t="s">
        <v>7</v>
      </c>
      <c r="I529" s="1" t="s">
        <v>8</v>
      </c>
      <c r="J529" s="1" t="s">
        <v>9</v>
      </c>
      <c r="K529" s="2" t="s">
        <v>10</v>
      </c>
      <c r="L529" s="2" t="s">
        <v>11</v>
      </c>
      <c r="M529" s="3"/>
      <c r="N529" s="3"/>
    </row>
    <row r="530" spans="1:15" x14ac:dyDescent="0.3">
      <c r="A530" s="5" t="s">
        <v>12</v>
      </c>
      <c r="B530" s="4" t="str">
        <f>_xlfn.XLOOKUP($C530,'[1]Basic EMP Data - 2026'!$D$3:$D$224,'[1]Basic EMP Data - 2026'!$C$3:$C$224)</f>
        <v>VB0766</v>
      </c>
      <c r="C530" s="6" t="s">
        <v>47</v>
      </c>
      <c r="D530" s="5" t="str">
        <f>VLOOKUP($B530,'[1]Basic EMP Data - 2026'!$C$3:$F$224,3,0)</f>
        <v>Kashif Nabi</v>
      </c>
      <c r="E530" s="5">
        <f>VLOOKUP($B530,'[1]Basic EMP Data - 2026'!$C$3:$I$224,5,0)</f>
        <v>8</v>
      </c>
      <c r="F530" s="5">
        <f>VLOOKUP($B530,'[1]Basic EMP Data - 2026'!$C$3:$I$224,6,0)</f>
        <v>0</v>
      </c>
      <c r="G530" s="7">
        <f>F530/E530</f>
        <v>0</v>
      </c>
      <c r="H530" s="8">
        <f>SUM(L532:L550)</f>
        <v>3018.7039999999979</v>
      </c>
      <c r="I530" s="9" cm="1">
        <f t="array" ref="I530">_xlfn.IFS($G530&lt;=34%,0%,$G530&lt;=75%,3%,$G530&lt;=120%,4%,$G530&gt;120%,5%)</f>
        <v>0</v>
      </c>
      <c r="J530" s="8" cm="1">
        <f t="array" ref="J530">SUMPRODUCT((C532:C550=2026)*M532:M550*2)</f>
        <v>0</v>
      </c>
      <c r="K530" s="5">
        <f>SUM(N532:N550)</f>
        <v>0</v>
      </c>
      <c r="L530" s="8">
        <f>J530-K530</f>
        <v>0</v>
      </c>
      <c r="M530" s="3"/>
      <c r="N530" s="3"/>
    </row>
    <row r="531" spans="1:15" ht="43.2" x14ac:dyDescent="0.3">
      <c r="A531" s="10" t="s">
        <v>2</v>
      </c>
      <c r="B531" s="10" t="s">
        <v>14</v>
      </c>
      <c r="C531" s="10" t="s">
        <v>15</v>
      </c>
      <c r="D531" s="10" t="s">
        <v>16</v>
      </c>
      <c r="E531" s="10" t="s">
        <v>17</v>
      </c>
      <c r="F531" s="10" t="s">
        <v>18</v>
      </c>
      <c r="G531" s="10" t="s">
        <v>19</v>
      </c>
      <c r="H531" s="10" t="s">
        <v>20</v>
      </c>
      <c r="I531" s="10" t="s">
        <v>21</v>
      </c>
      <c r="J531" s="10" t="s">
        <v>22</v>
      </c>
      <c r="K531" s="10" t="s">
        <v>23</v>
      </c>
      <c r="L531" s="10" t="s">
        <v>24</v>
      </c>
      <c r="M531" s="10" t="s">
        <v>25</v>
      </c>
      <c r="N531" s="10" t="s">
        <v>26</v>
      </c>
      <c r="O531" s="10" t="s">
        <v>27</v>
      </c>
    </row>
    <row r="532" spans="1:15" x14ac:dyDescent="0.3">
      <c r="A532" s="11" t="str">
        <f>C530</f>
        <v>Vaibhav Kumar</v>
      </c>
      <c r="B532" s="5" t="str" cm="1">
        <f t="array" ref="B532:M532">_xlfn.LET(
  _xlpm.data, _xlfn._xlws.FILTER('[1]Finanace - Incentive Data'!A:CA, '[1]Finanace - Incentive Data'!H:H=$C530),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Rishi Zalani</v>
      </c>
      <c r="C532" s="12">
        <v>2026</v>
      </c>
      <c r="D532" s="13">
        <v>46083</v>
      </c>
      <c r="E532" s="13">
        <v>46122</v>
      </c>
      <c r="F532" s="5" t="str">
        <v>GRI</v>
      </c>
      <c r="G532" s="14" t="str">
        <v>PLC-4725</v>
      </c>
      <c r="H532" s="15" t="str">
        <v>C2C</v>
      </c>
      <c r="I532" s="12" t="str">
        <v>-</v>
      </c>
      <c r="J532" s="5" t="str">
        <v>-</v>
      </c>
      <c r="K532" s="5">
        <v>240</v>
      </c>
      <c r="L532" s="8">
        <v>3018.7039999999979</v>
      </c>
      <c r="M532" s="8">
        <v>0</v>
      </c>
      <c r="N532" s="8">
        <f>SUMIFS('[1]Finanace - Incentive Data'!BE:BE,'[1]Finanace - Incentive Data'!BS:BS,"Y",'[1]Finanace - Incentive Data'!H:H,$C$530,'[1]Finanace - Incentive Data'!R:R,$B532)</f>
        <v>0</v>
      </c>
      <c r="O532" s="8">
        <f>M532-N532</f>
        <v>0</v>
      </c>
    </row>
    <row r="533" spans="1:15" x14ac:dyDescent="0.3">
      <c r="A533" s="11"/>
      <c r="B533" s="5"/>
      <c r="C533" s="12"/>
      <c r="D533" s="13"/>
      <c r="E533" s="13"/>
      <c r="F533" s="5"/>
      <c r="G533" s="14"/>
      <c r="H533" s="15"/>
      <c r="I533" s="12"/>
      <c r="J533" s="5"/>
      <c r="K533" s="5"/>
      <c r="L533" s="8"/>
      <c r="M533" s="8"/>
      <c r="N533" s="8">
        <f>SUMIFS('[1]Finanace - Incentive Data'!BE:BE,'[1]Finanace - Incentive Data'!BS:BS,"Y",'[1]Finanace - Incentive Data'!H:H,$C$530,'[1]Finanace - Incentive Data'!R:R,$B533)</f>
        <v>0</v>
      </c>
      <c r="O533" s="8">
        <f t="shared" ref="O533:O550" si="22">M533-N533</f>
        <v>0</v>
      </c>
    </row>
    <row r="534" spans="1:15" x14ac:dyDescent="0.3">
      <c r="A534" s="11"/>
      <c r="B534" s="5"/>
      <c r="C534" s="12"/>
      <c r="D534" s="13"/>
      <c r="E534" s="13"/>
      <c r="F534" s="5"/>
      <c r="G534" s="14"/>
      <c r="H534" s="15"/>
      <c r="I534" s="12"/>
      <c r="J534" s="5"/>
      <c r="K534" s="5"/>
      <c r="L534" s="8"/>
      <c r="M534" s="8"/>
      <c r="N534" s="8">
        <f>SUMIFS('[1]Finanace - Incentive Data'!BE:BE,'[1]Finanace - Incentive Data'!BS:BS,"Y",'[1]Finanace - Incentive Data'!H:H,$C$530,'[1]Finanace - Incentive Data'!R:R,$B534)</f>
        <v>0</v>
      </c>
      <c r="O534" s="8">
        <f t="shared" si="22"/>
        <v>0</v>
      </c>
    </row>
    <row r="535" spans="1:15" x14ac:dyDescent="0.3">
      <c r="A535" s="11"/>
      <c r="B535" s="5"/>
      <c r="C535" s="12"/>
      <c r="D535" s="13"/>
      <c r="E535" s="13"/>
      <c r="F535" s="5"/>
      <c r="G535" s="14"/>
      <c r="H535" s="15"/>
      <c r="I535" s="12"/>
      <c r="J535" s="5"/>
      <c r="K535" s="5"/>
      <c r="L535" s="8"/>
      <c r="M535" s="8"/>
      <c r="N535" s="8">
        <f>SUMIFS('[1]Finanace - Incentive Data'!BE:BE,'[1]Finanace - Incentive Data'!BS:BS,"Y",'[1]Finanace - Incentive Data'!H:H,$C$530,'[1]Finanace - Incentive Data'!R:R,$B535)</f>
        <v>0</v>
      </c>
      <c r="O535" s="8">
        <f t="shared" si="22"/>
        <v>0</v>
      </c>
    </row>
    <row r="536" spans="1:15" x14ac:dyDescent="0.3">
      <c r="A536" s="11"/>
      <c r="B536" s="5"/>
      <c r="C536" s="12"/>
      <c r="D536" s="13"/>
      <c r="E536" s="13"/>
      <c r="F536" s="5"/>
      <c r="G536" s="14"/>
      <c r="H536" s="15"/>
      <c r="I536" s="12"/>
      <c r="J536" s="5"/>
      <c r="K536" s="5"/>
      <c r="L536" s="8"/>
      <c r="M536" s="8"/>
      <c r="N536" s="8">
        <f>SUMIFS('[1]Finanace - Incentive Data'!BE:BE,'[1]Finanace - Incentive Data'!BS:BS,"Y",'[1]Finanace - Incentive Data'!H:H,$C$530,'[1]Finanace - Incentive Data'!R:R,$B536)</f>
        <v>0</v>
      </c>
      <c r="O536" s="8">
        <f t="shared" si="22"/>
        <v>0</v>
      </c>
    </row>
    <row r="537" spans="1:15" x14ac:dyDescent="0.3">
      <c r="A537" s="11"/>
      <c r="B537" s="5"/>
      <c r="C537" s="12"/>
      <c r="D537" s="13"/>
      <c r="E537" s="13"/>
      <c r="F537" s="5"/>
      <c r="G537" s="14"/>
      <c r="H537" s="15"/>
      <c r="I537" s="12"/>
      <c r="J537" s="5"/>
      <c r="K537" s="5"/>
      <c r="L537" s="8"/>
      <c r="M537" s="8"/>
      <c r="N537" s="8">
        <f>SUMIFS('[1]Finanace - Incentive Data'!BE:BE,'[1]Finanace - Incentive Data'!BS:BS,"Y",'[1]Finanace - Incentive Data'!H:H,$C$530,'[1]Finanace - Incentive Data'!R:R,$B537)</f>
        <v>0</v>
      </c>
      <c r="O537" s="8">
        <f t="shared" si="22"/>
        <v>0</v>
      </c>
    </row>
    <row r="538" spans="1:15" x14ac:dyDescent="0.3">
      <c r="A538" s="11"/>
      <c r="B538" s="5"/>
      <c r="C538" s="12"/>
      <c r="D538" s="13"/>
      <c r="E538" s="13"/>
      <c r="F538" s="5"/>
      <c r="G538" s="14"/>
      <c r="H538" s="15"/>
      <c r="I538" s="12"/>
      <c r="J538" s="5"/>
      <c r="K538" s="5"/>
      <c r="L538" s="8"/>
      <c r="M538" s="8"/>
      <c r="N538" s="8">
        <f>SUMIFS('[1]Finanace - Incentive Data'!BE:BE,'[1]Finanace - Incentive Data'!BS:BS,"Y",'[1]Finanace - Incentive Data'!H:H,$C$530,'[1]Finanace - Incentive Data'!R:R,$B538)</f>
        <v>0</v>
      </c>
      <c r="O538" s="8">
        <f t="shared" si="22"/>
        <v>0</v>
      </c>
    </row>
    <row r="539" spans="1:15" x14ac:dyDescent="0.3">
      <c r="A539" s="11"/>
      <c r="B539" s="5"/>
      <c r="C539" s="12"/>
      <c r="D539" s="13"/>
      <c r="E539" s="13"/>
      <c r="F539" s="5"/>
      <c r="G539" s="14"/>
      <c r="H539" s="15"/>
      <c r="I539" s="12"/>
      <c r="J539" s="5"/>
      <c r="K539" s="5"/>
      <c r="L539" s="8"/>
      <c r="M539" s="8"/>
      <c r="N539" s="8">
        <f>SUMIFS('[1]Finanace - Incentive Data'!BE:BE,'[1]Finanace - Incentive Data'!BS:BS,"Y",'[1]Finanace - Incentive Data'!H:H,$C$530,'[1]Finanace - Incentive Data'!R:R,$B539)</f>
        <v>0</v>
      </c>
      <c r="O539" s="8">
        <f t="shared" si="22"/>
        <v>0</v>
      </c>
    </row>
    <row r="540" spans="1:15" x14ac:dyDescent="0.3">
      <c r="A540" s="11"/>
      <c r="B540" s="5"/>
      <c r="C540" s="12"/>
      <c r="D540" s="13"/>
      <c r="E540" s="13"/>
      <c r="F540" s="5"/>
      <c r="G540" s="14"/>
      <c r="H540" s="15"/>
      <c r="I540" s="12"/>
      <c r="J540" s="5"/>
      <c r="K540" s="5"/>
      <c r="L540" s="8"/>
      <c r="M540" s="8"/>
      <c r="N540" s="8">
        <f>SUMIFS('[1]Finanace - Incentive Data'!BE:BE,'[1]Finanace - Incentive Data'!BS:BS,"Y",'[1]Finanace - Incentive Data'!H:H,$C$530,'[1]Finanace - Incentive Data'!R:R,$B540)</f>
        <v>0</v>
      </c>
      <c r="O540" s="8">
        <f t="shared" si="22"/>
        <v>0</v>
      </c>
    </row>
    <row r="541" spans="1:15" x14ac:dyDescent="0.3">
      <c r="A541" s="11"/>
      <c r="B541" s="5"/>
      <c r="C541" s="12"/>
      <c r="D541" s="13"/>
      <c r="E541" s="13"/>
      <c r="F541" s="5"/>
      <c r="G541" s="14"/>
      <c r="H541" s="15"/>
      <c r="I541" s="12"/>
      <c r="J541" s="5"/>
      <c r="K541" s="5"/>
      <c r="L541" s="8"/>
      <c r="M541" s="8"/>
      <c r="N541" s="8">
        <f>SUMIFS('[1]Finanace - Incentive Data'!BE:BE,'[1]Finanace - Incentive Data'!BS:BS,"Y",'[1]Finanace - Incentive Data'!H:H,$C$530,'[1]Finanace - Incentive Data'!R:R,$B541)</f>
        <v>0</v>
      </c>
      <c r="O541" s="8">
        <f t="shared" si="22"/>
        <v>0</v>
      </c>
    </row>
    <row r="542" spans="1:15" x14ac:dyDescent="0.3">
      <c r="A542" s="11"/>
      <c r="B542" s="5"/>
      <c r="C542" s="12"/>
      <c r="D542" s="13"/>
      <c r="E542" s="13"/>
      <c r="F542" s="5"/>
      <c r="G542" s="14"/>
      <c r="H542" s="15"/>
      <c r="I542" s="12"/>
      <c r="J542" s="5"/>
      <c r="K542" s="5"/>
      <c r="L542" s="8"/>
      <c r="M542" s="8"/>
      <c r="N542" s="8">
        <f>SUMIFS('[1]Finanace - Incentive Data'!BE:BE,'[1]Finanace - Incentive Data'!BS:BS,"Y",'[1]Finanace - Incentive Data'!H:H,$C$530,'[1]Finanace - Incentive Data'!R:R,$B542)</f>
        <v>0</v>
      </c>
      <c r="O542" s="8">
        <f t="shared" si="22"/>
        <v>0</v>
      </c>
    </row>
    <row r="543" spans="1:15" x14ac:dyDescent="0.3">
      <c r="A543" s="11"/>
      <c r="B543" s="5"/>
      <c r="C543" s="12"/>
      <c r="D543" s="13"/>
      <c r="E543" s="13"/>
      <c r="F543" s="5"/>
      <c r="G543" s="14"/>
      <c r="H543" s="15"/>
      <c r="I543" s="12"/>
      <c r="J543" s="5"/>
      <c r="K543" s="5"/>
      <c r="L543" s="8"/>
      <c r="M543" s="8"/>
      <c r="N543" s="8">
        <f>SUMIFS('[1]Finanace - Incentive Data'!BE:BE,'[1]Finanace - Incentive Data'!BS:BS,"Y",'[1]Finanace - Incentive Data'!H:H,$C$530,'[1]Finanace - Incentive Data'!R:R,$B543)</f>
        <v>0</v>
      </c>
      <c r="O543" s="8">
        <f t="shared" si="22"/>
        <v>0</v>
      </c>
    </row>
    <row r="544" spans="1:15" x14ac:dyDescent="0.3">
      <c r="A544" s="11"/>
      <c r="B544" s="5"/>
      <c r="C544" s="12"/>
      <c r="D544" s="13"/>
      <c r="E544" s="13"/>
      <c r="F544" s="5"/>
      <c r="G544" s="14"/>
      <c r="H544" s="15"/>
      <c r="I544" s="12"/>
      <c r="J544" s="5"/>
      <c r="K544" s="5"/>
      <c r="L544" s="8"/>
      <c r="M544" s="8"/>
      <c r="N544" s="8">
        <f>SUMIFS('[1]Finanace - Incentive Data'!BE:BE,'[1]Finanace - Incentive Data'!BS:BS,"Y",'[1]Finanace - Incentive Data'!H:H,$C$530,'[1]Finanace - Incentive Data'!R:R,$B544)</f>
        <v>0</v>
      </c>
      <c r="O544" s="8">
        <f t="shared" si="22"/>
        <v>0</v>
      </c>
    </row>
    <row r="545" spans="1:15" x14ac:dyDescent="0.3">
      <c r="A545" s="11"/>
      <c r="B545" s="5"/>
      <c r="C545" s="12"/>
      <c r="D545" s="13"/>
      <c r="E545" s="13"/>
      <c r="F545" s="5"/>
      <c r="G545" s="14"/>
      <c r="H545" s="15"/>
      <c r="I545" s="12"/>
      <c r="J545" s="5"/>
      <c r="K545" s="5"/>
      <c r="L545" s="8"/>
      <c r="M545" s="8"/>
      <c r="N545" s="8">
        <f>SUMIFS('[1]Finanace - Incentive Data'!BE:BE,'[1]Finanace - Incentive Data'!BS:BS,"Y",'[1]Finanace - Incentive Data'!H:H,$C$530,'[1]Finanace - Incentive Data'!R:R,$B545)</f>
        <v>0</v>
      </c>
      <c r="O545" s="8">
        <f t="shared" si="22"/>
        <v>0</v>
      </c>
    </row>
    <row r="546" spans="1:15" x14ac:dyDescent="0.3">
      <c r="A546" s="11"/>
      <c r="B546" s="5"/>
      <c r="C546" s="12"/>
      <c r="D546" s="13"/>
      <c r="E546" s="13"/>
      <c r="F546" s="5"/>
      <c r="G546" s="14"/>
      <c r="H546" s="15"/>
      <c r="I546" s="12"/>
      <c r="J546" s="5"/>
      <c r="K546" s="5"/>
      <c r="L546" s="8"/>
      <c r="M546" s="8"/>
      <c r="N546" s="8">
        <f>SUMIFS('[1]Finanace - Incentive Data'!BE:BE,'[1]Finanace - Incentive Data'!BS:BS,"Y",'[1]Finanace - Incentive Data'!H:H,$C$530,'[1]Finanace - Incentive Data'!R:R,$B546)</f>
        <v>0</v>
      </c>
      <c r="O546" s="8">
        <f t="shared" si="22"/>
        <v>0</v>
      </c>
    </row>
    <row r="547" spans="1:15" x14ac:dyDescent="0.3">
      <c r="A547" s="11"/>
      <c r="B547" s="5"/>
      <c r="C547" s="12"/>
      <c r="D547" s="13"/>
      <c r="E547" s="13"/>
      <c r="F547" s="5"/>
      <c r="G547" s="14"/>
      <c r="H547" s="15"/>
      <c r="I547" s="12"/>
      <c r="J547" s="5"/>
      <c r="K547" s="5"/>
      <c r="L547" s="8"/>
      <c r="M547" s="8"/>
      <c r="N547" s="8">
        <f>SUMIFS('[1]Finanace - Incentive Data'!BE:BE,'[1]Finanace - Incentive Data'!BS:BS,"Y",'[1]Finanace - Incentive Data'!H:H,$C$530,'[1]Finanace - Incentive Data'!R:R,$B547)</f>
        <v>0</v>
      </c>
      <c r="O547" s="8">
        <f t="shared" si="22"/>
        <v>0</v>
      </c>
    </row>
    <row r="548" spans="1:15" x14ac:dyDescent="0.3">
      <c r="A548" s="11"/>
      <c r="B548" s="5"/>
      <c r="C548" s="12"/>
      <c r="D548" s="13"/>
      <c r="E548" s="13"/>
      <c r="F548" s="5"/>
      <c r="G548" s="14"/>
      <c r="H548" s="15"/>
      <c r="I548" s="12"/>
      <c r="J548" s="5"/>
      <c r="K548" s="5"/>
      <c r="L548" s="8"/>
      <c r="M548" s="8"/>
      <c r="N548" s="8">
        <f>SUMIFS('[1]Finanace - Incentive Data'!BE:BE,'[1]Finanace - Incentive Data'!BS:BS,"Y",'[1]Finanace - Incentive Data'!H:H,$C$530,'[1]Finanace - Incentive Data'!R:R,$B548)</f>
        <v>0</v>
      </c>
      <c r="O548" s="8">
        <f t="shared" si="22"/>
        <v>0</v>
      </c>
    </row>
    <row r="549" spans="1:15" x14ac:dyDescent="0.3">
      <c r="A549" s="11"/>
      <c r="B549" s="5"/>
      <c r="C549" s="12"/>
      <c r="D549" s="13"/>
      <c r="E549" s="13"/>
      <c r="F549" s="5"/>
      <c r="G549" s="14"/>
      <c r="H549" s="15"/>
      <c r="I549" s="12"/>
      <c r="J549" s="5"/>
      <c r="K549" s="5"/>
      <c r="L549" s="8"/>
      <c r="M549" s="8"/>
      <c r="N549" s="8">
        <f>SUMIFS('[1]Finanace - Incentive Data'!BE:BE,'[1]Finanace - Incentive Data'!BS:BS,"Y",'[1]Finanace - Incentive Data'!H:H,$C$530,'[1]Finanace - Incentive Data'!R:R,$B549)</f>
        <v>0</v>
      </c>
      <c r="O549" s="8">
        <f t="shared" si="22"/>
        <v>0</v>
      </c>
    </row>
    <row r="550" spans="1:15" x14ac:dyDescent="0.3">
      <c r="A550" s="11"/>
      <c r="B550" s="5"/>
      <c r="C550" s="12"/>
      <c r="D550" s="13"/>
      <c r="E550" s="13"/>
      <c r="F550" s="5"/>
      <c r="G550" s="14"/>
      <c r="H550" s="15"/>
      <c r="I550" s="12"/>
      <c r="J550" s="5"/>
      <c r="K550" s="5"/>
      <c r="L550" s="8"/>
      <c r="M550" s="8"/>
      <c r="N550" s="8">
        <f>SUMIFS('[1]Finanace - Incentive Data'!BE:BE,'[1]Finanace - Incentive Data'!BS:BS,"Y",'[1]Finanace - Incentive Data'!H:H,$C$530,'[1]Finanace - Incentive Data'!R:R,$B550)</f>
        <v>0</v>
      </c>
      <c r="O550" s="8">
        <f t="shared" si="22"/>
        <v>0</v>
      </c>
    </row>
    <row r="553" spans="1:15" ht="43.2" x14ac:dyDescent="0.3">
      <c r="A553" s="1" t="s">
        <v>0</v>
      </c>
      <c r="B553" s="1" t="s">
        <v>1</v>
      </c>
      <c r="C553" s="1" t="s">
        <v>2</v>
      </c>
      <c r="D553" s="1" t="s">
        <v>3</v>
      </c>
      <c r="E553" s="1" t="s">
        <v>4</v>
      </c>
      <c r="F553" s="1" t="s">
        <v>5</v>
      </c>
      <c r="G553" s="1" t="s">
        <v>6</v>
      </c>
      <c r="H553" s="1" t="s">
        <v>7</v>
      </c>
      <c r="I553" s="1" t="s">
        <v>8</v>
      </c>
      <c r="J553" s="1" t="s">
        <v>9</v>
      </c>
      <c r="K553" s="2" t="s">
        <v>10</v>
      </c>
      <c r="L553" s="2" t="s">
        <v>11</v>
      </c>
      <c r="M553" s="3"/>
      <c r="N553" s="3"/>
    </row>
    <row r="554" spans="1:15" x14ac:dyDescent="0.3">
      <c r="A554" s="5" t="s">
        <v>12</v>
      </c>
      <c r="B554" s="4" t="str">
        <f>_xlfn.XLOOKUP($C554,'[1]Basic EMP Data - 2026'!$D$3:$D$224,'[1]Basic EMP Data - 2026'!$C$3:$C$224)</f>
        <v>VB1857</v>
      </c>
      <c r="C554" s="6" t="s">
        <v>48</v>
      </c>
      <c r="D554" s="5" t="str">
        <f>VLOOKUP($B554,'[1]Basic EMP Data - 2026'!$C$3:$F$224,3,0)</f>
        <v>Kashif Nabi</v>
      </c>
      <c r="E554" s="5">
        <f>VLOOKUP($B554,'[1]Basic EMP Data - 2026'!$C$3:$I$224,5,0)</f>
        <v>6</v>
      </c>
      <c r="F554" s="5">
        <f>VLOOKUP($B554,'[1]Basic EMP Data - 2026'!$C$3:$I$224,6,0)</f>
        <v>0</v>
      </c>
      <c r="G554" s="7">
        <f>F554/E554</f>
        <v>0</v>
      </c>
      <c r="H554" s="8">
        <f>SUM(L556:L574)</f>
        <v>0</v>
      </c>
      <c r="I554" s="9" cm="1">
        <f t="array" ref="I554">_xlfn.IFS($G554&lt;=34%,0%,$G554&lt;=75%,3%,$G554&lt;=120%,4%,$G554&gt;120%,5%)</f>
        <v>0</v>
      </c>
      <c r="J554" s="8" cm="1">
        <f t="array" ref="J554">SUMPRODUCT((C556:C574=2026)*M556:M574*2)</f>
        <v>0</v>
      </c>
      <c r="K554" s="5">
        <f>SUM(N556:N574)</f>
        <v>0</v>
      </c>
      <c r="L554" s="8">
        <f>J554-K554</f>
        <v>0</v>
      </c>
      <c r="M554" s="3"/>
      <c r="N554" s="3"/>
    </row>
    <row r="555" spans="1:15" ht="43.2" x14ac:dyDescent="0.3">
      <c r="A555" s="10" t="s">
        <v>2</v>
      </c>
      <c r="B555" s="10" t="s">
        <v>14</v>
      </c>
      <c r="C555" s="10" t="s">
        <v>15</v>
      </c>
      <c r="D555" s="10" t="s">
        <v>16</v>
      </c>
      <c r="E555" s="10" t="s">
        <v>17</v>
      </c>
      <c r="F555" s="10" t="s">
        <v>18</v>
      </c>
      <c r="G555" s="10" t="s">
        <v>19</v>
      </c>
      <c r="H555" s="10" t="s">
        <v>20</v>
      </c>
      <c r="I555" s="10" t="s">
        <v>21</v>
      </c>
      <c r="J555" s="10" t="s">
        <v>22</v>
      </c>
      <c r="K555" s="10" t="s">
        <v>23</v>
      </c>
      <c r="L555" s="10" t="s">
        <v>24</v>
      </c>
      <c r="M555" s="10" t="s">
        <v>25</v>
      </c>
      <c r="N555" s="10" t="s">
        <v>26</v>
      </c>
      <c r="O555" s="10" t="s">
        <v>27</v>
      </c>
    </row>
    <row r="556" spans="1:15" x14ac:dyDescent="0.3">
      <c r="A556" s="11" t="str">
        <f>C554</f>
        <v>Satyajeet Singh</v>
      </c>
      <c r="B556" s="5" t="e" cm="1" vm="1">
        <f t="array" ref="B556">_xlfn.LET(
  _xlpm.data, _xlfn._xlws.FILTER('[1]Finanace - Incentive Data'!A:CA, '[1]Finanace - Incentive Data'!H:H=$C554),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556" s="12"/>
      <c r="D556" s="13"/>
      <c r="E556" s="13"/>
      <c r="F556" s="5"/>
      <c r="G556" s="14"/>
      <c r="H556" s="15"/>
      <c r="I556" s="12"/>
      <c r="J556" s="5"/>
      <c r="K556" s="5"/>
      <c r="L556" s="8"/>
      <c r="M556" s="8"/>
      <c r="N556" s="8">
        <f>SUMIFS('[1]Finanace - Incentive Data'!BE:BE,'[1]Finanace - Incentive Data'!BS:BS,"Y",'[1]Finanace - Incentive Data'!H:H,$C$554,'[1]Finanace - Incentive Data'!R:R,$B556)</f>
        <v>0</v>
      </c>
      <c r="O556" s="8">
        <f>M556-N556</f>
        <v>0</v>
      </c>
    </row>
    <row r="557" spans="1:15" x14ac:dyDescent="0.3">
      <c r="A557" s="11"/>
      <c r="B557" s="5"/>
      <c r="C557" s="12"/>
      <c r="D557" s="13"/>
      <c r="E557" s="13"/>
      <c r="F557" s="5"/>
      <c r="G557" s="14"/>
      <c r="H557" s="15"/>
      <c r="I557" s="12"/>
      <c r="J557" s="5"/>
      <c r="K557" s="5"/>
      <c r="L557" s="8"/>
      <c r="M557" s="8"/>
      <c r="N557" s="8">
        <f>SUMIFS('[1]Finanace - Incentive Data'!BE:BE,'[1]Finanace - Incentive Data'!BS:BS,"Y",'[1]Finanace - Incentive Data'!H:H,$C$554,'[1]Finanace - Incentive Data'!R:R,$B557)</f>
        <v>0</v>
      </c>
      <c r="O557" s="8">
        <f>M557-N557</f>
        <v>0</v>
      </c>
    </row>
    <row r="558" spans="1:15" x14ac:dyDescent="0.3">
      <c r="A558" s="11"/>
      <c r="B558" s="5"/>
      <c r="C558" s="12"/>
      <c r="D558" s="13"/>
      <c r="E558" s="13"/>
      <c r="F558" s="5"/>
      <c r="G558" s="14"/>
      <c r="H558" s="15"/>
      <c r="I558" s="12"/>
      <c r="J558" s="5"/>
      <c r="K558" s="5"/>
      <c r="L558" s="8"/>
      <c r="M558" s="8"/>
      <c r="N558" s="5"/>
      <c r="O558" s="5"/>
    </row>
    <row r="559" spans="1:15" x14ac:dyDescent="0.3">
      <c r="A559" s="11"/>
      <c r="B559" s="5"/>
      <c r="C559" s="12"/>
      <c r="D559" s="13"/>
      <c r="E559" s="13"/>
      <c r="F559" s="5"/>
      <c r="G559" s="14"/>
      <c r="H559" s="15"/>
      <c r="I559" s="12"/>
      <c r="J559" s="5"/>
      <c r="K559" s="5"/>
      <c r="L559" s="8"/>
      <c r="M559" s="8"/>
      <c r="N559" s="5"/>
      <c r="O559" s="5"/>
    </row>
    <row r="560" spans="1:15" x14ac:dyDescent="0.3">
      <c r="A560" s="11"/>
      <c r="B560" s="5"/>
      <c r="C560" s="12"/>
      <c r="D560" s="13"/>
      <c r="E560" s="13"/>
      <c r="F560" s="5"/>
      <c r="G560" s="14"/>
      <c r="H560" s="15"/>
      <c r="I560" s="12"/>
      <c r="J560" s="5"/>
      <c r="K560" s="5"/>
      <c r="L560" s="8"/>
      <c r="M560" s="8"/>
      <c r="N560" s="5"/>
      <c r="O560" s="5"/>
    </row>
    <row r="561" spans="1:15" x14ac:dyDescent="0.3">
      <c r="A561" s="11"/>
      <c r="B561" s="5"/>
      <c r="C561" s="12"/>
      <c r="D561" s="13"/>
      <c r="E561" s="13"/>
      <c r="F561" s="5"/>
      <c r="G561" s="14"/>
      <c r="H561" s="15"/>
      <c r="I561" s="12"/>
      <c r="J561" s="5"/>
      <c r="K561" s="5"/>
      <c r="L561" s="8"/>
      <c r="M561" s="8"/>
      <c r="N561" s="5"/>
      <c r="O561" s="5"/>
    </row>
    <row r="562" spans="1:15" x14ac:dyDescent="0.3">
      <c r="A562" s="11"/>
      <c r="B562" s="5"/>
      <c r="C562" s="12"/>
      <c r="D562" s="13"/>
      <c r="E562" s="13"/>
      <c r="F562" s="5"/>
      <c r="G562" s="14"/>
      <c r="H562" s="15"/>
      <c r="I562" s="12"/>
      <c r="J562" s="5"/>
      <c r="K562" s="5"/>
      <c r="L562" s="8"/>
      <c r="M562" s="8"/>
      <c r="N562" s="5"/>
      <c r="O562" s="5"/>
    </row>
    <row r="563" spans="1:15" x14ac:dyDescent="0.3">
      <c r="A563" s="11"/>
      <c r="B563" s="5"/>
      <c r="C563" s="12"/>
      <c r="D563" s="13"/>
      <c r="E563" s="13"/>
      <c r="F563" s="5"/>
      <c r="G563" s="14"/>
      <c r="H563" s="15"/>
      <c r="I563" s="12"/>
      <c r="J563" s="5"/>
      <c r="K563" s="5"/>
      <c r="L563" s="8"/>
      <c r="M563" s="8"/>
      <c r="N563" s="5"/>
      <c r="O563" s="5"/>
    </row>
    <row r="564" spans="1:15" x14ac:dyDescent="0.3">
      <c r="A564" s="11"/>
      <c r="B564" s="5"/>
      <c r="C564" s="12"/>
      <c r="D564" s="13"/>
      <c r="E564" s="13"/>
      <c r="F564" s="5"/>
      <c r="G564" s="14"/>
      <c r="H564" s="15"/>
      <c r="I564" s="12"/>
      <c r="J564" s="5"/>
      <c r="K564" s="5"/>
      <c r="L564" s="8"/>
      <c r="M564" s="8"/>
      <c r="N564" s="5"/>
      <c r="O564" s="5"/>
    </row>
    <row r="565" spans="1:15" x14ac:dyDescent="0.3">
      <c r="A565" s="11"/>
      <c r="B565" s="5"/>
      <c r="C565" s="12"/>
      <c r="D565" s="13"/>
      <c r="E565" s="13"/>
      <c r="F565" s="5"/>
      <c r="G565" s="14"/>
      <c r="H565" s="15"/>
      <c r="I565" s="12"/>
      <c r="J565" s="5"/>
      <c r="K565" s="5"/>
      <c r="L565" s="8"/>
      <c r="M565" s="8"/>
      <c r="N565" s="5"/>
      <c r="O565" s="5"/>
    </row>
    <row r="566" spans="1:15" x14ac:dyDescent="0.3">
      <c r="A566" s="11"/>
      <c r="B566" s="5"/>
      <c r="C566" s="12"/>
      <c r="D566" s="13"/>
      <c r="E566" s="13"/>
      <c r="F566" s="5"/>
      <c r="G566" s="14"/>
      <c r="H566" s="15"/>
      <c r="I566" s="12"/>
      <c r="J566" s="5"/>
      <c r="K566" s="5"/>
      <c r="L566" s="8"/>
      <c r="M566" s="8"/>
      <c r="N566" s="5"/>
      <c r="O566" s="5"/>
    </row>
    <row r="567" spans="1:15" x14ac:dyDescent="0.3">
      <c r="A567" s="11"/>
      <c r="B567" s="5"/>
      <c r="C567" s="12"/>
      <c r="D567" s="13"/>
      <c r="E567" s="13"/>
      <c r="F567" s="5"/>
      <c r="G567" s="14"/>
      <c r="H567" s="15"/>
      <c r="I567" s="12"/>
      <c r="J567" s="5"/>
      <c r="K567" s="5"/>
      <c r="L567" s="8"/>
      <c r="M567" s="8"/>
      <c r="N567" s="5"/>
      <c r="O567" s="5"/>
    </row>
    <row r="568" spans="1:15" x14ac:dyDescent="0.3">
      <c r="A568" s="11"/>
      <c r="B568" s="5"/>
      <c r="C568" s="12"/>
      <c r="D568" s="13"/>
      <c r="E568" s="13"/>
      <c r="F568" s="5"/>
      <c r="G568" s="14"/>
      <c r="H568" s="15"/>
      <c r="I568" s="12"/>
      <c r="J568" s="5"/>
      <c r="K568" s="5"/>
      <c r="L568" s="8"/>
      <c r="M568" s="8"/>
      <c r="N568" s="5"/>
      <c r="O568" s="5"/>
    </row>
    <row r="569" spans="1:15" x14ac:dyDescent="0.3">
      <c r="A569" s="11"/>
      <c r="B569" s="5"/>
      <c r="C569" s="12"/>
      <c r="D569" s="13"/>
      <c r="E569" s="13"/>
      <c r="F569" s="5"/>
      <c r="G569" s="14"/>
      <c r="H569" s="15"/>
      <c r="I569" s="12"/>
      <c r="J569" s="5"/>
      <c r="K569" s="5"/>
      <c r="L569" s="8"/>
      <c r="M569" s="8"/>
      <c r="N569" s="5"/>
      <c r="O569" s="5"/>
    </row>
    <row r="570" spans="1:15" x14ac:dyDescent="0.3">
      <c r="A570" s="11"/>
      <c r="B570" s="5"/>
      <c r="C570" s="12"/>
      <c r="D570" s="13"/>
      <c r="E570" s="13"/>
      <c r="F570" s="5"/>
      <c r="G570" s="14"/>
      <c r="H570" s="15"/>
      <c r="I570" s="12"/>
      <c r="J570" s="5"/>
      <c r="K570" s="5"/>
      <c r="L570" s="8"/>
      <c r="M570" s="8"/>
      <c r="N570" s="5"/>
      <c r="O570" s="5"/>
    </row>
    <row r="571" spans="1:15" x14ac:dyDescent="0.3">
      <c r="A571" s="11"/>
      <c r="B571" s="5"/>
      <c r="C571" s="12"/>
      <c r="D571" s="13"/>
      <c r="E571" s="13"/>
      <c r="F571" s="5"/>
      <c r="G571" s="14"/>
      <c r="H571" s="15"/>
      <c r="I571" s="12"/>
      <c r="J571" s="5"/>
      <c r="K571" s="5"/>
      <c r="L571" s="8"/>
      <c r="M571" s="8"/>
      <c r="N571" s="5"/>
      <c r="O571" s="5"/>
    </row>
    <row r="572" spans="1:15" x14ac:dyDescent="0.3">
      <c r="A572" s="11"/>
      <c r="B572" s="5"/>
      <c r="C572" s="12"/>
      <c r="D572" s="13"/>
      <c r="E572" s="13"/>
      <c r="F572" s="5"/>
      <c r="G572" s="14"/>
      <c r="H572" s="15"/>
      <c r="I572" s="12"/>
      <c r="J572" s="5"/>
      <c r="K572" s="5"/>
      <c r="L572" s="8"/>
      <c r="M572" s="8"/>
      <c r="N572" s="5"/>
      <c r="O572" s="5"/>
    </row>
    <row r="573" spans="1:15" x14ac:dyDescent="0.3">
      <c r="A573" s="11"/>
      <c r="B573" s="5"/>
      <c r="C573" s="12"/>
      <c r="D573" s="13"/>
      <c r="E573" s="13"/>
      <c r="F573" s="5"/>
      <c r="G573" s="14"/>
      <c r="H573" s="15"/>
      <c r="I573" s="12"/>
      <c r="J573" s="5"/>
      <c r="K573" s="5"/>
      <c r="L573" s="8"/>
      <c r="M573" s="8"/>
      <c r="N573" s="5"/>
      <c r="O573" s="5"/>
    </row>
    <row r="574" spans="1:15" x14ac:dyDescent="0.3">
      <c r="A574" s="11"/>
      <c r="B574" s="5"/>
      <c r="C574" s="12"/>
      <c r="D574" s="13"/>
      <c r="E574" s="13"/>
      <c r="F574" s="5"/>
      <c r="G574" s="14"/>
      <c r="H574" s="15"/>
      <c r="I574" s="12"/>
      <c r="J574" s="5"/>
      <c r="K574" s="5"/>
      <c r="L574" s="8"/>
      <c r="M574" s="8"/>
      <c r="N574" s="5"/>
      <c r="O574" s="5"/>
    </row>
    <row r="577" spans="1:15" ht="43.2" x14ac:dyDescent="0.3">
      <c r="A577" s="1" t="s">
        <v>0</v>
      </c>
      <c r="B577" s="1" t="s">
        <v>1</v>
      </c>
      <c r="C577" s="1" t="s">
        <v>2</v>
      </c>
      <c r="D577" s="1" t="s">
        <v>3</v>
      </c>
      <c r="E577" s="1" t="s">
        <v>4</v>
      </c>
      <c r="F577" s="1" t="s">
        <v>5</v>
      </c>
      <c r="G577" s="1" t="s">
        <v>6</v>
      </c>
      <c r="H577" s="1" t="s">
        <v>7</v>
      </c>
      <c r="I577" s="1" t="s">
        <v>8</v>
      </c>
      <c r="J577" s="1" t="s">
        <v>9</v>
      </c>
      <c r="K577" s="2" t="s">
        <v>10</v>
      </c>
      <c r="L577" s="2" t="s">
        <v>11</v>
      </c>
      <c r="M577" s="3"/>
      <c r="N577" s="3"/>
    </row>
    <row r="578" spans="1:15" x14ac:dyDescent="0.3">
      <c r="A578" s="5" t="s">
        <v>12</v>
      </c>
      <c r="B578" s="4" t="str">
        <f>_xlfn.XLOOKUP($C578,'[1]Basic EMP Data - 2026'!$D$3:$D$224,'[1]Basic EMP Data - 2026'!$C$3:$C$224)</f>
        <v>VB0484</v>
      </c>
      <c r="C578" s="6" t="s">
        <v>49</v>
      </c>
      <c r="D578" s="5" t="str">
        <f>VLOOKUP($B578,'[1]Basic EMP Data - 2026'!$C$3:$F$224,3,0)</f>
        <v>Mohammad Tariq</v>
      </c>
      <c r="E578" s="5">
        <f>VLOOKUP($B578,'[1]Basic EMP Data - 2026'!$C$3:$I$224,5,0)</f>
        <v>4</v>
      </c>
      <c r="F578" s="5">
        <f>VLOOKUP($B578,'[1]Basic EMP Data - 2026'!$C$3:$I$224,6,0)</f>
        <v>2</v>
      </c>
      <c r="G578" s="7">
        <f>F578/E578</f>
        <v>0.5</v>
      </c>
      <c r="H578" s="8">
        <f>SUM(L580:L598)</f>
        <v>5000</v>
      </c>
      <c r="I578" s="9" cm="1">
        <f t="array" ref="I578">_xlfn.IFS($G578&lt;=34%,0%,$G578&lt;=75%,3%,$G578&lt;=120%,4%,$G578&gt;120%,5%)</f>
        <v>0.03</v>
      </c>
      <c r="J578" s="8" cm="1">
        <f t="array" ref="J578">SUMPRODUCT((C580:C598=2026)*M580:M598*2)</f>
        <v>13200</v>
      </c>
      <c r="K578" s="5">
        <f>SUM(N580:N598)</f>
        <v>6600</v>
      </c>
      <c r="L578" s="8">
        <f>J578-K578</f>
        <v>6600</v>
      </c>
      <c r="M578" s="3"/>
      <c r="N578" s="3"/>
    </row>
    <row r="579" spans="1:15" ht="43.2" x14ac:dyDescent="0.3">
      <c r="A579" s="10" t="s">
        <v>2</v>
      </c>
      <c r="B579" s="10" t="s">
        <v>14</v>
      </c>
      <c r="C579" s="10" t="s">
        <v>15</v>
      </c>
      <c r="D579" s="10" t="s">
        <v>16</v>
      </c>
      <c r="E579" s="10" t="s">
        <v>17</v>
      </c>
      <c r="F579" s="10" t="s">
        <v>18</v>
      </c>
      <c r="G579" s="10" t="s">
        <v>19</v>
      </c>
      <c r="H579" s="10" t="s">
        <v>20</v>
      </c>
      <c r="I579" s="10" t="s">
        <v>21</v>
      </c>
      <c r="J579" s="10" t="s">
        <v>22</v>
      </c>
      <c r="K579" s="10" t="s">
        <v>23</v>
      </c>
      <c r="L579" s="10" t="s">
        <v>24</v>
      </c>
      <c r="M579" s="10" t="s">
        <v>25</v>
      </c>
      <c r="N579" s="10" t="s">
        <v>26</v>
      </c>
      <c r="O579" s="10" t="s">
        <v>27</v>
      </c>
    </row>
    <row r="580" spans="1:15" x14ac:dyDescent="0.3">
      <c r="A580" s="11" t="str">
        <f>C578</f>
        <v>Mohammad Tariq</v>
      </c>
      <c r="B580" s="5" t="str" cm="1">
        <f t="array" ref="B580:M581">_xlfn.LET(
  _xlpm.data, _xlfn._xlws.FILTER('[1]Finanace - Incentive Data'!A:CA, '[1]Finanace - Incentive Data'!H:H=$C578),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Amir Befroui</v>
      </c>
      <c r="C580" s="12">
        <v>2026</v>
      </c>
      <c r="D580" s="13">
        <v>46125</v>
      </c>
      <c r="E580" s="13">
        <v>0</v>
      </c>
      <c r="F580" s="5" t="str">
        <v>Weaver Law Firm</v>
      </c>
      <c r="G580" s="14">
        <v>0</v>
      </c>
      <c r="H580" s="15" t="str">
        <v>FTE</v>
      </c>
      <c r="I580" s="12" t="str">
        <v>-</v>
      </c>
      <c r="J580" s="5" t="str">
        <v>-</v>
      </c>
      <c r="K580" s="5">
        <v>0</v>
      </c>
      <c r="L580" s="8">
        <v>0</v>
      </c>
      <c r="M580" s="8">
        <v>0</v>
      </c>
      <c r="N580" s="8">
        <f>SUMIFS('[1]Finanace - Incentive Data'!BE:BE,'[1]Finanace - Incentive Data'!BS:BS,"Y",'[1]Finanace - Incentive Data'!H:H,$C$578,'[1]Finanace - Incentive Data'!R:R,$B580)</f>
        <v>0</v>
      </c>
      <c r="O580" s="8">
        <f>M580-N580</f>
        <v>0</v>
      </c>
    </row>
    <row r="581" spans="1:15" x14ac:dyDescent="0.3">
      <c r="A581" s="11"/>
      <c r="B581" s="5" t="str">
        <v>Megan Lamothe</v>
      </c>
      <c r="C581" s="12">
        <v>2026</v>
      </c>
      <c r="D581" s="13">
        <v>46056</v>
      </c>
      <c r="E581" s="13">
        <v>0</v>
      </c>
      <c r="F581" s="5" t="str">
        <v>Cellino Law</v>
      </c>
      <c r="G581" s="14" t="str">
        <v>PLC-4648</v>
      </c>
      <c r="H581" s="15" t="str">
        <v>FTE</v>
      </c>
      <c r="I581" s="12" t="str">
        <v>-</v>
      </c>
      <c r="J581" s="5" t="str">
        <v>-</v>
      </c>
      <c r="K581" s="5">
        <v>1</v>
      </c>
      <c r="L581" s="8">
        <v>5000</v>
      </c>
      <c r="M581" s="8">
        <v>6600</v>
      </c>
      <c r="N581" s="8">
        <f>SUMIFS('[1]Finanace - Incentive Data'!BE:BE,'[1]Finanace - Incentive Data'!BS:BS,"Y",'[1]Finanace - Incentive Data'!H:H,$C$578,'[1]Finanace - Incentive Data'!R:R,$B581)</f>
        <v>6600</v>
      </c>
      <c r="O581" s="8">
        <f t="shared" ref="O581:O598" si="23">M581-N581</f>
        <v>0</v>
      </c>
    </row>
    <row r="582" spans="1:15" x14ac:dyDescent="0.3">
      <c r="A582" s="11"/>
      <c r="B582" s="5"/>
      <c r="C582" s="12"/>
      <c r="D582" s="13"/>
      <c r="E582" s="13"/>
      <c r="F582" s="5"/>
      <c r="G582" s="14"/>
      <c r="H582" s="15"/>
      <c r="I582" s="12"/>
      <c r="J582" s="5"/>
      <c r="K582" s="5"/>
      <c r="L582" s="8"/>
      <c r="M582" s="8"/>
      <c r="N582" s="8">
        <f>SUMIFS('[1]Finanace - Incentive Data'!BE:BE,'[1]Finanace - Incentive Data'!BS:BS,"Y",'[1]Finanace - Incentive Data'!H:H,$C$578,'[1]Finanace - Incentive Data'!R:R,$B582)</f>
        <v>0</v>
      </c>
      <c r="O582" s="8">
        <f t="shared" si="23"/>
        <v>0</v>
      </c>
    </row>
    <row r="583" spans="1:15" x14ac:dyDescent="0.3">
      <c r="A583" s="11"/>
      <c r="B583" s="5"/>
      <c r="C583" s="12"/>
      <c r="D583" s="13"/>
      <c r="E583" s="13"/>
      <c r="F583" s="5"/>
      <c r="G583" s="14"/>
      <c r="H583" s="15"/>
      <c r="I583" s="12"/>
      <c r="J583" s="5"/>
      <c r="K583" s="5"/>
      <c r="L583" s="8"/>
      <c r="M583" s="8"/>
      <c r="N583" s="8">
        <f>SUMIFS('[1]Finanace - Incentive Data'!BE:BE,'[1]Finanace - Incentive Data'!BS:BS,"Y",'[1]Finanace - Incentive Data'!H:H,$C$578,'[1]Finanace - Incentive Data'!R:R,$B583)</f>
        <v>0</v>
      </c>
      <c r="O583" s="8">
        <f t="shared" si="23"/>
        <v>0</v>
      </c>
    </row>
    <row r="584" spans="1:15" x14ac:dyDescent="0.3">
      <c r="A584" s="11"/>
      <c r="B584" s="5"/>
      <c r="C584" s="12"/>
      <c r="D584" s="13"/>
      <c r="E584" s="13"/>
      <c r="F584" s="5"/>
      <c r="G584" s="14"/>
      <c r="H584" s="15"/>
      <c r="I584" s="12"/>
      <c r="J584" s="5"/>
      <c r="K584" s="5"/>
      <c r="L584" s="8"/>
      <c r="M584" s="8"/>
      <c r="N584" s="8">
        <f>SUMIFS('[1]Finanace - Incentive Data'!BE:BE,'[1]Finanace - Incentive Data'!BS:BS,"Y",'[1]Finanace - Incentive Data'!H:H,$C$578,'[1]Finanace - Incentive Data'!R:R,$B584)</f>
        <v>0</v>
      </c>
      <c r="O584" s="8">
        <f t="shared" si="23"/>
        <v>0</v>
      </c>
    </row>
    <row r="585" spans="1:15" x14ac:dyDescent="0.3">
      <c r="A585" s="11"/>
      <c r="B585" s="5"/>
      <c r="C585" s="12"/>
      <c r="D585" s="13"/>
      <c r="E585" s="13"/>
      <c r="F585" s="5"/>
      <c r="G585" s="14"/>
      <c r="H585" s="15"/>
      <c r="I585" s="12"/>
      <c r="J585" s="5"/>
      <c r="K585" s="5"/>
      <c r="L585" s="8"/>
      <c r="M585" s="8"/>
      <c r="N585" s="8">
        <f>SUMIFS('[1]Finanace - Incentive Data'!BE:BE,'[1]Finanace - Incentive Data'!BS:BS,"Y",'[1]Finanace - Incentive Data'!H:H,$C$578,'[1]Finanace - Incentive Data'!R:R,$B585)</f>
        <v>0</v>
      </c>
      <c r="O585" s="8">
        <f t="shared" si="23"/>
        <v>0</v>
      </c>
    </row>
    <row r="586" spans="1:15" x14ac:dyDescent="0.3">
      <c r="A586" s="11"/>
      <c r="B586" s="5"/>
      <c r="C586" s="12"/>
      <c r="D586" s="13"/>
      <c r="E586" s="13"/>
      <c r="F586" s="5"/>
      <c r="G586" s="14"/>
      <c r="H586" s="15"/>
      <c r="I586" s="12"/>
      <c r="J586" s="5"/>
      <c r="K586" s="5"/>
      <c r="L586" s="8"/>
      <c r="M586" s="8"/>
      <c r="N586" s="8">
        <f>SUMIFS('[1]Finanace - Incentive Data'!BE:BE,'[1]Finanace - Incentive Data'!BS:BS,"Y",'[1]Finanace - Incentive Data'!H:H,$C$578,'[1]Finanace - Incentive Data'!R:R,$B586)</f>
        <v>0</v>
      </c>
      <c r="O586" s="8">
        <f t="shared" si="23"/>
        <v>0</v>
      </c>
    </row>
    <row r="587" spans="1:15" x14ac:dyDescent="0.3">
      <c r="A587" s="11"/>
      <c r="B587" s="5"/>
      <c r="C587" s="12"/>
      <c r="D587" s="13"/>
      <c r="E587" s="13"/>
      <c r="F587" s="5"/>
      <c r="G587" s="14"/>
      <c r="H587" s="15"/>
      <c r="I587" s="12"/>
      <c r="J587" s="5"/>
      <c r="K587" s="5"/>
      <c r="L587" s="8"/>
      <c r="M587" s="8"/>
      <c r="N587" s="8">
        <f>SUMIFS('[1]Finanace - Incentive Data'!BE:BE,'[1]Finanace - Incentive Data'!BS:BS,"Y",'[1]Finanace - Incentive Data'!H:H,$C$578,'[1]Finanace - Incentive Data'!R:R,$B587)</f>
        <v>0</v>
      </c>
      <c r="O587" s="8">
        <f t="shared" si="23"/>
        <v>0</v>
      </c>
    </row>
    <row r="588" spans="1:15" x14ac:dyDescent="0.3">
      <c r="A588" s="11"/>
      <c r="B588" s="5"/>
      <c r="C588" s="12"/>
      <c r="D588" s="13"/>
      <c r="E588" s="13"/>
      <c r="F588" s="5"/>
      <c r="G588" s="14"/>
      <c r="H588" s="15"/>
      <c r="I588" s="12"/>
      <c r="J588" s="5"/>
      <c r="K588" s="5"/>
      <c r="L588" s="8"/>
      <c r="M588" s="8"/>
      <c r="N588" s="8">
        <f>SUMIFS('[1]Finanace - Incentive Data'!BE:BE,'[1]Finanace - Incentive Data'!BS:BS,"Y",'[1]Finanace - Incentive Data'!H:H,$C$578,'[1]Finanace - Incentive Data'!R:R,$B588)</f>
        <v>0</v>
      </c>
      <c r="O588" s="8">
        <f t="shared" si="23"/>
        <v>0</v>
      </c>
    </row>
    <row r="589" spans="1:15" x14ac:dyDescent="0.3">
      <c r="A589" s="11"/>
      <c r="B589" s="5"/>
      <c r="C589" s="12"/>
      <c r="D589" s="13"/>
      <c r="E589" s="13"/>
      <c r="F589" s="5"/>
      <c r="G589" s="14"/>
      <c r="H589" s="15"/>
      <c r="I589" s="12"/>
      <c r="J589" s="5"/>
      <c r="K589" s="5"/>
      <c r="L589" s="8"/>
      <c r="M589" s="8"/>
      <c r="N589" s="8">
        <f>SUMIFS('[1]Finanace - Incentive Data'!BE:BE,'[1]Finanace - Incentive Data'!BS:BS,"Y",'[1]Finanace - Incentive Data'!H:H,$C$578,'[1]Finanace - Incentive Data'!R:R,$B589)</f>
        <v>0</v>
      </c>
      <c r="O589" s="8">
        <f t="shared" si="23"/>
        <v>0</v>
      </c>
    </row>
    <row r="590" spans="1:15" x14ac:dyDescent="0.3">
      <c r="A590" s="11"/>
      <c r="B590" s="5"/>
      <c r="C590" s="12"/>
      <c r="D590" s="13"/>
      <c r="E590" s="13"/>
      <c r="F590" s="5"/>
      <c r="G590" s="14"/>
      <c r="H590" s="15"/>
      <c r="I590" s="12"/>
      <c r="J590" s="5"/>
      <c r="K590" s="5"/>
      <c r="L590" s="8"/>
      <c r="M590" s="8"/>
      <c r="N590" s="8">
        <f>SUMIFS('[1]Finanace - Incentive Data'!BE:BE,'[1]Finanace - Incentive Data'!BS:BS,"Y",'[1]Finanace - Incentive Data'!H:H,$C$578,'[1]Finanace - Incentive Data'!R:R,$B590)</f>
        <v>0</v>
      </c>
      <c r="O590" s="8">
        <f t="shared" si="23"/>
        <v>0</v>
      </c>
    </row>
    <row r="591" spans="1:15" x14ac:dyDescent="0.3">
      <c r="A591" s="11"/>
      <c r="B591" s="5"/>
      <c r="C591" s="12"/>
      <c r="D591" s="13"/>
      <c r="E591" s="13"/>
      <c r="F591" s="5"/>
      <c r="G591" s="14"/>
      <c r="H591" s="15"/>
      <c r="I591" s="12"/>
      <c r="J591" s="5"/>
      <c r="K591" s="5"/>
      <c r="L591" s="8"/>
      <c r="M591" s="8"/>
      <c r="N591" s="8">
        <f>SUMIFS('[1]Finanace - Incentive Data'!BE:BE,'[1]Finanace - Incentive Data'!BS:BS,"Y",'[1]Finanace - Incentive Data'!H:H,$C$578,'[1]Finanace - Incentive Data'!R:R,$B591)</f>
        <v>0</v>
      </c>
      <c r="O591" s="8">
        <f t="shared" si="23"/>
        <v>0</v>
      </c>
    </row>
    <row r="592" spans="1:15" x14ac:dyDescent="0.3">
      <c r="A592" s="11"/>
      <c r="B592" s="5"/>
      <c r="C592" s="12"/>
      <c r="D592" s="13"/>
      <c r="E592" s="13"/>
      <c r="F592" s="5"/>
      <c r="G592" s="14"/>
      <c r="H592" s="15"/>
      <c r="I592" s="12"/>
      <c r="J592" s="5"/>
      <c r="K592" s="5"/>
      <c r="L592" s="8"/>
      <c r="M592" s="8"/>
      <c r="N592" s="8">
        <f>SUMIFS('[1]Finanace - Incentive Data'!BE:BE,'[1]Finanace - Incentive Data'!BS:BS,"Y",'[1]Finanace - Incentive Data'!H:H,$C$578,'[1]Finanace - Incentive Data'!R:R,$B592)</f>
        <v>0</v>
      </c>
      <c r="O592" s="8">
        <f t="shared" si="23"/>
        <v>0</v>
      </c>
    </row>
    <row r="593" spans="1:15" x14ac:dyDescent="0.3">
      <c r="A593" s="11"/>
      <c r="B593" s="5"/>
      <c r="C593" s="12"/>
      <c r="D593" s="13"/>
      <c r="E593" s="13"/>
      <c r="F593" s="5"/>
      <c r="G593" s="14"/>
      <c r="H593" s="15"/>
      <c r="I593" s="12"/>
      <c r="J593" s="5"/>
      <c r="K593" s="5"/>
      <c r="L593" s="8"/>
      <c r="M593" s="8"/>
      <c r="N593" s="8">
        <f>SUMIFS('[1]Finanace - Incentive Data'!BE:BE,'[1]Finanace - Incentive Data'!BS:BS,"Y",'[1]Finanace - Incentive Data'!H:H,$C$578,'[1]Finanace - Incentive Data'!R:R,$B593)</f>
        <v>0</v>
      </c>
      <c r="O593" s="8">
        <f t="shared" si="23"/>
        <v>0</v>
      </c>
    </row>
    <row r="594" spans="1:15" x14ac:dyDescent="0.3">
      <c r="A594" s="11"/>
      <c r="B594" s="5"/>
      <c r="C594" s="12"/>
      <c r="D594" s="13"/>
      <c r="E594" s="13"/>
      <c r="F594" s="5"/>
      <c r="G594" s="14"/>
      <c r="H594" s="15"/>
      <c r="I594" s="12"/>
      <c r="J594" s="5"/>
      <c r="K594" s="5"/>
      <c r="L594" s="8"/>
      <c r="M594" s="8"/>
      <c r="N594" s="8">
        <f>SUMIFS('[1]Finanace - Incentive Data'!BE:BE,'[1]Finanace - Incentive Data'!BS:BS,"Y",'[1]Finanace - Incentive Data'!H:H,$C$578,'[1]Finanace - Incentive Data'!R:R,$B594)</f>
        <v>0</v>
      </c>
      <c r="O594" s="8">
        <f t="shared" si="23"/>
        <v>0</v>
      </c>
    </row>
    <row r="595" spans="1:15" x14ac:dyDescent="0.3">
      <c r="A595" s="11"/>
      <c r="B595" s="5"/>
      <c r="C595" s="12"/>
      <c r="D595" s="13"/>
      <c r="E595" s="13"/>
      <c r="F595" s="5"/>
      <c r="G595" s="14"/>
      <c r="H595" s="15"/>
      <c r="I595" s="12"/>
      <c r="J595" s="5"/>
      <c r="K595" s="5"/>
      <c r="L595" s="8"/>
      <c r="M595" s="8"/>
      <c r="N595" s="8">
        <f>SUMIFS('[1]Finanace - Incentive Data'!BE:BE,'[1]Finanace - Incentive Data'!BS:BS,"Y",'[1]Finanace - Incentive Data'!H:H,$C$578,'[1]Finanace - Incentive Data'!R:R,$B595)</f>
        <v>0</v>
      </c>
      <c r="O595" s="8">
        <f t="shared" si="23"/>
        <v>0</v>
      </c>
    </row>
    <row r="596" spans="1:15" x14ac:dyDescent="0.3">
      <c r="A596" s="11"/>
      <c r="B596" s="5"/>
      <c r="C596" s="12"/>
      <c r="D596" s="13"/>
      <c r="E596" s="13"/>
      <c r="F596" s="5"/>
      <c r="G596" s="14"/>
      <c r="H596" s="15"/>
      <c r="I596" s="12"/>
      <c r="J596" s="5"/>
      <c r="K596" s="5"/>
      <c r="L596" s="8"/>
      <c r="M596" s="8"/>
      <c r="N596" s="8">
        <f>SUMIFS('[1]Finanace - Incentive Data'!BE:BE,'[1]Finanace - Incentive Data'!BS:BS,"Y",'[1]Finanace - Incentive Data'!H:H,$C$578,'[1]Finanace - Incentive Data'!R:R,$B596)</f>
        <v>0</v>
      </c>
      <c r="O596" s="8">
        <f t="shared" si="23"/>
        <v>0</v>
      </c>
    </row>
    <row r="597" spans="1:15" x14ac:dyDescent="0.3">
      <c r="A597" s="11"/>
      <c r="B597" s="5"/>
      <c r="C597" s="12"/>
      <c r="D597" s="13"/>
      <c r="E597" s="13"/>
      <c r="F597" s="5"/>
      <c r="G597" s="14"/>
      <c r="H597" s="15"/>
      <c r="I597" s="12"/>
      <c r="J597" s="5"/>
      <c r="K597" s="5"/>
      <c r="L597" s="8"/>
      <c r="M597" s="8"/>
      <c r="N597" s="8">
        <f>SUMIFS('[1]Finanace - Incentive Data'!BE:BE,'[1]Finanace - Incentive Data'!BS:BS,"Y",'[1]Finanace - Incentive Data'!H:H,$C$578,'[1]Finanace - Incentive Data'!R:R,$B597)</f>
        <v>0</v>
      </c>
      <c r="O597" s="8">
        <f t="shared" si="23"/>
        <v>0</v>
      </c>
    </row>
    <row r="598" spans="1:15" x14ac:dyDescent="0.3">
      <c r="A598" s="11"/>
      <c r="B598" s="5"/>
      <c r="C598" s="12"/>
      <c r="D598" s="13"/>
      <c r="E598" s="13"/>
      <c r="F598" s="5"/>
      <c r="G598" s="14"/>
      <c r="H598" s="15"/>
      <c r="I598" s="12"/>
      <c r="J598" s="5"/>
      <c r="K598" s="5"/>
      <c r="L598" s="8"/>
      <c r="M598" s="8"/>
      <c r="N598" s="8">
        <f>SUMIFS('[1]Finanace - Incentive Data'!BE:BE,'[1]Finanace - Incentive Data'!BS:BS,"Y",'[1]Finanace - Incentive Data'!H:H,$C$578,'[1]Finanace - Incentive Data'!R:R,$B598)</f>
        <v>0</v>
      </c>
      <c r="O598" s="8">
        <f t="shared" si="23"/>
        <v>0</v>
      </c>
    </row>
    <row r="601" spans="1:15" ht="43.2" x14ac:dyDescent="0.3">
      <c r="A601" s="1" t="s">
        <v>0</v>
      </c>
      <c r="B601" s="1" t="s">
        <v>1</v>
      </c>
      <c r="C601" s="1" t="s">
        <v>2</v>
      </c>
      <c r="D601" s="1" t="s">
        <v>3</v>
      </c>
      <c r="E601" s="1" t="s">
        <v>4</v>
      </c>
      <c r="F601" s="1" t="s">
        <v>5</v>
      </c>
      <c r="G601" s="1" t="s">
        <v>6</v>
      </c>
      <c r="H601" s="1" t="s">
        <v>7</v>
      </c>
      <c r="I601" s="1" t="s">
        <v>8</v>
      </c>
      <c r="J601" s="1" t="s">
        <v>9</v>
      </c>
      <c r="K601" s="2" t="s">
        <v>10</v>
      </c>
      <c r="L601" s="2" t="s">
        <v>11</v>
      </c>
      <c r="M601" s="3"/>
      <c r="N601" s="3"/>
    </row>
    <row r="602" spans="1:15" x14ac:dyDescent="0.3">
      <c r="A602" s="5" t="s">
        <v>12</v>
      </c>
      <c r="B602" s="4" t="str">
        <f>_xlfn.XLOOKUP($C602,'[1]Basic EMP Data - 2026'!$D$3:$D$224,'[1]Basic EMP Data - 2026'!$C$3:$C$224)</f>
        <v>VB2102 </v>
      </c>
      <c r="C602" s="6" t="s">
        <v>50</v>
      </c>
      <c r="D602" s="5" t="str">
        <f>VLOOKUP($B602,'[1]Basic EMP Data - 2026'!$C$3:$F$224,3,0)</f>
        <v>Mohammad Tariq</v>
      </c>
      <c r="E602" s="5">
        <f>VLOOKUP($B602,'[1]Basic EMP Data - 2026'!$C$3:$I$224,5,0)</f>
        <v>4</v>
      </c>
      <c r="F602" s="5">
        <f>VLOOKUP($B602,'[1]Basic EMP Data - 2026'!$C$3:$I$224,6,0)</f>
        <v>0</v>
      </c>
      <c r="G602" s="7">
        <f>F602/E602</f>
        <v>0</v>
      </c>
      <c r="H602" s="8">
        <f>SUM(L604:L622)</f>
        <v>0</v>
      </c>
      <c r="I602" s="9" cm="1">
        <f t="array" ref="I602">_xlfn.IFS($G602&lt;=34%,0%,$G602&lt;=75%,3%,$G602&lt;=120%,4%,$G602&gt;120%,5%)</f>
        <v>0</v>
      </c>
      <c r="J602" s="8" cm="1">
        <f t="array" ref="J602">SUMPRODUCT((C604:C622=2026)*M604:M622*2)</f>
        <v>0</v>
      </c>
      <c r="K602" s="5">
        <f>SUM(N604:N622)</f>
        <v>0</v>
      </c>
      <c r="L602" s="8">
        <f>J602-K602</f>
        <v>0</v>
      </c>
      <c r="M602" s="3"/>
      <c r="N602" s="3"/>
    </row>
    <row r="603" spans="1:15" ht="43.2" x14ac:dyDescent="0.3">
      <c r="A603" s="10" t="s">
        <v>2</v>
      </c>
      <c r="B603" s="10" t="s">
        <v>14</v>
      </c>
      <c r="C603" s="10" t="s">
        <v>15</v>
      </c>
      <c r="D603" s="10" t="s">
        <v>16</v>
      </c>
      <c r="E603" s="10" t="s">
        <v>17</v>
      </c>
      <c r="F603" s="10" t="s">
        <v>18</v>
      </c>
      <c r="G603" s="10" t="s">
        <v>19</v>
      </c>
      <c r="H603" s="10" t="s">
        <v>20</v>
      </c>
      <c r="I603" s="10" t="s">
        <v>21</v>
      </c>
      <c r="J603" s="10" t="s">
        <v>22</v>
      </c>
      <c r="K603" s="10" t="s">
        <v>23</v>
      </c>
      <c r="L603" s="10" t="s">
        <v>24</v>
      </c>
      <c r="M603" s="10" t="s">
        <v>25</v>
      </c>
      <c r="N603" s="10" t="s">
        <v>26</v>
      </c>
      <c r="O603" s="10" t="s">
        <v>27</v>
      </c>
    </row>
    <row r="604" spans="1:15" x14ac:dyDescent="0.3">
      <c r="A604" s="11" t="str">
        <f>C602</f>
        <v>Apurv Joshi</v>
      </c>
      <c r="B604" s="5" t="e" cm="1" vm="1">
        <f t="array" ref="B604">_xlfn.LET(
  _xlpm.data, _xlfn._xlws.FILTER('[1]Finanace - Incentive Data'!A:CA, '[1]Finanace - Incentive Data'!H:H=$C602),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604" s="12"/>
      <c r="D604" s="13"/>
      <c r="E604" s="13"/>
      <c r="F604" s="5"/>
      <c r="G604" s="14"/>
      <c r="H604" s="15"/>
      <c r="I604" s="12"/>
      <c r="J604" s="5"/>
      <c r="K604" s="5"/>
      <c r="L604" s="8"/>
      <c r="M604" s="8"/>
      <c r="N604" s="8">
        <f>SUMIFS('[1]Finanace - Incentive Data'!BE:BE,'[1]Finanace - Incentive Data'!BS:BS,"Y",'[1]Finanace - Incentive Data'!H:H,$C$602,'[1]Finanace - Incentive Data'!R:R,$B604)</f>
        <v>0</v>
      </c>
      <c r="O604" s="8">
        <f>M604-N604</f>
        <v>0</v>
      </c>
    </row>
    <row r="605" spans="1:15" x14ac:dyDescent="0.3">
      <c r="A605" s="11"/>
      <c r="B605" s="5"/>
      <c r="C605" s="12"/>
      <c r="D605" s="13"/>
      <c r="E605" s="13"/>
      <c r="F605" s="5"/>
      <c r="G605" s="14"/>
      <c r="H605" s="15"/>
      <c r="I605" s="12"/>
      <c r="J605" s="5"/>
      <c r="K605" s="5"/>
      <c r="L605" s="8"/>
      <c r="M605" s="8"/>
      <c r="N605" s="8">
        <f>SUMIFS('[1]Finanace - Incentive Data'!BE:BE,'[1]Finanace - Incentive Data'!BS:BS,"Y",'[1]Finanace - Incentive Data'!H:H,$C$602,'[1]Finanace - Incentive Data'!R:R,$B605)</f>
        <v>0</v>
      </c>
      <c r="O605" s="8">
        <f t="shared" ref="O605:O622" si="24">M605-N605</f>
        <v>0</v>
      </c>
    </row>
    <row r="606" spans="1:15" x14ac:dyDescent="0.3">
      <c r="A606" s="11"/>
      <c r="B606" s="5"/>
      <c r="C606" s="12"/>
      <c r="D606" s="13"/>
      <c r="E606" s="13"/>
      <c r="F606" s="5"/>
      <c r="G606" s="14"/>
      <c r="H606" s="15"/>
      <c r="I606" s="12"/>
      <c r="J606" s="5"/>
      <c r="K606" s="5"/>
      <c r="L606" s="8"/>
      <c r="M606" s="8"/>
      <c r="N606" s="8">
        <f>SUMIFS('[1]Finanace - Incentive Data'!BE:BE,'[1]Finanace - Incentive Data'!BS:BS,"Y",'[1]Finanace - Incentive Data'!H:H,$C$602,'[1]Finanace - Incentive Data'!R:R,$B606)</f>
        <v>0</v>
      </c>
      <c r="O606" s="8">
        <f t="shared" si="24"/>
        <v>0</v>
      </c>
    </row>
    <row r="607" spans="1:15" x14ac:dyDescent="0.3">
      <c r="A607" s="11"/>
      <c r="B607" s="5"/>
      <c r="C607" s="12"/>
      <c r="D607" s="13"/>
      <c r="E607" s="13"/>
      <c r="F607" s="5"/>
      <c r="G607" s="14"/>
      <c r="H607" s="15"/>
      <c r="I607" s="12"/>
      <c r="J607" s="5"/>
      <c r="K607" s="5"/>
      <c r="L607" s="8"/>
      <c r="M607" s="8"/>
      <c r="N607" s="8">
        <f>SUMIFS('[1]Finanace - Incentive Data'!BE:BE,'[1]Finanace - Incentive Data'!BS:BS,"Y",'[1]Finanace - Incentive Data'!H:H,$C$602,'[1]Finanace - Incentive Data'!R:R,$B607)</f>
        <v>0</v>
      </c>
      <c r="O607" s="8">
        <f t="shared" si="24"/>
        <v>0</v>
      </c>
    </row>
    <row r="608" spans="1:15" x14ac:dyDescent="0.3">
      <c r="A608" s="11"/>
      <c r="B608" s="5"/>
      <c r="C608" s="12"/>
      <c r="D608" s="13"/>
      <c r="E608" s="13"/>
      <c r="F608" s="5"/>
      <c r="G608" s="14"/>
      <c r="H608" s="15"/>
      <c r="I608" s="12"/>
      <c r="J608" s="5"/>
      <c r="K608" s="5"/>
      <c r="L608" s="8"/>
      <c r="M608" s="8"/>
      <c r="N608" s="8">
        <f>SUMIFS('[1]Finanace - Incentive Data'!BE:BE,'[1]Finanace - Incentive Data'!BS:BS,"Y",'[1]Finanace - Incentive Data'!H:H,$C$602,'[1]Finanace - Incentive Data'!R:R,$B608)</f>
        <v>0</v>
      </c>
      <c r="O608" s="8">
        <f t="shared" si="24"/>
        <v>0</v>
      </c>
    </row>
    <row r="609" spans="1:15" x14ac:dyDescent="0.3">
      <c r="A609" s="11"/>
      <c r="B609" s="5"/>
      <c r="C609" s="12"/>
      <c r="D609" s="13"/>
      <c r="E609" s="13"/>
      <c r="F609" s="5"/>
      <c r="G609" s="14"/>
      <c r="H609" s="15"/>
      <c r="I609" s="12"/>
      <c r="J609" s="5"/>
      <c r="K609" s="5"/>
      <c r="L609" s="8"/>
      <c r="M609" s="8"/>
      <c r="N609" s="8">
        <f>SUMIFS('[1]Finanace - Incentive Data'!BE:BE,'[1]Finanace - Incentive Data'!BS:BS,"Y",'[1]Finanace - Incentive Data'!H:H,$C$602,'[1]Finanace - Incentive Data'!R:R,$B609)</f>
        <v>0</v>
      </c>
      <c r="O609" s="8">
        <f t="shared" si="24"/>
        <v>0</v>
      </c>
    </row>
    <row r="610" spans="1:15" x14ac:dyDescent="0.3">
      <c r="A610" s="11"/>
      <c r="B610" s="5"/>
      <c r="C610" s="12"/>
      <c r="D610" s="13"/>
      <c r="E610" s="13"/>
      <c r="F610" s="5"/>
      <c r="G610" s="14"/>
      <c r="H610" s="15"/>
      <c r="I610" s="12"/>
      <c r="J610" s="5"/>
      <c r="K610" s="5"/>
      <c r="L610" s="8"/>
      <c r="M610" s="8"/>
      <c r="N610" s="8">
        <f>SUMIFS('[1]Finanace - Incentive Data'!BE:BE,'[1]Finanace - Incentive Data'!BS:BS,"Y",'[1]Finanace - Incentive Data'!H:H,$C$602,'[1]Finanace - Incentive Data'!R:R,$B610)</f>
        <v>0</v>
      </c>
      <c r="O610" s="8">
        <f t="shared" si="24"/>
        <v>0</v>
      </c>
    </row>
    <row r="611" spans="1:15" x14ac:dyDescent="0.3">
      <c r="A611" s="11"/>
      <c r="B611" s="5"/>
      <c r="C611" s="12"/>
      <c r="D611" s="13"/>
      <c r="E611" s="13"/>
      <c r="F611" s="5"/>
      <c r="G611" s="14"/>
      <c r="H611" s="15"/>
      <c r="I611" s="12"/>
      <c r="J611" s="5"/>
      <c r="K611" s="5"/>
      <c r="L611" s="8"/>
      <c r="M611" s="8"/>
      <c r="N611" s="8">
        <f>SUMIFS('[1]Finanace - Incentive Data'!BE:BE,'[1]Finanace - Incentive Data'!BS:BS,"Y",'[1]Finanace - Incentive Data'!H:H,$C$602,'[1]Finanace - Incentive Data'!R:R,$B611)</f>
        <v>0</v>
      </c>
      <c r="O611" s="8">
        <f t="shared" si="24"/>
        <v>0</v>
      </c>
    </row>
    <row r="612" spans="1:15" x14ac:dyDescent="0.3">
      <c r="A612" s="11"/>
      <c r="B612" s="5"/>
      <c r="C612" s="12"/>
      <c r="D612" s="13"/>
      <c r="E612" s="13"/>
      <c r="F612" s="5"/>
      <c r="G612" s="14"/>
      <c r="H612" s="15"/>
      <c r="I612" s="12"/>
      <c r="J612" s="5"/>
      <c r="K612" s="5"/>
      <c r="L612" s="8"/>
      <c r="M612" s="8"/>
      <c r="N612" s="8">
        <f>SUMIFS('[1]Finanace - Incentive Data'!BE:BE,'[1]Finanace - Incentive Data'!BS:BS,"Y",'[1]Finanace - Incentive Data'!H:H,$C$602,'[1]Finanace - Incentive Data'!R:R,$B612)</f>
        <v>0</v>
      </c>
      <c r="O612" s="8">
        <f t="shared" si="24"/>
        <v>0</v>
      </c>
    </row>
    <row r="613" spans="1:15" x14ac:dyDescent="0.3">
      <c r="A613" s="11"/>
      <c r="B613" s="5"/>
      <c r="C613" s="12"/>
      <c r="D613" s="13"/>
      <c r="E613" s="13"/>
      <c r="F613" s="5"/>
      <c r="G613" s="14"/>
      <c r="H613" s="15"/>
      <c r="I613" s="12"/>
      <c r="J613" s="5"/>
      <c r="K613" s="5"/>
      <c r="L613" s="8"/>
      <c r="M613" s="8"/>
      <c r="N613" s="8">
        <f>SUMIFS('[1]Finanace - Incentive Data'!BE:BE,'[1]Finanace - Incentive Data'!BS:BS,"Y",'[1]Finanace - Incentive Data'!H:H,$C$602,'[1]Finanace - Incentive Data'!R:R,$B613)</f>
        <v>0</v>
      </c>
      <c r="O613" s="8">
        <f t="shared" si="24"/>
        <v>0</v>
      </c>
    </row>
    <row r="614" spans="1:15" x14ac:dyDescent="0.3">
      <c r="A614" s="11"/>
      <c r="B614" s="5"/>
      <c r="C614" s="12"/>
      <c r="D614" s="13"/>
      <c r="E614" s="13"/>
      <c r="F614" s="5"/>
      <c r="G614" s="14"/>
      <c r="H614" s="15"/>
      <c r="I614" s="12"/>
      <c r="J614" s="5"/>
      <c r="K614" s="5"/>
      <c r="L614" s="8"/>
      <c r="M614" s="8"/>
      <c r="N614" s="8">
        <f>SUMIFS('[1]Finanace - Incentive Data'!BE:BE,'[1]Finanace - Incentive Data'!BS:BS,"Y",'[1]Finanace - Incentive Data'!H:H,$C$602,'[1]Finanace - Incentive Data'!R:R,$B614)</f>
        <v>0</v>
      </c>
      <c r="O614" s="8">
        <f t="shared" si="24"/>
        <v>0</v>
      </c>
    </row>
    <row r="615" spans="1:15" x14ac:dyDescent="0.3">
      <c r="A615" s="11"/>
      <c r="B615" s="5"/>
      <c r="C615" s="12"/>
      <c r="D615" s="13"/>
      <c r="E615" s="13"/>
      <c r="F615" s="5"/>
      <c r="G615" s="14"/>
      <c r="H615" s="15"/>
      <c r="I615" s="12"/>
      <c r="J615" s="5"/>
      <c r="K615" s="5"/>
      <c r="L615" s="8"/>
      <c r="M615" s="8"/>
      <c r="N615" s="8">
        <f>SUMIFS('[1]Finanace - Incentive Data'!BE:BE,'[1]Finanace - Incentive Data'!BS:BS,"Y",'[1]Finanace - Incentive Data'!H:H,$C$602,'[1]Finanace - Incentive Data'!R:R,$B615)</f>
        <v>0</v>
      </c>
      <c r="O615" s="8">
        <f t="shared" si="24"/>
        <v>0</v>
      </c>
    </row>
    <row r="616" spans="1:15" x14ac:dyDescent="0.3">
      <c r="A616" s="11"/>
      <c r="B616" s="5"/>
      <c r="C616" s="12"/>
      <c r="D616" s="13"/>
      <c r="E616" s="13"/>
      <c r="F616" s="5"/>
      <c r="G616" s="14"/>
      <c r="H616" s="15"/>
      <c r="I616" s="12"/>
      <c r="J616" s="5"/>
      <c r="K616" s="5"/>
      <c r="L616" s="8"/>
      <c r="M616" s="8"/>
      <c r="N616" s="8">
        <f>SUMIFS('[1]Finanace - Incentive Data'!BE:BE,'[1]Finanace - Incentive Data'!BS:BS,"Y",'[1]Finanace - Incentive Data'!H:H,$C$602,'[1]Finanace - Incentive Data'!R:R,$B616)</f>
        <v>0</v>
      </c>
      <c r="O616" s="8">
        <f t="shared" si="24"/>
        <v>0</v>
      </c>
    </row>
    <row r="617" spans="1:15" x14ac:dyDescent="0.3">
      <c r="A617" s="11"/>
      <c r="B617" s="5"/>
      <c r="C617" s="12"/>
      <c r="D617" s="13"/>
      <c r="E617" s="13"/>
      <c r="F617" s="5"/>
      <c r="G617" s="14"/>
      <c r="H617" s="15"/>
      <c r="I617" s="12"/>
      <c r="J617" s="5"/>
      <c r="K617" s="5"/>
      <c r="L617" s="8"/>
      <c r="M617" s="8"/>
      <c r="N617" s="8">
        <f>SUMIFS('[1]Finanace - Incentive Data'!BE:BE,'[1]Finanace - Incentive Data'!BS:BS,"Y",'[1]Finanace - Incentive Data'!H:H,$C$602,'[1]Finanace - Incentive Data'!R:R,$B617)</f>
        <v>0</v>
      </c>
      <c r="O617" s="8">
        <f t="shared" si="24"/>
        <v>0</v>
      </c>
    </row>
    <row r="618" spans="1:15" x14ac:dyDescent="0.3">
      <c r="A618" s="11"/>
      <c r="B618" s="5"/>
      <c r="C618" s="12"/>
      <c r="D618" s="13"/>
      <c r="E618" s="13"/>
      <c r="F618" s="5"/>
      <c r="G618" s="14"/>
      <c r="H618" s="15"/>
      <c r="I618" s="12"/>
      <c r="J618" s="5"/>
      <c r="K618" s="5"/>
      <c r="L618" s="8"/>
      <c r="M618" s="8"/>
      <c r="N618" s="8">
        <f>SUMIFS('[1]Finanace - Incentive Data'!BE:BE,'[1]Finanace - Incentive Data'!BS:BS,"Y",'[1]Finanace - Incentive Data'!H:H,$C$602,'[1]Finanace - Incentive Data'!R:R,$B618)</f>
        <v>0</v>
      </c>
      <c r="O618" s="8">
        <f t="shared" si="24"/>
        <v>0</v>
      </c>
    </row>
    <row r="619" spans="1:15" x14ac:dyDescent="0.3">
      <c r="A619" s="11"/>
      <c r="B619" s="5"/>
      <c r="C619" s="12"/>
      <c r="D619" s="13"/>
      <c r="E619" s="13"/>
      <c r="F619" s="5"/>
      <c r="G619" s="14"/>
      <c r="H619" s="15"/>
      <c r="I619" s="12"/>
      <c r="J619" s="5"/>
      <c r="K619" s="5"/>
      <c r="L619" s="8"/>
      <c r="M619" s="8"/>
      <c r="N619" s="8">
        <f>SUMIFS('[1]Finanace - Incentive Data'!BE:BE,'[1]Finanace - Incentive Data'!BS:BS,"Y",'[1]Finanace - Incentive Data'!H:H,$C$602,'[1]Finanace - Incentive Data'!R:R,$B619)</f>
        <v>0</v>
      </c>
      <c r="O619" s="8">
        <f t="shared" si="24"/>
        <v>0</v>
      </c>
    </row>
    <row r="620" spans="1:15" x14ac:dyDescent="0.3">
      <c r="A620" s="11"/>
      <c r="B620" s="5"/>
      <c r="C620" s="12"/>
      <c r="D620" s="13"/>
      <c r="E620" s="13"/>
      <c r="F620" s="5"/>
      <c r="G620" s="14"/>
      <c r="H620" s="15"/>
      <c r="I620" s="12"/>
      <c r="J620" s="5"/>
      <c r="K620" s="5"/>
      <c r="L620" s="8"/>
      <c r="M620" s="8"/>
      <c r="N620" s="8">
        <f>SUMIFS('[1]Finanace - Incentive Data'!BE:BE,'[1]Finanace - Incentive Data'!BS:BS,"Y",'[1]Finanace - Incentive Data'!H:H,$C$602,'[1]Finanace - Incentive Data'!R:R,$B620)</f>
        <v>0</v>
      </c>
      <c r="O620" s="8">
        <f t="shared" si="24"/>
        <v>0</v>
      </c>
    </row>
    <row r="621" spans="1:15" x14ac:dyDescent="0.3">
      <c r="A621" s="11"/>
      <c r="B621" s="5"/>
      <c r="C621" s="12"/>
      <c r="D621" s="13"/>
      <c r="E621" s="13"/>
      <c r="F621" s="5"/>
      <c r="G621" s="14"/>
      <c r="H621" s="15"/>
      <c r="I621" s="12"/>
      <c r="J621" s="5"/>
      <c r="K621" s="5"/>
      <c r="L621" s="8"/>
      <c r="M621" s="8"/>
      <c r="N621" s="8">
        <f>SUMIFS('[1]Finanace - Incentive Data'!BE:BE,'[1]Finanace - Incentive Data'!BS:BS,"Y",'[1]Finanace - Incentive Data'!H:H,$C$602,'[1]Finanace - Incentive Data'!R:R,$B621)</f>
        <v>0</v>
      </c>
      <c r="O621" s="8">
        <f t="shared" si="24"/>
        <v>0</v>
      </c>
    </row>
    <row r="622" spans="1:15" x14ac:dyDescent="0.3">
      <c r="A622" s="11"/>
      <c r="B622" s="5"/>
      <c r="C622" s="12"/>
      <c r="D622" s="13"/>
      <c r="E622" s="13"/>
      <c r="F622" s="5"/>
      <c r="G622" s="14"/>
      <c r="H622" s="15"/>
      <c r="I622" s="12"/>
      <c r="J622" s="5"/>
      <c r="K622" s="5"/>
      <c r="L622" s="8"/>
      <c r="M622" s="8"/>
      <c r="N622" s="8">
        <f>SUMIFS('[1]Finanace - Incentive Data'!BE:BE,'[1]Finanace - Incentive Data'!BS:BS,"Y",'[1]Finanace - Incentive Data'!H:H,$C$602,'[1]Finanace - Incentive Data'!R:R,$B622)</f>
        <v>0</v>
      </c>
      <c r="O622" s="8">
        <f t="shared" si="24"/>
        <v>0</v>
      </c>
    </row>
    <row r="625" spans="1:15" ht="43.2" x14ac:dyDescent="0.3">
      <c r="A625" s="1" t="s">
        <v>0</v>
      </c>
      <c r="B625" s="1" t="s">
        <v>1</v>
      </c>
      <c r="C625" s="1" t="s">
        <v>2</v>
      </c>
      <c r="D625" s="1" t="s">
        <v>3</v>
      </c>
      <c r="E625" s="1" t="s">
        <v>4</v>
      </c>
      <c r="F625" s="1" t="s">
        <v>5</v>
      </c>
      <c r="G625" s="1" t="s">
        <v>6</v>
      </c>
      <c r="H625" s="1" t="s">
        <v>7</v>
      </c>
      <c r="I625" s="1" t="s">
        <v>8</v>
      </c>
      <c r="J625" s="1" t="s">
        <v>9</v>
      </c>
      <c r="K625" s="2" t="s">
        <v>10</v>
      </c>
      <c r="L625" s="2" t="s">
        <v>11</v>
      </c>
      <c r="M625" s="3"/>
      <c r="N625" s="3"/>
    </row>
    <row r="626" spans="1:15" x14ac:dyDescent="0.3">
      <c r="A626" s="5" t="s">
        <v>12</v>
      </c>
      <c r="B626" s="4" t="str">
        <f>_xlfn.XLOOKUP($C626,'[1]Basic EMP Data - 2026'!$D$3:$D$224,'[1]Basic EMP Data - 2026'!$C$3:$C$224)</f>
        <v>VB2102 </v>
      </c>
      <c r="C626" s="6" t="s">
        <v>50</v>
      </c>
      <c r="D626" s="5" t="str">
        <f>VLOOKUP($B626,'[1]Basic EMP Data - 2026'!$C$3:$F$224,3,0)</f>
        <v>Mohammad Tariq</v>
      </c>
      <c r="E626" s="5">
        <f>VLOOKUP($B626,'[1]Basic EMP Data - 2026'!$C$3:$I$224,5,0)</f>
        <v>4</v>
      </c>
      <c r="F626" s="5">
        <f>VLOOKUP($B626,'[1]Basic EMP Data - 2026'!$C$3:$I$224,6,0)</f>
        <v>0</v>
      </c>
      <c r="G626" s="7">
        <f>F626/E626</f>
        <v>0</v>
      </c>
      <c r="H626" s="8">
        <f>SUM(L628:L646)</f>
        <v>0</v>
      </c>
      <c r="I626" s="9" cm="1">
        <f t="array" ref="I626">_xlfn.IFS($G626&lt;=34%,0%,$G626&lt;=75%,3%,$G626&lt;=120%,4%,$G626&gt;120%,5%)</f>
        <v>0</v>
      </c>
      <c r="J626" s="8" cm="1">
        <f t="array" ref="J626">SUMPRODUCT((C628:C646=2026)*M628:M646*2)</f>
        <v>0</v>
      </c>
      <c r="K626" s="5">
        <f>SUM(N628:N646)</f>
        <v>0</v>
      </c>
      <c r="L626" s="8">
        <f>J626-K626</f>
        <v>0</v>
      </c>
      <c r="M626" s="3"/>
      <c r="N626" s="3"/>
    </row>
    <row r="627" spans="1:15" ht="43.2" x14ac:dyDescent="0.3">
      <c r="A627" s="10" t="s">
        <v>2</v>
      </c>
      <c r="B627" s="10" t="s">
        <v>14</v>
      </c>
      <c r="C627" s="10" t="s">
        <v>15</v>
      </c>
      <c r="D627" s="10" t="s">
        <v>16</v>
      </c>
      <c r="E627" s="10" t="s">
        <v>17</v>
      </c>
      <c r="F627" s="10" t="s">
        <v>18</v>
      </c>
      <c r="G627" s="10" t="s">
        <v>19</v>
      </c>
      <c r="H627" s="10" t="s">
        <v>20</v>
      </c>
      <c r="I627" s="10" t="s">
        <v>21</v>
      </c>
      <c r="J627" s="10" t="s">
        <v>22</v>
      </c>
      <c r="K627" s="10" t="s">
        <v>23</v>
      </c>
      <c r="L627" s="10" t="s">
        <v>24</v>
      </c>
      <c r="M627" s="10" t="s">
        <v>25</v>
      </c>
      <c r="N627" s="10" t="s">
        <v>26</v>
      </c>
      <c r="O627" s="10" t="s">
        <v>27</v>
      </c>
    </row>
    <row r="628" spans="1:15" x14ac:dyDescent="0.3">
      <c r="A628" s="11" t="str">
        <f>C626</f>
        <v>Apurv Joshi</v>
      </c>
      <c r="B628" s="5" t="e" cm="1" vm="1">
        <f t="array" ref="B628">_xlfn.LET(
  _xlpm.data, _xlfn._xlws.FILTER('[1]Finanace - Incentive Data'!A:CA, '[1]Finanace - Incentive Data'!H:H=$C626),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628" s="12"/>
      <c r="D628" s="13"/>
      <c r="E628" s="13"/>
      <c r="F628" s="5"/>
      <c r="G628" s="14"/>
      <c r="H628" s="15"/>
      <c r="I628" s="12"/>
      <c r="J628" s="5"/>
      <c r="K628" s="5"/>
      <c r="L628" s="8"/>
      <c r="M628" s="8"/>
      <c r="N628" s="8">
        <f>SUMIFS('[1]Finanace - Incentive Data'!BE:BE,'[1]Finanace - Incentive Data'!BS:BS,"Y",'[1]Finanace - Incentive Data'!H:H,$C$626,'[1]Finanace - Incentive Data'!R:R,$B628)</f>
        <v>0</v>
      </c>
      <c r="O628" s="8">
        <f>M628-N628</f>
        <v>0</v>
      </c>
    </row>
    <row r="629" spans="1:15" x14ac:dyDescent="0.3">
      <c r="A629" s="11"/>
      <c r="B629" s="5"/>
      <c r="C629" s="12"/>
      <c r="D629" s="13"/>
      <c r="E629" s="13"/>
      <c r="F629" s="5"/>
      <c r="G629" s="14"/>
      <c r="H629" s="15"/>
      <c r="I629" s="12"/>
      <c r="J629" s="5"/>
      <c r="K629" s="5"/>
      <c r="L629" s="8"/>
      <c r="M629" s="8"/>
      <c r="N629" s="8">
        <f>SUMIFS('[1]Finanace - Incentive Data'!BE:BE,'[1]Finanace - Incentive Data'!BS:BS,"Y",'[1]Finanace - Incentive Data'!H:H,$C$626,'[1]Finanace - Incentive Data'!R:R,$B629)</f>
        <v>0</v>
      </c>
      <c r="O629" s="8">
        <f t="shared" ref="O629:O646" si="25">M629-N629</f>
        <v>0</v>
      </c>
    </row>
    <row r="630" spans="1:15" x14ac:dyDescent="0.3">
      <c r="A630" s="11"/>
      <c r="B630" s="5"/>
      <c r="C630" s="12"/>
      <c r="D630" s="13"/>
      <c r="E630" s="13"/>
      <c r="F630" s="5"/>
      <c r="G630" s="14"/>
      <c r="H630" s="15"/>
      <c r="I630" s="12"/>
      <c r="J630" s="5"/>
      <c r="K630" s="5"/>
      <c r="L630" s="8"/>
      <c r="M630" s="8"/>
      <c r="N630" s="8">
        <f>SUMIFS('[1]Finanace - Incentive Data'!BE:BE,'[1]Finanace - Incentive Data'!BS:BS,"Y",'[1]Finanace - Incentive Data'!H:H,$C$626,'[1]Finanace - Incentive Data'!R:R,$B630)</f>
        <v>0</v>
      </c>
      <c r="O630" s="8">
        <f t="shared" si="25"/>
        <v>0</v>
      </c>
    </row>
    <row r="631" spans="1:15" x14ac:dyDescent="0.3">
      <c r="A631" s="11"/>
      <c r="B631" s="5"/>
      <c r="C631" s="12"/>
      <c r="D631" s="13"/>
      <c r="E631" s="13"/>
      <c r="F631" s="5"/>
      <c r="G631" s="14"/>
      <c r="H631" s="15"/>
      <c r="I631" s="12"/>
      <c r="J631" s="5"/>
      <c r="K631" s="5"/>
      <c r="L631" s="8"/>
      <c r="M631" s="8"/>
      <c r="N631" s="8">
        <f>SUMIFS('[1]Finanace - Incentive Data'!BE:BE,'[1]Finanace - Incentive Data'!BS:BS,"Y",'[1]Finanace - Incentive Data'!H:H,$C$626,'[1]Finanace - Incentive Data'!R:R,$B631)</f>
        <v>0</v>
      </c>
      <c r="O631" s="8">
        <f t="shared" si="25"/>
        <v>0</v>
      </c>
    </row>
    <row r="632" spans="1:15" x14ac:dyDescent="0.3">
      <c r="A632" s="11"/>
      <c r="B632" s="5"/>
      <c r="C632" s="12"/>
      <c r="D632" s="13"/>
      <c r="E632" s="13"/>
      <c r="F632" s="5"/>
      <c r="G632" s="14"/>
      <c r="H632" s="15"/>
      <c r="I632" s="12"/>
      <c r="J632" s="5"/>
      <c r="K632" s="5"/>
      <c r="L632" s="8"/>
      <c r="M632" s="8"/>
      <c r="N632" s="8">
        <f>SUMIFS('[1]Finanace - Incentive Data'!BE:BE,'[1]Finanace - Incentive Data'!BS:BS,"Y",'[1]Finanace - Incentive Data'!H:H,$C$626,'[1]Finanace - Incentive Data'!R:R,$B632)</f>
        <v>0</v>
      </c>
      <c r="O632" s="8">
        <f t="shared" si="25"/>
        <v>0</v>
      </c>
    </row>
    <row r="633" spans="1:15" x14ac:dyDescent="0.3">
      <c r="A633" s="11"/>
      <c r="B633" s="5"/>
      <c r="C633" s="12"/>
      <c r="D633" s="13"/>
      <c r="E633" s="13"/>
      <c r="F633" s="5"/>
      <c r="G633" s="14"/>
      <c r="H633" s="15"/>
      <c r="I633" s="12"/>
      <c r="J633" s="5"/>
      <c r="K633" s="5"/>
      <c r="L633" s="8"/>
      <c r="M633" s="8"/>
      <c r="N633" s="8">
        <f>SUMIFS('[1]Finanace - Incentive Data'!BE:BE,'[1]Finanace - Incentive Data'!BS:BS,"Y",'[1]Finanace - Incentive Data'!H:H,$C$626,'[1]Finanace - Incentive Data'!R:R,$B633)</f>
        <v>0</v>
      </c>
      <c r="O633" s="8">
        <f t="shared" si="25"/>
        <v>0</v>
      </c>
    </row>
    <row r="634" spans="1:15" x14ac:dyDescent="0.3">
      <c r="A634" s="11"/>
      <c r="B634" s="5"/>
      <c r="C634" s="12"/>
      <c r="D634" s="13"/>
      <c r="E634" s="13"/>
      <c r="F634" s="5"/>
      <c r="G634" s="14"/>
      <c r="H634" s="15"/>
      <c r="I634" s="12"/>
      <c r="J634" s="5"/>
      <c r="K634" s="5"/>
      <c r="L634" s="8"/>
      <c r="M634" s="8"/>
      <c r="N634" s="8">
        <f>SUMIFS('[1]Finanace - Incentive Data'!BE:BE,'[1]Finanace - Incentive Data'!BS:BS,"Y",'[1]Finanace - Incentive Data'!H:H,$C$626,'[1]Finanace - Incentive Data'!R:R,$B634)</f>
        <v>0</v>
      </c>
      <c r="O634" s="8">
        <f t="shared" si="25"/>
        <v>0</v>
      </c>
    </row>
    <row r="635" spans="1:15" x14ac:dyDescent="0.3">
      <c r="A635" s="11"/>
      <c r="B635" s="5"/>
      <c r="C635" s="12"/>
      <c r="D635" s="13"/>
      <c r="E635" s="13"/>
      <c r="F635" s="5"/>
      <c r="G635" s="14"/>
      <c r="H635" s="15"/>
      <c r="I635" s="12"/>
      <c r="J635" s="5"/>
      <c r="K635" s="5"/>
      <c r="L635" s="8"/>
      <c r="M635" s="8"/>
      <c r="N635" s="8">
        <f>SUMIFS('[1]Finanace - Incentive Data'!BE:BE,'[1]Finanace - Incentive Data'!BS:BS,"Y",'[1]Finanace - Incentive Data'!H:H,$C$626,'[1]Finanace - Incentive Data'!R:R,$B635)</f>
        <v>0</v>
      </c>
      <c r="O635" s="8">
        <f t="shared" si="25"/>
        <v>0</v>
      </c>
    </row>
    <row r="636" spans="1:15" x14ac:dyDescent="0.3">
      <c r="A636" s="11"/>
      <c r="B636" s="5"/>
      <c r="C636" s="12"/>
      <c r="D636" s="13"/>
      <c r="E636" s="13"/>
      <c r="F636" s="5"/>
      <c r="G636" s="14"/>
      <c r="H636" s="15"/>
      <c r="I636" s="12"/>
      <c r="J636" s="5"/>
      <c r="K636" s="5"/>
      <c r="L636" s="8"/>
      <c r="M636" s="8"/>
      <c r="N636" s="8">
        <f>SUMIFS('[1]Finanace - Incentive Data'!BE:BE,'[1]Finanace - Incentive Data'!BS:BS,"Y",'[1]Finanace - Incentive Data'!H:H,$C$626,'[1]Finanace - Incentive Data'!R:R,$B636)</f>
        <v>0</v>
      </c>
      <c r="O636" s="8">
        <f t="shared" si="25"/>
        <v>0</v>
      </c>
    </row>
    <row r="637" spans="1:15" x14ac:dyDescent="0.3">
      <c r="A637" s="11"/>
      <c r="B637" s="5"/>
      <c r="C637" s="12"/>
      <c r="D637" s="13"/>
      <c r="E637" s="13"/>
      <c r="F637" s="5"/>
      <c r="G637" s="14"/>
      <c r="H637" s="15"/>
      <c r="I637" s="12"/>
      <c r="J637" s="5"/>
      <c r="K637" s="5"/>
      <c r="L637" s="8"/>
      <c r="M637" s="8"/>
      <c r="N637" s="8">
        <f>SUMIFS('[1]Finanace - Incentive Data'!BE:BE,'[1]Finanace - Incentive Data'!BS:BS,"Y",'[1]Finanace - Incentive Data'!H:H,$C$626,'[1]Finanace - Incentive Data'!R:R,$B637)</f>
        <v>0</v>
      </c>
      <c r="O637" s="8">
        <f t="shared" si="25"/>
        <v>0</v>
      </c>
    </row>
    <row r="638" spans="1:15" x14ac:dyDescent="0.3">
      <c r="A638" s="11"/>
      <c r="B638" s="5"/>
      <c r="C638" s="12"/>
      <c r="D638" s="13"/>
      <c r="E638" s="13"/>
      <c r="F638" s="5"/>
      <c r="G638" s="14"/>
      <c r="H638" s="15"/>
      <c r="I638" s="12"/>
      <c r="J638" s="5"/>
      <c r="K638" s="5"/>
      <c r="L638" s="8"/>
      <c r="M638" s="8"/>
      <c r="N638" s="8">
        <f>SUMIFS('[1]Finanace - Incentive Data'!BE:BE,'[1]Finanace - Incentive Data'!BS:BS,"Y",'[1]Finanace - Incentive Data'!H:H,$C$626,'[1]Finanace - Incentive Data'!R:R,$B638)</f>
        <v>0</v>
      </c>
      <c r="O638" s="8">
        <f t="shared" si="25"/>
        <v>0</v>
      </c>
    </row>
    <row r="639" spans="1:15" x14ac:dyDescent="0.3">
      <c r="A639" s="11"/>
      <c r="B639" s="5"/>
      <c r="C639" s="12"/>
      <c r="D639" s="13"/>
      <c r="E639" s="13"/>
      <c r="F639" s="5"/>
      <c r="G639" s="14"/>
      <c r="H639" s="15"/>
      <c r="I639" s="12"/>
      <c r="J639" s="5"/>
      <c r="K639" s="5"/>
      <c r="L639" s="8"/>
      <c r="M639" s="8"/>
      <c r="N639" s="8">
        <f>SUMIFS('[1]Finanace - Incentive Data'!BE:BE,'[1]Finanace - Incentive Data'!BS:BS,"Y",'[1]Finanace - Incentive Data'!H:H,$C$626,'[1]Finanace - Incentive Data'!R:R,$B639)</f>
        <v>0</v>
      </c>
      <c r="O639" s="8">
        <f t="shared" si="25"/>
        <v>0</v>
      </c>
    </row>
    <row r="640" spans="1:15" x14ac:dyDescent="0.3">
      <c r="A640" s="11"/>
      <c r="B640" s="5"/>
      <c r="C640" s="12"/>
      <c r="D640" s="13"/>
      <c r="E640" s="13"/>
      <c r="F640" s="5"/>
      <c r="G640" s="14"/>
      <c r="H640" s="15"/>
      <c r="I640" s="12"/>
      <c r="J640" s="5"/>
      <c r="K640" s="5"/>
      <c r="L640" s="8"/>
      <c r="M640" s="8"/>
      <c r="N640" s="8">
        <f>SUMIFS('[1]Finanace - Incentive Data'!BE:BE,'[1]Finanace - Incentive Data'!BS:BS,"Y",'[1]Finanace - Incentive Data'!H:H,$C$626,'[1]Finanace - Incentive Data'!R:R,$B640)</f>
        <v>0</v>
      </c>
      <c r="O640" s="8">
        <f t="shared" si="25"/>
        <v>0</v>
      </c>
    </row>
    <row r="641" spans="1:15" x14ac:dyDescent="0.3">
      <c r="A641" s="11"/>
      <c r="B641" s="5"/>
      <c r="C641" s="12"/>
      <c r="D641" s="13"/>
      <c r="E641" s="13"/>
      <c r="F641" s="5"/>
      <c r="G641" s="14"/>
      <c r="H641" s="15"/>
      <c r="I641" s="12"/>
      <c r="J641" s="5"/>
      <c r="K641" s="5"/>
      <c r="L641" s="8"/>
      <c r="M641" s="8"/>
      <c r="N641" s="8">
        <f>SUMIFS('[1]Finanace - Incentive Data'!BE:BE,'[1]Finanace - Incentive Data'!BS:BS,"Y",'[1]Finanace - Incentive Data'!H:H,$C$626,'[1]Finanace - Incentive Data'!R:R,$B641)</f>
        <v>0</v>
      </c>
      <c r="O641" s="8">
        <f t="shared" si="25"/>
        <v>0</v>
      </c>
    </row>
    <row r="642" spans="1:15" x14ac:dyDescent="0.3">
      <c r="A642" s="11"/>
      <c r="B642" s="5"/>
      <c r="C642" s="12"/>
      <c r="D642" s="13"/>
      <c r="E642" s="13"/>
      <c r="F642" s="5"/>
      <c r="G642" s="14"/>
      <c r="H642" s="15"/>
      <c r="I642" s="12"/>
      <c r="J642" s="5"/>
      <c r="K642" s="5"/>
      <c r="L642" s="8"/>
      <c r="M642" s="8"/>
      <c r="N642" s="8">
        <f>SUMIFS('[1]Finanace - Incentive Data'!BE:BE,'[1]Finanace - Incentive Data'!BS:BS,"Y",'[1]Finanace - Incentive Data'!H:H,$C$626,'[1]Finanace - Incentive Data'!R:R,$B642)</f>
        <v>0</v>
      </c>
      <c r="O642" s="8">
        <f t="shared" si="25"/>
        <v>0</v>
      </c>
    </row>
    <row r="643" spans="1:15" x14ac:dyDescent="0.3">
      <c r="A643" s="11"/>
      <c r="B643" s="5"/>
      <c r="C643" s="12"/>
      <c r="D643" s="13"/>
      <c r="E643" s="13"/>
      <c r="F643" s="5"/>
      <c r="G643" s="14"/>
      <c r="H643" s="15"/>
      <c r="I643" s="12"/>
      <c r="J643" s="5"/>
      <c r="K643" s="5"/>
      <c r="L643" s="8"/>
      <c r="M643" s="8"/>
      <c r="N643" s="8">
        <f>SUMIFS('[1]Finanace - Incentive Data'!BE:BE,'[1]Finanace - Incentive Data'!BS:BS,"Y",'[1]Finanace - Incentive Data'!H:H,$C$626,'[1]Finanace - Incentive Data'!R:R,$B643)</f>
        <v>0</v>
      </c>
      <c r="O643" s="8">
        <f t="shared" si="25"/>
        <v>0</v>
      </c>
    </row>
    <row r="644" spans="1:15" x14ac:dyDescent="0.3">
      <c r="A644" s="11"/>
      <c r="B644" s="5"/>
      <c r="C644" s="12"/>
      <c r="D644" s="13"/>
      <c r="E644" s="13"/>
      <c r="F644" s="5"/>
      <c r="G644" s="14"/>
      <c r="H644" s="15"/>
      <c r="I644" s="12"/>
      <c r="J644" s="5"/>
      <c r="K644" s="5"/>
      <c r="L644" s="8"/>
      <c r="M644" s="8"/>
      <c r="N644" s="8">
        <f>SUMIFS('[1]Finanace - Incentive Data'!BE:BE,'[1]Finanace - Incentive Data'!BS:BS,"Y",'[1]Finanace - Incentive Data'!H:H,$C$626,'[1]Finanace - Incentive Data'!R:R,$B644)</f>
        <v>0</v>
      </c>
      <c r="O644" s="8">
        <f t="shared" si="25"/>
        <v>0</v>
      </c>
    </row>
    <row r="645" spans="1:15" x14ac:dyDescent="0.3">
      <c r="A645" s="11"/>
      <c r="B645" s="5"/>
      <c r="C645" s="12"/>
      <c r="D645" s="13"/>
      <c r="E645" s="13"/>
      <c r="F645" s="5"/>
      <c r="G645" s="14"/>
      <c r="H645" s="15"/>
      <c r="I645" s="12"/>
      <c r="J645" s="5"/>
      <c r="K645" s="5"/>
      <c r="L645" s="8"/>
      <c r="M645" s="8"/>
      <c r="N645" s="8">
        <f>SUMIFS('[1]Finanace - Incentive Data'!BE:BE,'[1]Finanace - Incentive Data'!BS:BS,"Y",'[1]Finanace - Incentive Data'!H:H,$C$626,'[1]Finanace - Incentive Data'!R:R,$B645)</f>
        <v>0</v>
      </c>
      <c r="O645" s="8">
        <f t="shared" si="25"/>
        <v>0</v>
      </c>
    </row>
    <row r="646" spans="1:15" x14ac:dyDescent="0.3">
      <c r="A646" s="11"/>
      <c r="B646" s="5"/>
      <c r="C646" s="12"/>
      <c r="D646" s="13"/>
      <c r="E646" s="13"/>
      <c r="F646" s="5"/>
      <c r="G646" s="14"/>
      <c r="H646" s="15"/>
      <c r="I646" s="12"/>
      <c r="J646" s="5"/>
      <c r="K646" s="5"/>
      <c r="L646" s="8"/>
      <c r="M646" s="8"/>
      <c r="N646" s="8">
        <f>SUMIFS('[1]Finanace - Incentive Data'!BE:BE,'[1]Finanace - Incentive Data'!BS:BS,"Y",'[1]Finanace - Incentive Data'!H:H,$C$626,'[1]Finanace - Incentive Data'!R:R,$B646)</f>
        <v>0</v>
      </c>
      <c r="O646" s="8">
        <f t="shared" si="25"/>
        <v>0</v>
      </c>
    </row>
    <row r="649" spans="1:15" ht="43.2" x14ac:dyDescent="0.3">
      <c r="A649" s="1" t="s">
        <v>0</v>
      </c>
      <c r="B649" s="1" t="s">
        <v>1</v>
      </c>
      <c r="C649" s="1" t="s">
        <v>2</v>
      </c>
      <c r="D649" s="1" t="s">
        <v>3</v>
      </c>
      <c r="E649" s="1" t="s">
        <v>4</v>
      </c>
      <c r="F649" s="1" t="s">
        <v>5</v>
      </c>
      <c r="G649" s="1" t="s">
        <v>6</v>
      </c>
      <c r="H649" s="1" t="s">
        <v>7</v>
      </c>
      <c r="I649" s="1" t="s">
        <v>8</v>
      </c>
      <c r="J649" s="1" t="s">
        <v>9</v>
      </c>
      <c r="K649" s="2" t="s">
        <v>10</v>
      </c>
      <c r="L649" s="2" t="s">
        <v>11</v>
      </c>
      <c r="M649" s="3"/>
      <c r="N649" s="3"/>
    </row>
    <row r="650" spans="1:15" x14ac:dyDescent="0.3">
      <c r="A650" s="5" t="s">
        <v>12</v>
      </c>
      <c r="B650" s="4">
        <f>_xlfn.XLOOKUP($C650,'[1]Basic EMP Data - 2026'!$D$3:$D$224,'[1]Basic EMP Data - 2026'!$C$3:$C$224)</f>
        <v>0</v>
      </c>
      <c r="C650" s="6" t="s">
        <v>51</v>
      </c>
      <c r="D650" s="5" t="e">
        <f>VLOOKUP($B650,'[1]Basic EMP Data - 2026'!$C$3:$F$224,3,0)</f>
        <v>#N/A</v>
      </c>
      <c r="E650" s="5" t="e">
        <f>VLOOKUP($B650,'[1]Basic EMP Data - 2026'!$C$3:$I$224,5,0)</f>
        <v>#N/A</v>
      </c>
      <c r="F650" s="5" t="e">
        <f>VLOOKUP($B650,'[1]Basic EMP Data - 2026'!$C$3:$I$224,6,0)</f>
        <v>#N/A</v>
      </c>
      <c r="G650" s="7" t="e">
        <f>F650/E650</f>
        <v>#N/A</v>
      </c>
      <c r="H650" s="8">
        <f>SUM(L652:L670)</f>
        <v>0</v>
      </c>
      <c r="I650" s="9" t="e" cm="1">
        <f t="array" ref="I650">_xlfn.IFS($G650&lt;=34%,0%,$G650&lt;=75%,3%,$G650&lt;=120%,4%,$G650&gt;120%,5%)</f>
        <v>#N/A</v>
      </c>
      <c r="J650" s="8" cm="1">
        <f t="array" ref="J650">SUMPRODUCT((C652:C670=2026)*M652:M670*2)</f>
        <v>0</v>
      </c>
      <c r="K650" s="5">
        <f>SUM(N652:N670)</f>
        <v>0</v>
      </c>
      <c r="L650" s="8">
        <f>J650-K650</f>
        <v>0</v>
      </c>
      <c r="M650" s="3"/>
      <c r="N650" s="3"/>
    </row>
    <row r="651" spans="1:15" ht="43.2" x14ac:dyDescent="0.3">
      <c r="A651" s="10" t="s">
        <v>2</v>
      </c>
      <c r="B651" s="10" t="s">
        <v>14</v>
      </c>
      <c r="C651" s="10" t="s">
        <v>15</v>
      </c>
      <c r="D651" s="10" t="s">
        <v>16</v>
      </c>
      <c r="E651" s="10" t="s">
        <v>17</v>
      </c>
      <c r="F651" s="10" t="s">
        <v>18</v>
      </c>
      <c r="G651" s="10" t="s">
        <v>19</v>
      </c>
      <c r="H651" s="10" t="s">
        <v>20</v>
      </c>
      <c r="I651" s="10" t="s">
        <v>21</v>
      </c>
      <c r="J651" s="10" t="s">
        <v>22</v>
      </c>
      <c r="K651" s="10" t="s">
        <v>23</v>
      </c>
      <c r="L651" s="10" t="s">
        <v>24</v>
      </c>
      <c r="M651" s="10" t="s">
        <v>25</v>
      </c>
      <c r="N651" s="10" t="s">
        <v>26</v>
      </c>
      <c r="O651" s="10" t="s">
        <v>27</v>
      </c>
    </row>
    <row r="652" spans="1:15" x14ac:dyDescent="0.3">
      <c r="A652" s="11" t="str">
        <f>C650</f>
        <v>Yaman Abbas</v>
      </c>
      <c r="B652" s="5" t="e" cm="1" vm="1">
        <f t="array" ref="B652">_xlfn.LET(
  _xlpm.data, _xlfn._xlws.FILTER('[1]Finanace - Incentive Data'!A:CA, '[1]Finanace - Incentive Data'!H:H=$C650),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652" s="12"/>
      <c r="D652" s="13"/>
      <c r="E652" s="13"/>
      <c r="F652" s="5"/>
      <c r="G652" s="14"/>
      <c r="H652" s="15"/>
      <c r="I652" s="12"/>
      <c r="J652" s="5"/>
      <c r="K652" s="5"/>
      <c r="L652" s="8"/>
      <c r="M652" s="8"/>
      <c r="N652" s="8">
        <f>SUMIFS('[1]Finanace - Incentive Data'!BE:BE,'[1]Finanace - Incentive Data'!BS:BS,"Y",'[1]Finanace - Incentive Data'!H:H,$C$650,'[1]Finanace - Incentive Data'!R:R,$B652)</f>
        <v>0</v>
      </c>
      <c r="O652" s="8">
        <f>M652-N652</f>
        <v>0</v>
      </c>
    </row>
    <row r="653" spans="1:15" x14ac:dyDescent="0.3">
      <c r="A653" s="11"/>
      <c r="B653" s="5"/>
      <c r="C653" s="12"/>
      <c r="D653" s="13"/>
      <c r="E653" s="13"/>
      <c r="F653" s="5"/>
      <c r="G653" s="14"/>
      <c r="H653" s="15"/>
      <c r="I653" s="12"/>
      <c r="J653" s="5"/>
      <c r="K653" s="5"/>
      <c r="L653" s="8"/>
      <c r="M653" s="8"/>
      <c r="N653" s="8">
        <f>SUMIFS('[1]Finanace - Incentive Data'!BE:BE,'[1]Finanace - Incentive Data'!BS:BS,"Y",'[1]Finanace - Incentive Data'!H:H,$C$650,'[1]Finanace - Incentive Data'!R:R,$B653)</f>
        <v>0</v>
      </c>
      <c r="O653" s="8">
        <f>M653-N653</f>
        <v>0</v>
      </c>
    </row>
    <row r="654" spans="1:15" x14ac:dyDescent="0.3">
      <c r="A654" s="11"/>
      <c r="B654" s="5"/>
      <c r="C654" s="12"/>
      <c r="D654" s="13"/>
      <c r="E654" s="13"/>
      <c r="F654" s="5"/>
      <c r="G654" s="14"/>
      <c r="H654" s="15"/>
      <c r="I654" s="12"/>
      <c r="J654" s="5"/>
      <c r="K654" s="5"/>
      <c r="L654" s="8"/>
      <c r="M654" s="8"/>
      <c r="N654" s="8">
        <f>SUMIFS('[1]Finanace - Incentive Data'!BE:BE,'[1]Finanace - Incentive Data'!BS:BS,"Y",'[1]Finanace - Incentive Data'!H:H,$C$650,'[1]Finanace - Incentive Data'!R:R,$B654)</f>
        <v>0</v>
      </c>
      <c r="O654" s="8">
        <f t="shared" ref="O654:O670" si="26">M654-N654</f>
        <v>0</v>
      </c>
    </row>
    <row r="655" spans="1:15" x14ac:dyDescent="0.3">
      <c r="A655" s="11"/>
      <c r="B655" s="5"/>
      <c r="C655" s="12"/>
      <c r="D655" s="13"/>
      <c r="E655" s="13"/>
      <c r="F655" s="5"/>
      <c r="G655" s="14"/>
      <c r="H655" s="15"/>
      <c r="I655" s="12"/>
      <c r="J655" s="5"/>
      <c r="K655" s="5"/>
      <c r="L655" s="8"/>
      <c r="M655" s="8"/>
      <c r="N655" s="8">
        <f>SUMIFS('[1]Finanace - Incentive Data'!BE:BE,'[1]Finanace - Incentive Data'!BS:BS,"Y",'[1]Finanace - Incentive Data'!H:H,$C$650,'[1]Finanace - Incentive Data'!R:R,$B655)</f>
        <v>0</v>
      </c>
      <c r="O655" s="8">
        <f t="shared" si="26"/>
        <v>0</v>
      </c>
    </row>
    <row r="656" spans="1:15" x14ac:dyDescent="0.3">
      <c r="A656" s="11"/>
      <c r="B656" s="5"/>
      <c r="C656" s="12"/>
      <c r="D656" s="13"/>
      <c r="E656" s="13"/>
      <c r="F656" s="5"/>
      <c r="G656" s="14"/>
      <c r="H656" s="15"/>
      <c r="I656" s="12"/>
      <c r="J656" s="5"/>
      <c r="K656" s="5"/>
      <c r="L656" s="8"/>
      <c r="M656" s="8"/>
      <c r="N656" s="8">
        <f>SUMIFS('[1]Finanace - Incentive Data'!BE:BE,'[1]Finanace - Incentive Data'!BS:BS,"Y",'[1]Finanace - Incentive Data'!H:H,$C$650,'[1]Finanace - Incentive Data'!R:R,$B656)</f>
        <v>0</v>
      </c>
      <c r="O656" s="8">
        <f t="shared" si="26"/>
        <v>0</v>
      </c>
    </row>
    <row r="657" spans="1:15" x14ac:dyDescent="0.3">
      <c r="A657" s="11"/>
      <c r="B657" s="5"/>
      <c r="C657" s="12"/>
      <c r="D657" s="13"/>
      <c r="E657" s="13"/>
      <c r="F657" s="5"/>
      <c r="G657" s="14"/>
      <c r="H657" s="15"/>
      <c r="I657" s="12"/>
      <c r="J657" s="5"/>
      <c r="K657" s="5"/>
      <c r="L657" s="8"/>
      <c r="M657" s="8"/>
      <c r="N657" s="8">
        <f>SUMIFS('[1]Finanace - Incentive Data'!BE:BE,'[1]Finanace - Incentive Data'!BS:BS,"Y",'[1]Finanace - Incentive Data'!H:H,$C$650,'[1]Finanace - Incentive Data'!R:R,$B657)</f>
        <v>0</v>
      </c>
      <c r="O657" s="8">
        <f t="shared" si="26"/>
        <v>0</v>
      </c>
    </row>
    <row r="658" spans="1:15" x14ac:dyDescent="0.3">
      <c r="A658" s="11"/>
      <c r="B658" s="5"/>
      <c r="C658" s="12"/>
      <c r="D658" s="13"/>
      <c r="E658" s="13"/>
      <c r="F658" s="5"/>
      <c r="G658" s="14"/>
      <c r="H658" s="15"/>
      <c r="I658" s="12"/>
      <c r="J658" s="5"/>
      <c r="K658" s="5"/>
      <c r="L658" s="8"/>
      <c r="M658" s="8"/>
      <c r="N658" s="8">
        <f>SUMIFS('[1]Finanace - Incentive Data'!BE:BE,'[1]Finanace - Incentive Data'!BS:BS,"Y",'[1]Finanace - Incentive Data'!H:H,$C$650,'[1]Finanace - Incentive Data'!R:R,$B658)</f>
        <v>0</v>
      </c>
      <c r="O658" s="8">
        <f t="shared" si="26"/>
        <v>0</v>
      </c>
    </row>
    <row r="659" spans="1:15" x14ac:dyDescent="0.3">
      <c r="A659" s="11"/>
      <c r="B659" s="5"/>
      <c r="C659" s="12"/>
      <c r="D659" s="13"/>
      <c r="E659" s="13"/>
      <c r="F659" s="5"/>
      <c r="G659" s="14"/>
      <c r="H659" s="15"/>
      <c r="I659" s="12"/>
      <c r="J659" s="5"/>
      <c r="K659" s="5"/>
      <c r="L659" s="8"/>
      <c r="M659" s="8"/>
      <c r="N659" s="8">
        <f>SUMIFS('[1]Finanace - Incentive Data'!BE:BE,'[1]Finanace - Incentive Data'!BS:BS,"Y",'[1]Finanace - Incentive Data'!H:H,$C$650,'[1]Finanace - Incentive Data'!R:R,$B659)</f>
        <v>0</v>
      </c>
      <c r="O659" s="8">
        <f t="shared" si="26"/>
        <v>0</v>
      </c>
    </row>
    <row r="660" spans="1:15" x14ac:dyDescent="0.3">
      <c r="A660" s="11"/>
      <c r="B660" s="5"/>
      <c r="C660" s="12"/>
      <c r="D660" s="13"/>
      <c r="E660" s="13"/>
      <c r="F660" s="5"/>
      <c r="G660" s="14"/>
      <c r="H660" s="15"/>
      <c r="I660" s="12"/>
      <c r="J660" s="5"/>
      <c r="K660" s="5"/>
      <c r="L660" s="8"/>
      <c r="M660" s="8"/>
      <c r="N660" s="8">
        <f>SUMIFS('[1]Finanace - Incentive Data'!BE:BE,'[1]Finanace - Incentive Data'!BS:BS,"Y",'[1]Finanace - Incentive Data'!H:H,$C$650,'[1]Finanace - Incentive Data'!R:R,$B660)</f>
        <v>0</v>
      </c>
      <c r="O660" s="8">
        <f t="shared" si="26"/>
        <v>0</v>
      </c>
    </row>
    <row r="661" spans="1:15" x14ac:dyDescent="0.3">
      <c r="A661" s="11"/>
      <c r="B661" s="5"/>
      <c r="C661" s="12"/>
      <c r="D661" s="13"/>
      <c r="E661" s="13"/>
      <c r="F661" s="5"/>
      <c r="G661" s="14"/>
      <c r="H661" s="15"/>
      <c r="I661" s="12"/>
      <c r="J661" s="5"/>
      <c r="K661" s="5"/>
      <c r="L661" s="8"/>
      <c r="M661" s="8"/>
      <c r="N661" s="8">
        <f>SUMIFS('[1]Finanace - Incentive Data'!BE:BE,'[1]Finanace - Incentive Data'!BS:BS,"Y",'[1]Finanace - Incentive Data'!H:H,$C$650,'[1]Finanace - Incentive Data'!R:R,$B661)</f>
        <v>0</v>
      </c>
      <c r="O661" s="8">
        <f t="shared" si="26"/>
        <v>0</v>
      </c>
    </row>
    <row r="662" spans="1:15" x14ac:dyDescent="0.3">
      <c r="A662" s="11"/>
      <c r="B662" s="5"/>
      <c r="C662" s="12"/>
      <c r="D662" s="13"/>
      <c r="E662" s="13"/>
      <c r="F662" s="5"/>
      <c r="G662" s="14"/>
      <c r="H662" s="15"/>
      <c r="I662" s="12"/>
      <c r="J662" s="5"/>
      <c r="K662" s="5"/>
      <c r="L662" s="8"/>
      <c r="M662" s="8"/>
      <c r="N662" s="8">
        <f>SUMIFS('[1]Finanace - Incentive Data'!BE:BE,'[1]Finanace - Incentive Data'!BS:BS,"Y",'[1]Finanace - Incentive Data'!H:H,$C$650,'[1]Finanace - Incentive Data'!R:R,$B662)</f>
        <v>0</v>
      </c>
      <c r="O662" s="8">
        <f t="shared" si="26"/>
        <v>0</v>
      </c>
    </row>
    <row r="663" spans="1:15" x14ac:dyDescent="0.3">
      <c r="A663" s="11"/>
      <c r="B663" s="5"/>
      <c r="C663" s="12"/>
      <c r="D663" s="13"/>
      <c r="E663" s="13"/>
      <c r="F663" s="5"/>
      <c r="G663" s="14"/>
      <c r="H663" s="15"/>
      <c r="I663" s="12"/>
      <c r="J663" s="5"/>
      <c r="K663" s="5"/>
      <c r="L663" s="8"/>
      <c r="M663" s="8"/>
      <c r="N663" s="8">
        <f>SUMIFS('[1]Finanace - Incentive Data'!BE:BE,'[1]Finanace - Incentive Data'!BS:BS,"Y",'[1]Finanace - Incentive Data'!H:H,$C$650,'[1]Finanace - Incentive Data'!R:R,$B663)</f>
        <v>0</v>
      </c>
      <c r="O663" s="8">
        <f t="shared" si="26"/>
        <v>0</v>
      </c>
    </row>
    <row r="664" spans="1:15" x14ac:dyDescent="0.3">
      <c r="A664" s="11"/>
      <c r="B664" s="5"/>
      <c r="C664" s="12"/>
      <c r="D664" s="13"/>
      <c r="E664" s="13"/>
      <c r="F664" s="5"/>
      <c r="G664" s="14"/>
      <c r="H664" s="15"/>
      <c r="I664" s="12"/>
      <c r="J664" s="5"/>
      <c r="K664" s="5"/>
      <c r="L664" s="8"/>
      <c r="M664" s="8"/>
      <c r="N664" s="8">
        <f>SUMIFS('[1]Finanace - Incentive Data'!BE:BE,'[1]Finanace - Incentive Data'!BS:BS,"Y",'[1]Finanace - Incentive Data'!H:H,$C$650,'[1]Finanace - Incentive Data'!R:R,$B664)</f>
        <v>0</v>
      </c>
      <c r="O664" s="8">
        <f t="shared" si="26"/>
        <v>0</v>
      </c>
    </row>
    <row r="665" spans="1:15" x14ac:dyDescent="0.3">
      <c r="A665" s="11"/>
      <c r="B665" s="5"/>
      <c r="C665" s="12"/>
      <c r="D665" s="13"/>
      <c r="E665" s="13"/>
      <c r="F665" s="5"/>
      <c r="G665" s="14"/>
      <c r="H665" s="15"/>
      <c r="I665" s="12"/>
      <c r="J665" s="5"/>
      <c r="K665" s="5"/>
      <c r="L665" s="8"/>
      <c r="M665" s="8"/>
      <c r="N665" s="8">
        <f>SUMIFS('[1]Finanace - Incentive Data'!BE:BE,'[1]Finanace - Incentive Data'!BS:BS,"Y",'[1]Finanace - Incentive Data'!H:H,$C$650,'[1]Finanace - Incentive Data'!R:R,$B665)</f>
        <v>0</v>
      </c>
      <c r="O665" s="8">
        <f t="shared" si="26"/>
        <v>0</v>
      </c>
    </row>
    <row r="666" spans="1:15" x14ac:dyDescent="0.3">
      <c r="A666" s="11"/>
      <c r="B666" s="5"/>
      <c r="C666" s="12"/>
      <c r="D666" s="13"/>
      <c r="E666" s="13"/>
      <c r="F666" s="5"/>
      <c r="G666" s="14"/>
      <c r="H666" s="15"/>
      <c r="I666" s="12"/>
      <c r="J666" s="5"/>
      <c r="K666" s="5"/>
      <c r="L666" s="8"/>
      <c r="M666" s="8"/>
      <c r="N666" s="8">
        <f>SUMIFS('[1]Finanace - Incentive Data'!BE:BE,'[1]Finanace - Incentive Data'!BS:BS,"Y",'[1]Finanace - Incentive Data'!H:H,$C$650,'[1]Finanace - Incentive Data'!R:R,$B666)</f>
        <v>0</v>
      </c>
      <c r="O666" s="8">
        <f t="shared" si="26"/>
        <v>0</v>
      </c>
    </row>
    <row r="667" spans="1:15" x14ac:dyDescent="0.3">
      <c r="A667" s="11"/>
      <c r="B667" s="5"/>
      <c r="C667" s="12"/>
      <c r="D667" s="13"/>
      <c r="E667" s="13"/>
      <c r="F667" s="5"/>
      <c r="G667" s="14"/>
      <c r="H667" s="15"/>
      <c r="I667" s="12"/>
      <c r="J667" s="5"/>
      <c r="K667" s="5"/>
      <c r="L667" s="8"/>
      <c r="M667" s="8"/>
      <c r="N667" s="8">
        <f>SUMIFS('[1]Finanace - Incentive Data'!BE:BE,'[1]Finanace - Incentive Data'!BS:BS,"Y",'[1]Finanace - Incentive Data'!H:H,$C$650,'[1]Finanace - Incentive Data'!R:R,$B667)</f>
        <v>0</v>
      </c>
      <c r="O667" s="8">
        <f t="shared" si="26"/>
        <v>0</v>
      </c>
    </row>
    <row r="668" spans="1:15" x14ac:dyDescent="0.3">
      <c r="A668" s="11"/>
      <c r="B668" s="5"/>
      <c r="C668" s="12"/>
      <c r="D668" s="13"/>
      <c r="E668" s="13"/>
      <c r="F668" s="5"/>
      <c r="G668" s="14"/>
      <c r="H668" s="15"/>
      <c r="I668" s="12"/>
      <c r="J668" s="5"/>
      <c r="K668" s="5"/>
      <c r="L668" s="8"/>
      <c r="M668" s="8"/>
      <c r="N668" s="8">
        <f>SUMIFS('[1]Finanace - Incentive Data'!BE:BE,'[1]Finanace - Incentive Data'!BS:BS,"Y",'[1]Finanace - Incentive Data'!H:H,$C$650,'[1]Finanace - Incentive Data'!R:R,$B668)</f>
        <v>0</v>
      </c>
      <c r="O668" s="8">
        <f t="shared" si="26"/>
        <v>0</v>
      </c>
    </row>
    <row r="669" spans="1:15" x14ac:dyDescent="0.3">
      <c r="A669" s="11"/>
      <c r="B669" s="5"/>
      <c r="C669" s="12"/>
      <c r="D669" s="13"/>
      <c r="E669" s="13"/>
      <c r="F669" s="5"/>
      <c r="G669" s="14"/>
      <c r="H669" s="15"/>
      <c r="I669" s="12"/>
      <c r="J669" s="5"/>
      <c r="K669" s="5"/>
      <c r="L669" s="8"/>
      <c r="M669" s="8"/>
      <c r="N669" s="8">
        <f>SUMIFS('[1]Finanace - Incentive Data'!BE:BE,'[1]Finanace - Incentive Data'!BS:BS,"Y",'[1]Finanace - Incentive Data'!H:H,$C$650,'[1]Finanace - Incentive Data'!R:R,$B669)</f>
        <v>0</v>
      </c>
      <c r="O669" s="8">
        <f t="shared" si="26"/>
        <v>0</v>
      </c>
    </row>
    <row r="670" spans="1:15" x14ac:dyDescent="0.3">
      <c r="A670" s="11"/>
      <c r="B670" s="5"/>
      <c r="C670" s="12"/>
      <c r="D670" s="13"/>
      <c r="E670" s="13"/>
      <c r="F670" s="5"/>
      <c r="G670" s="14"/>
      <c r="H670" s="15"/>
      <c r="I670" s="12"/>
      <c r="J670" s="5"/>
      <c r="K670" s="5"/>
      <c r="L670" s="8"/>
      <c r="M670" s="8"/>
      <c r="N670" s="8">
        <f>SUMIFS('[1]Finanace - Incentive Data'!BE:BE,'[1]Finanace - Incentive Data'!BS:BS,"Y",'[1]Finanace - Incentive Data'!H:H,$C$650,'[1]Finanace - Incentive Data'!R:R,$B670)</f>
        <v>0</v>
      </c>
      <c r="O670" s="8">
        <f t="shared" si="26"/>
        <v>0</v>
      </c>
    </row>
    <row r="673" spans="1:15" ht="43.2" x14ac:dyDescent="0.3">
      <c r="A673" s="1" t="s">
        <v>0</v>
      </c>
      <c r="B673" s="1" t="s">
        <v>1</v>
      </c>
      <c r="C673" s="1" t="s">
        <v>2</v>
      </c>
      <c r="D673" s="1" t="s">
        <v>3</v>
      </c>
      <c r="E673" s="1" t="s">
        <v>4</v>
      </c>
      <c r="F673" s="1" t="s">
        <v>5</v>
      </c>
      <c r="G673" s="1" t="s">
        <v>6</v>
      </c>
      <c r="H673" s="1" t="s">
        <v>7</v>
      </c>
      <c r="I673" s="1" t="s">
        <v>8</v>
      </c>
      <c r="J673" s="1" t="s">
        <v>9</v>
      </c>
      <c r="K673" s="2" t="s">
        <v>10</v>
      </c>
      <c r="L673" s="2" t="s">
        <v>11</v>
      </c>
      <c r="M673" s="3"/>
      <c r="N673" s="3"/>
    </row>
    <row r="674" spans="1:15" x14ac:dyDescent="0.3">
      <c r="A674" s="5" t="s">
        <v>12</v>
      </c>
      <c r="B674" s="4" t="str">
        <f>_xlfn.XLOOKUP($C674,'[1]Basic EMP Data - 2026'!$D$3:$D$224,'[1]Basic EMP Data - 2026'!$C$3:$C$224)</f>
        <v>VB2372</v>
      </c>
      <c r="C674" s="6" t="s">
        <v>52</v>
      </c>
      <c r="D674" s="5" t="str">
        <f>VLOOKUP($B674,'[1]Basic EMP Data - 2026'!$C$3:$F$224,3,0)</f>
        <v>Kashif Nabi</v>
      </c>
      <c r="E674" s="5">
        <f>VLOOKUP($B674,'[1]Basic EMP Data - 2026'!$C$3:$I$224,5,0)</f>
        <v>0</v>
      </c>
      <c r="F674" s="5">
        <f>VLOOKUP($B674,'[1]Basic EMP Data - 2026'!$C$3:$I$224,6,0)</f>
        <v>0</v>
      </c>
      <c r="G674" s="7" t="e">
        <f>F674/E674</f>
        <v>#DIV/0!</v>
      </c>
      <c r="H674" s="8">
        <f>SUM(L676:L694)</f>
        <v>0</v>
      </c>
      <c r="I674" s="9" t="e" cm="1">
        <f t="array" ref="I674">_xlfn.IFS($G674&lt;=34%,0%,$G674&lt;=75%,3%,$G674&lt;=120%,4%,$G674&gt;120%,5%)</f>
        <v>#DIV/0!</v>
      </c>
      <c r="J674" s="8" cm="1">
        <f t="array" ref="J674">SUMPRODUCT((C676:C694=2026)*M676:M694*2)</f>
        <v>0</v>
      </c>
      <c r="K674" s="5">
        <f>SUM(N676:N694)</f>
        <v>0</v>
      </c>
      <c r="L674" s="8">
        <f>J674-K674</f>
        <v>0</v>
      </c>
      <c r="M674" s="3"/>
      <c r="N674" s="3"/>
    </row>
    <row r="675" spans="1:15" ht="43.2" x14ac:dyDescent="0.3">
      <c r="A675" s="10" t="s">
        <v>2</v>
      </c>
      <c r="B675" s="10" t="s">
        <v>14</v>
      </c>
      <c r="C675" s="10" t="s">
        <v>15</v>
      </c>
      <c r="D675" s="10" t="s">
        <v>16</v>
      </c>
      <c r="E675" s="10" t="s">
        <v>17</v>
      </c>
      <c r="F675" s="10" t="s">
        <v>18</v>
      </c>
      <c r="G675" s="10" t="s">
        <v>19</v>
      </c>
      <c r="H675" s="10" t="s">
        <v>20</v>
      </c>
      <c r="I675" s="10" t="s">
        <v>21</v>
      </c>
      <c r="J675" s="10" t="s">
        <v>22</v>
      </c>
      <c r="K675" s="10" t="s">
        <v>23</v>
      </c>
      <c r="L675" s="10" t="s">
        <v>24</v>
      </c>
      <c r="M675" s="10" t="s">
        <v>25</v>
      </c>
      <c r="N675" s="10" t="s">
        <v>26</v>
      </c>
      <c r="O675" s="10" t="s">
        <v>27</v>
      </c>
    </row>
    <row r="676" spans="1:15" x14ac:dyDescent="0.3">
      <c r="A676" s="11" t="str">
        <f>C674</f>
        <v>Sandeep Pandey</v>
      </c>
      <c r="B676" s="5" t="e" cm="1" vm="1">
        <f t="array" ref="B676">_xlfn.LET(
  _xlpm.data, _xlfn._xlws.FILTER('[1]Finanace - Incentive Data'!A:CA, '[1]Finanace - Incentive Data'!H:H=$C674),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676" s="12"/>
      <c r="D676" s="13"/>
      <c r="E676" s="13"/>
      <c r="F676" s="5"/>
      <c r="G676" s="14"/>
      <c r="H676" s="15"/>
      <c r="I676" s="12"/>
      <c r="J676" s="5"/>
      <c r="K676" s="5"/>
      <c r="L676" s="8"/>
      <c r="M676" s="8"/>
      <c r="N676" s="8">
        <f>SUMIFS('[1]Finanace - Incentive Data'!BE:BE,'[1]Finanace - Incentive Data'!BS:BS,"Y",'[1]Finanace - Incentive Data'!H:H,$C$674,'[1]Finanace - Incentive Data'!R:R,$B676)</f>
        <v>0</v>
      </c>
      <c r="O676" s="8">
        <f>M676-N676</f>
        <v>0</v>
      </c>
    </row>
    <row r="677" spans="1:15" x14ac:dyDescent="0.3">
      <c r="A677" s="11"/>
      <c r="B677" s="5"/>
      <c r="C677" s="12"/>
      <c r="D677" s="13"/>
      <c r="E677" s="13"/>
      <c r="F677" s="5"/>
      <c r="G677" s="14"/>
      <c r="H677" s="15"/>
      <c r="I677" s="12"/>
      <c r="J677" s="5"/>
      <c r="K677" s="5"/>
      <c r="L677" s="8"/>
      <c r="M677" s="8"/>
      <c r="N677" s="8">
        <f>SUMIFS('[1]Finanace - Incentive Data'!BE:BE,'[1]Finanace - Incentive Data'!BS:BS,"Y",'[1]Finanace - Incentive Data'!H:H,$C$674,'[1]Finanace - Incentive Data'!R:R,$B677)</f>
        <v>0</v>
      </c>
      <c r="O677" s="8">
        <f>M677-N677</f>
        <v>0</v>
      </c>
    </row>
    <row r="678" spans="1:15" x14ac:dyDescent="0.3">
      <c r="A678" s="11"/>
      <c r="B678" s="5"/>
      <c r="C678" s="12"/>
      <c r="D678" s="13"/>
      <c r="E678" s="13"/>
      <c r="F678" s="5"/>
      <c r="G678" s="14"/>
      <c r="H678" s="15"/>
      <c r="I678" s="12"/>
      <c r="J678" s="5"/>
      <c r="K678" s="5"/>
      <c r="L678" s="8"/>
      <c r="M678" s="8"/>
      <c r="N678" s="8">
        <f>SUMIFS('[1]Finanace - Incentive Data'!BE:BE,'[1]Finanace - Incentive Data'!BS:BS,"Y",'[1]Finanace - Incentive Data'!H:H,$C$674,'[1]Finanace - Incentive Data'!R:R,$B678)</f>
        <v>0</v>
      </c>
      <c r="O678" s="8">
        <f t="shared" ref="O678:O694" si="27">M678-N678</f>
        <v>0</v>
      </c>
    </row>
    <row r="679" spans="1:15" x14ac:dyDescent="0.3">
      <c r="A679" s="11"/>
      <c r="B679" s="5"/>
      <c r="C679" s="12"/>
      <c r="D679" s="13"/>
      <c r="E679" s="13"/>
      <c r="F679" s="5"/>
      <c r="G679" s="14"/>
      <c r="H679" s="15"/>
      <c r="I679" s="12"/>
      <c r="J679" s="5"/>
      <c r="K679" s="5"/>
      <c r="L679" s="8"/>
      <c r="M679" s="8"/>
      <c r="N679" s="8">
        <f>SUMIFS('[1]Finanace - Incentive Data'!BE:BE,'[1]Finanace - Incentive Data'!BS:BS,"Y",'[1]Finanace - Incentive Data'!H:H,$C$674,'[1]Finanace - Incentive Data'!R:R,$B679)</f>
        <v>0</v>
      </c>
      <c r="O679" s="8">
        <f t="shared" si="27"/>
        <v>0</v>
      </c>
    </row>
    <row r="680" spans="1:15" x14ac:dyDescent="0.3">
      <c r="A680" s="11"/>
      <c r="B680" s="5"/>
      <c r="C680" s="12"/>
      <c r="D680" s="13"/>
      <c r="E680" s="13"/>
      <c r="F680" s="5"/>
      <c r="G680" s="14"/>
      <c r="H680" s="15"/>
      <c r="I680" s="12"/>
      <c r="J680" s="5"/>
      <c r="K680" s="5"/>
      <c r="L680" s="8"/>
      <c r="M680" s="8"/>
      <c r="N680" s="8">
        <f>SUMIFS('[1]Finanace - Incentive Data'!BE:BE,'[1]Finanace - Incentive Data'!BS:BS,"Y",'[1]Finanace - Incentive Data'!H:H,$C$674,'[1]Finanace - Incentive Data'!R:R,$B680)</f>
        <v>0</v>
      </c>
      <c r="O680" s="8">
        <f t="shared" si="27"/>
        <v>0</v>
      </c>
    </row>
    <row r="681" spans="1:15" x14ac:dyDescent="0.3">
      <c r="A681" s="11"/>
      <c r="B681" s="5"/>
      <c r="C681" s="12"/>
      <c r="D681" s="13"/>
      <c r="E681" s="13"/>
      <c r="F681" s="5"/>
      <c r="G681" s="14"/>
      <c r="H681" s="15"/>
      <c r="I681" s="12"/>
      <c r="J681" s="5"/>
      <c r="K681" s="5"/>
      <c r="L681" s="8"/>
      <c r="M681" s="8"/>
      <c r="N681" s="8">
        <f>SUMIFS('[1]Finanace - Incentive Data'!BE:BE,'[1]Finanace - Incentive Data'!BS:BS,"Y",'[1]Finanace - Incentive Data'!H:H,$C$674,'[1]Finanace - Incentive Data'!R:R,$B681)</f>
        <v>0</v>
      </c>
      <c r="O681" s="8">
        <f t="shared" si="27"/>
        <v>0</v>
      </c>
    </row>
    <row r="682" spans="1:15" x14ac:dyDescent="0.3">
      <c r="A682" s="11"/>
      <c r="B682" s="5"/>
      <c r="C682" s="12"/>
      <c r="D682" s="13"/>
      <c r="E682" s="13"/>
      <c r="F682" s="5"/>
      <c r="G682" s="14"/>
      <c r="H682" s="15"/>
      <c r="I682" s="12"/>
      <c r="J682" s="5"/>
      <c r="K682" s="5"/>
      <c r="L682" s="8"/>
      <c r="M682" s="8"/>
      <c r="N682" s="8">
        <f>SUMIFS('[1]Finanace - Incentive Data'!BE:BE,'[1]Finanace - Incentive Data'!BS:BS,"Y",'[1]Finanace - Incentive Data'!H:H,$C$674,'[1]Finanace - Incentive Data'!R:R,$B682)</f>
        <v>0</v>
      </c>
      <c r="O682" s="8">
        <f t="shared" si="27"/>
        <v>0</v>
      </c>
    </row>
    <row r="683" spans="1:15" x14ac:dyDescent="0.3">
      <c r="A683" s="11"/>
      <c r="B683" s="5"/>
      <c r="C683" s="12"/>
      <c r="D683" s="13"/>
      <c r="E683" s="13"/>
      <c r="F683" s="5"/>
      <c r="G683" s="14"/>
      <c r="H683" s="15"/>
      <c r="I683" s="12"/>
      <c r="J683" s="5"/>
      <c r="K683" s="5"/>
      <c r="L683" s="8"/>
      <c r="M683" s="8"/>
      <c r="N683" s="8">
        <f>SUMIFS('[1]Finanace - Incentive Data'!BE:BE,'[1]Finanace - Incentive Data'!BS:BS,"Y",'[1]Finanace - Incentive Data'!H:H,$C$674,'[1]Finanace - Incentive Data'!R:R,$B683)</f>
        <v>0</v>
      </c>
      <c r="O683" s="8">
        <f t="shared" si="27"/>
        <v>0</v>
      </c>
    </row>
    <row r="684" spans="1:15" x14ac:dyDescent="0.3">
      <c r="A684" s="11"/>
      <c r="B684" s="5"/>
      <c r="C684" s="12"/>
      <c r="D684" s="13"/>
      <c r="E684" s="13"/>
      <c r="F684" s="5"/>
      <c r="G684" s="14"/>
      <c r="H684" s="15"/>
      <c r="I684" s="12"/>
      <c r="J684" s="5"/>
      <c r="K684" s="5"/>
      <c r="L684" s="8"/>
      <c r="M684" s="8"/>
      <c r="N684" s="8">
        <f>SUMIFS('[1]Finanace - Incentive Data'!BE:BE,'[1]Finanace - Incentive Data'!BS:BS,"Y",'[1]Finanace - Incentive Data'!H:H,$C$674,'[1]Finanace - Incentive Data'!R:R,$B684)</f>
        <v>0</v>
      </c>
      <c r="O684" s="8">
        <f t="shared" si="27"/>
        <v>0</v>
      </c>
    </row>
    <row r="685" spans="1:15" x14ac:dyDescent="0.3">
      <c r="A685" s="11"/>
      <c r="B685" s="5"/>
      <c r="C685" s="12"/>
      <c r="D685" s="13"/>
      <c r="E685" s="13"/>
      <c r="F685" s="5"/>
      <c r="G685" s="14"/>
      <c r="H685" s="15"/>
      <c r="I685" s="12"/>
      <c r="J685" s="5"/>
      <c r="K685" s="5"/>
      <c r="L685" s="8"/>
      <c r="M685" s="8"/>
      <c r="N685" s="8">
        <f>SUMIFS('[1]Finanace - Incentive Data'!BE:BE,'[1]Finanace - Incentive Data'!BS:BS,"Y",'[1]Finanace - Incentive Data'!H:H,$C$674,'[1]Finanace - Incentive Data'!R:R,$B685)</f>
        <v>0</v>
      </c>
      <c r="O685" s="8">
        <f t="shared" si="27"/>
        <v>0</v>
      </c>
    </row>
    <row r="686" spans="1:15" x14ac:dyDescent="0.3">
      <c r="A686" s="11"/>
      <c r="B686" s="5"/>
      <c r="C686" s="12"/>
      <c r="D686" s="13"/>
      <c r="E686" s="13"/>
      <c r="F686" s="5"/>
      <c r="G686" s="14"/>
      <c r="H686" s="15"/>
      <c r="I686" s="12"/>
      <c r="J686" s="5"/>
      <c r="K686" s="5"/>
      <c r="L686" s="8"/>
      <c r="M686" s="8"/>
      <c r="N686" s="8">
        <f>SUMIFS('[1]Finanace - Incentive Data'!BE:BE,'[1]Finanace - Incentive Data'!BS:BS,"Y",'[1]Finanace - Incentive Data'!H:H,$C$674,'[1]Finanace - Incentive Data'!R:R,$B686)</f>
        <v>0</v>
      </c>
      <c r="O686" s="8">
        <f t="shared" si="27"/>
        <v>0</v>
      </c>
    </row>
    <row r="687" spans="1:15" x14ac:dyDescent="0.3">
      <c r="A687" s="11"/>
      <c r="B687" s="5"/>
      <c r="C687" s="12"/>
      <c r="D687" s="13"/>
      <c r="E687" s="13"/>
      <c r="F687" s="5"/>
      <c r="G687" s="14"/>
      <c r="H687" s="15"/>
      <c r="I687" s="12"/>
      <c r="J687" s="5"/>
      <c r="K687" s="5"/>
      <c r="L687" s="8"/>
      <c r="M687" s="8"/>
      <c r="N687" s="8">
        <f>SUMIFS('[1]Finanace - Incentive Data'!BE:BE,'[1]Finanace - Incentive Data'!BS:BS,"Y",'[1]Finanace - Incentive Data'!H:H,$C$674,'[1]Finanace - Incentive Data'!R:R,$B687)</f>
        <v>0</v>
      </c>
      <c r="O687" s="8">
        <f t="shared" si="27"/>
        <v>0</v>
      </c>
    </row>
    <row r="688" spans="1:15" x14ac:dyDescent="0.3">
      <c r="A688" s="11"/>
      <c r="B688" s="5"/>
      <c r="C688" s="12"/>
      <c r="D688" s="13"/>
      <c r="E688" s="13"/>
      <c r="F688" s="5"/>
      <c r="G688" s="14"/>
      <c r="H688" s="15"/>
      <c r="I688" s="12"/>
      <c r="J688" s="5"/>
      <c r="K688" s="5"/>
      <c r="L688" s="8"/>
      <c r="M688" s="8"/>
      <c r="N688" s="8">
        <f>SUMIFS('[1]Finanace - Incentive Data'!BE:BE,'[1]Finanace - Incentive Data'!BS:BS,"Y",'[1]Finanace - Incentive Data'!H:H,$C$674,'[1]Finanace - Incentive Data'!R:R,$B688)</f>
        <v>0</v>
      </c>
      <c r="O688" s="8">
        <f t="shared" si="27"/>
        <v>0</v>
      </c>
    </row>
    <row r="689" spans="1:15" x14ac:dyDescent="0.3">
      <c r="A689" s="11"/>
      <c r="B689" s="5"/>
      <c r="C689" s="12"/>
      <c r="D689" s="13"/>
      <c r="E689" s="13"/>
      <c r="F689" s="5"/>
      <c r="G689" s="14"/>
      <c r="H689" s="15"/>
      <c r="I689" s="12"/>
      <c r="J689" s="5"/>
      <c r="K689" s="5"/>
      <c r="L689" s="8"/>
      <c r="M689" s="8"/>
      <c r="N689" s="8">
        <f>SUMIFS('[1]Finanace - Incentive Data'!BE:BE,'[1]Finanace - Incentive Data'!BS:BS,"Y",'[1]Finanace - Incentive Data'!H:H,$C$674,'[1]Finanace - Incentive Data'!R:R,$B689)</f>
        <v>0</v>
      </c>
      <c r="O689" s="8">
        <f t="shared" si="27"/>
        <v>0</v>
      </c>
    </row>
    <row r="690" spans="1:15" x14ac:dyDescent="0.3">
      <c r="A690" s="11"/>
      <c r="B690" s="5"/>
      <c r="C690" s="12"/>
      <c r="D690" s="13"/>
      <c r="E690" s="13"/>
      <c r="F690" s="5"/>
      <c r="G690" s="14"/>
      <c r="H690" s="15"/>
      <c r="I690" s="12"/>
      <c r="J690" s="5"/>
      <c r="K690" s="5"/>
      <c r="L690" s="8"/>
      <c r="M690" s="8"/>
      <c r="N690" s="8">
        <f>SUMIFS('[1]Finanace - Incentive Data'!BE:BE,'[1]Finanace - Incentive Data'!BS:BS,"Y",'[1]Finanace - Incentive Data'!H:H,$C$674,'[1]Finanace - Incentive Data'!R:R,$B690)</f>
        <v>0</v>
      </c>
      <c r="O690" s="8">
        <f t="shared" si="27"/>
        <v>0</v>
      </c>
    </row>
    <row r="691" spans="1:15" x14ac:dyDescent="0.3">
      <c r="A691" s="11"/>
      <c r="B691" s="5"/>
      <c r="C691" s="12"/>
      <c r="D691" s="13"/>
      <c r="E691" s="13"/>
      <c r="F691" s="5"/>
      <c r="G691" s="14"/>
      <c r="H691" s="15"/>
      <c r="I691" s="12"/>
      <c r="J691" s="5"/>
      <c r="K691" s="5"/>
      <c r="L691" s="8"/>
      <c r="M691" s="8"/>
      <c r="N691" s="8">
        <f>SUMIFS('[1]Finanace - Incentive Data'!BE:BE,'[1]Finanace - Incentive Data'!BS:BS,"Y",'[1]Finanace - Incentive Data'!H:H,$C$674,'[1]Finanace - Incentive Data'!R:R,$B691)</f>
        <v>0</v>
      </c>
      <c r="O691" s="8">
        <f t="shared" si="27"/>
        <v>0</v>
      </c>
    </row>
    <row r="692" spans="1:15" x14ac:dyDescent="0.3">
      <c r="A692" s="11"/>
      <c r="B692" s="5"/>
      <c r="C692" s="12"/>
      <c r="D692" s="13"/>
      <c r="E692" s="13"/>
      <c r="F692" s="5"/>
      <c r="G692" s="14"/>
      <c r="H692" s="15"/>
      <c r="I692" s="12"/>
      <c r="J692" s="5"/>
      <c r="K692" s="5"/>
      <c r="L692" s="8"/>
      <c r="M692" s="8"/>
      <c r="N692" s="8">
        <f>SUMIFS('[1]Finanace - Incentive Data'!BE:BE,'[1]Finanace - Incentive Data'!BS:BS,"Y",'[1]Finanace - Incentive Data'!H:H,$C$674,'[1]Finanace - Incentive Data'!R:R,$B692)</f>
        <v>0</v>
      </c>
      <c r="O692" s="8">
        <f t="shared" si="27"/>
        <v>0</v>
      </c>
    </row>
    <row r="693" spans="1:15" x14ac:dyDescent="0.3">
      <c r="A693" s="11"/>
      <c r="B693" s="5"/>
      <c r="C693" s="12"/>
      <c r="D693" s="13"/>
      <c r="E693" s="13"/>
      <c r="F693" s="5"/>
      <c r="G693" s="14"/>
      <c r="H693" s="15"/>
      <c r="I693" s="12"/>
      <c r="J693" s="5"/>
      <c r="K693" s="5"/>
      <c r="L693" s="8"/>
      <c r="M693" s="8"/>
      <c r="N693" s="8">
        <f>SUMIFS('[1]Finanace - Incentive Data'!BE:BE,'[1]Finanace - Incentive Data'!BS:BS,"Y",'[1]Finanace - Incentive Data'!H:H,$C$674,'[1]Finanace - Incentive Data'!R:R,$B693)</f>
        <v>0</v>
      </c>
      <c r="O693" s="8">
        <f t="shared" si="27"/>
        <v>0</v>
      </c>
    </row>
    <row r="694" spans="1:15" x14ac:dyDescent="0.3">
      <c r="A694" s="11"/>
      <c r="B694" s="5"/>
      <c r="C694" s="12"/>
      <c r="D694" s="13"/>
      <c r="E694" s="13"/>
      <c r="F694" s="5"/>
      <c r="G694" s="14"/>
      <c r="H694" s="15"/>
      <c r="I694" s="12"/>
      <c r="J694" s="5"/>
      <c r="K694" s="5"/>
      <c r="L694" s="8"/>
      <c r="M694" s="8"/>
      <c r="N694" s="8">
        <f>SUMIFS('[1]Finanace - Incentive Data'!BE:BE,'[1]Finanace - Incentive Data'!BS:BS,"Y",'[1]Finanace - Incentive Data'!H:H,$C$674,'[1]Finanace - Incentive Data'!R:R,$B694)</f>
        <v>0</v>
      </c>
      <c r="O694" s="8">
        <f t="shared" si="27"/>
        <v>0</v>
      </c>
    </row>
    <row r="697" spans="1:15" ht="43.2" x14ac:dyDescent="0.3">
      <c r="A697" s="1" t="s">
        <v>0</v>
      </c>
      <c r="B697" s="1" t="s">
        <v>1</v>
      </c>
      <c r="C697" s="1" t="s">
        <v>2</v>
      </c>
      <c r="D697" s="1" t="s">
        <v>3</v>
      </c>
      <c r="E697" s="1" t="s">
        <v>4</v>
      </c>
      <c r="F697" s="1" t="s">
        <v>5</v>
      </c>
      <c r="G697" s="1" t="s">
        <v>6</v>
      </c>
      <c r="H697" s="1" t="s">
        <v>7</v>
      </c>
      <c r="I697" s="1" t="s">
        <v>8</v>
      </c>
      <c r="J697" s="1" t="s">
        <v>9</v>
      </c>
      <c r="K697" s="2" t="s">
        <v>10</v>
      </c>
      <c r="L697" s="2" t="s">
        <v>11</v>
      </c>
      <c r="M697" s="3"/>
      <c r="N697" s="3"/>
    </row>
    <row r="698" spans="1:15" x14ac:dyDescent="0.3">
      <c r="A698" s="5" t="s">
        <v>12</v>
      </c>
      <c r="B698" s="4" t="str">
        <f>_xlfn.XLOOKUP($C698,'[1]Basic EMP Data - 2026'!$D$3:$D$224,'[1]Basic EMP Data - 2026'!$C$3:$C$224)</f>
        <v>VB0463</v>
      </c>
      <c r="C698" s="6" t="s">
        <v>53</v>
      </c>
      <c r="D698" s="5" t="str">
        <f>VLOOKUP($B698,'[1]Basic EMP Data - 2026'!$C$3:$F$224,3,0)</f>
        <v>Khatib Rahman</v>
      </c>
      <c r="E698" s="5">
        <f>VLOOKUP($B698,'[1]Basic EMP Data - 2026'!$C$3:$I$224,5,0)</f>
        <v>6</v>
      </c>
      <c r="F698" s="5">
        <f>VLOOKUP($B698,'[1]Basic EMP Data - 2026'!$C$3:$I$224,6,0)</f>
        <v>2</v>
      </c>
      <c r="G698" s="7">
        <f>F698/E698</f>
        <v>0.33333333333333331</v>
      </c>
      <c r="H698" s="8">
        <f>SUM(L700:L718)</f>
        <v>7609.4251999999997</v>
      </c>
      <c r="I698" s="9" cm="1">
        <f t="array" ref="I698">_xlfn.IFS($G698&lt;=34%,0%,$G698&lt;=75%,3%,$G698&lt;=120%,4%,$G698&gt;120%,5%)</f>
        <v>0</v>
      </c>
      <c r="J698" s="8" cm="1">
        <f t="array" ref="J698">SUMPRODUCT((C700:C718=2026)*M700:M718*2)</f>
        <v>0</v>
      </c>
      <c r="K698" s="5">
        <f>SUM(N700:N718)</f>
        <v>0</v>
      </c>
      <c r="L698" s="8">
        <f>J698-K698</f>
        <v>0</v>
      </c>
      <c r="M698" s="3"/>
      <c r="N698" s="3"/>
    </row>
    <row r="699" spans="1:15" ht="43.2" x14ac:dyDescent="0.3">
      <c r="A699" s="10" t="s">
        <v>2</v>
      </c>
      <c r="B699" s="10" t="s">
        <v>14</v>
      </c>
      <c r="C699" s="10" t="s">
        <v>15</v>
      </c>
      <c r="D699" s="10" t="s">
        <v>16</v>
      </c>
      <c r="E699" s="10" t="s">
        <v>17</v>
      </c>
      <c r="F699" s="10" t="s">
        <v>18</v>
      </c>
      <c r="G699" s="10" t="s">
        <v>19</v>
      </c>
      <c r="H699" s="10" t="s">
        <v>20</v>
      </c>
      <c r="I699" s="10" t="s">
        <v>21</v>
      </c>
      <c r="J699" s="10" t="s">
        <v>22</v>
      </c>
      <c r="K699" s="10" t="s">
        <v>23</v>
      </c>
      <c r="L699" s="10" t="s">
        <v>24</v>
      </c>
      <c r="M699" s="10" t="s">
        <v>25</v>
      </c>
      <c r="N699" s="10" t="s">
        <v>26</v>
      </c>
      <c r="O699" s="10" t="s">
        <v>27</v>
      </c>
    </row>
    <row r="700" spans="1:15" x14ac:dyDescent="0.3">
      <c r="A700" s="11" t="str">
        <f>C698</f>
        <v>Khatib Rahman</v>
      </c>
      <c r="B700" s="5" t="str" cm="1">
        <f t="array" ref="B700:M702">_xlfn.LET(
  _xlpm.data, _xlfn._xlws.FILTER('[1]Finanace - Incentive Data'!A:CA, '[1]Finanace - Incentive Data'!H:H=$C698),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Atif Munir</v>
      </c>
      <c r="C700" s="12">
        <v>2026</v>
      </c>
      <c r="D700" s="13">
        <v>46161</v>
      </c>
      <c r="E700" s="13">
        <v>0</v>
      </c>
      <c r="F700" s="5" t="str">
        <v>Cigniti</v>
      </c>
      <c r="G700" s="14" t="str">
        <v>PLC-4890</v>
      </c>
      <c r="H700" s="15" t="str">
        <v>C2C Canada</v>
      </c>
      <c r="I700" s="12" t="str">
        <v>-</v>
      </c>
      <c r="J700" s="5" t="str">
        <v>-</v>
      </c>
      <c r="K700" s="5">
        <v>72</v>
      </c>
      <c r="L700" s="8">
        <v>506.08800000000008</v>
      </c>
      <c r="M700" s="8">
        <v>0</v>
      </c>
      <c r="N700" s="8">
        <f>SUMIFS('[1]Finanace - Incentive Data'!BE:BE,'[1]Finanace - Incentive Data'!BS:BS,"Y",'[1]Finanace - Incentive Data'!H:H,$C$698,'[1]Finanace - Incentive Data'!R:R,$B700)</f>
        <v>0</v>
      </c>
      <c r="O700" s="8">
        <f>M700-N700</f>
        <v>0</v>
      </c>
    </row>
    <row r="701" spans="1:15" x14ac:dyDescent="0.3">
      <c r="A701" s="11"/>
      <c r="B701" s="5" t="str">
        <v>Sandeep Yadav Mukkamala</v>
      </c>
      <c r="C701" s="12">
        <v>2026</v>
      </c>
      <c r="D701" s="13">
        <v>46097</v>
      </c>
      <c r="E701" s="13">
        <v>0</v>
      </c>
      <c r="F701" s="5" t="str">
        <v>GRI</v>
      </c>
      <c r="G701" s="14" t="str">
        <v>PLC-4738</v>
      </c>
      <c r="H701" s="15" t="str">
        <v>C2C</v>
      </c>
      <c r="I701" s="12" t="str">
        <v>-</v>
      </c>
      <c r="J701" s="5" t="str">
        <v>-</v>
      </c>
      <c r="K701" s="5">
        <v>280</v>
      </c>
      <c r="L701" s="8">
        <v>2826.5371999999998</v>
      </c>
      <c r="M701" s="8">
        <v>0</v>
      </c>
      <c r="N701" s="8">
        <f>SUMIFS('[1]Finanace - Incentive Data'!BE:BE,'[1]Finanace - Incentive Data'!BS:BS,"Y",'[1]Finanace - Incentive Data'!H:H,$C$698,'[1]Finanace - Incentive Data'!R:R,$B701)</f>
        <v>0</v>
      </c>
      <c r="O701" s="8">
        <f t="shared" ref="O701:O718" si="28">M701-N701</f>
        <v>0</v>
      </c>
    </row>
    <row r="702" spans="1:15" x14ac:dyDescent="0.3">
      <c r="A702" s="11"/>
      <c r="B702" s="5" t="str">
        <v>Venkata Murali Krishna Telkapalli</v>
      </c>
      <c r="C702" s="12">
        <v>2026</v>
      </c>
      <c r="D702" s="13">
        <v>46134</v>
      </c>
      <c r="E702" s="13">
        <v>46170</v>
      </c>
      <c r="F702" s="5" t="str">
        <v>Fanatics</v>
      </c>
      <c r="G702" s="14" t="str">
        <v>PLC-4832</v>
      </c>
      <c r="H702" s="15" t="str">
        <v>C2C</v>
      </c>
      <c r="I702" s="12" t="str">
        <v>-</v>
      </c>
      <c r="J702" s="5" t="str">
        <v>-</v>
      </c>
      <c r="K702" s="5">
        <v>216</v>
      </c>
      <c r="L702" s="8">
        <v>4276.8</v>
      </c>
      <c r="M702" s="8">
        <v>0</v>
      </c>
      <c r="N702" s="8">
        <f>SUMIFS('[1]Finanace - Incentive Data'!BE:BE,'[1]Finanace - Incentive Data'!BS:BS,"Y",'[1]Finanace - Incentive Data'!H:H,$C$698,'[1]Finanace - Incentive Data'!R:R,$B702)</f>
        <v>0</v>
      </c>
      <c r="O702" s="8">
        <f t="shared" si="28"/>
        <v>0</v>
      </c>
    </row>
    <row r="703" spans="1:15" x14ac:dyDescent="0.3">
      <c r="A703" s="11"/>
      <c r="B703" s="5"/>
      <c r="C703" s="12"/>
      <c r="D703" s="13"/>
      <c r="E703" s="13"/>
      <c r="F703" s="5"/>
      <c r="G703" s="14"/>
      <c r="H703" s="15"/>
      <c r="I703" s="12"/>
      <c r="J703" s="5"/>
      <c r="K703" s="5"/>
      <c r="L703" s="8"/>
      <c r="M703" s="8"/>
      <c r="N703" s="8">
        <f>SUMIFS('[1]Finanace - Incentive Data'!BE:BE,'[1]Finanace - Incentive Data'!BS:BS,"Y",'[1]Finanace - Incentive Data'!H:H,$C$698,'[1]Finanace - Incentive Data'!R:R,$B703)</f>
        <v>0</v>
      </c>
      <c r="O703" s="8">
        <f t="shared" si="28"/>
        <v>0</v>
      </c>
    </row>
    <row r="704" spans="1:15" x14ac:dyDescent="0.3">
      <c r="A704" s="11"/>
      <c r="B704" s="5"/>
      <c r="C704" s="12"/>
      <c r="D704" s="13"/>
      <c r="E704" s="13"/>
      <c r="F704" s="5"/>
      <c r="G704" s="14"/>
      <c r="H704" s="15"/>
      <c r="I704" s="12"/>
      <c r="J704" s="5"/>
      <c r="K704" s="5"/>
      <c r="L704" s="8"/>
      <c r="M704" s="8"/>
      <c r="N704" s="8">
        <f>SUMIFS('[1]Finanace - Incentive Data'!BE:BE,'[1]Finanace - Incentive Data'!BS:BS,"Y",'[1]Finanace - Incentive Data'!H:H,$C$698,'[1]Finanace - Incentive Data'!R:R,$B704)</f>
        <v>0</v>
      </c>
      <c r="O704" s="8">
        <f t="shared" si="28"/>
        <v>0</v>
      </c>
    </row>
    <row r="705" spans="1:15" x14ac:dyDescent="0.3">
      <c r="A705" s="11"/>
      <c r="B705" s="5"/>
      <c r="C705" s="12"/>
      <c r="D705" s="13"/>
      <c r="E705" s="13"/>
      <c r="F705" s="5"/>
      <c r="G705" s="14"/>
      <c r="H705" s="15"/>
      <c r="I705" s="12"/>
      <c r="J705" s="5"/>
      <c r="K705" s="5"/>
      <c r="L705" s="8"/>
      <c r="M705" s="8"/>
      <c r="N705" s="8">
        <f>SUMIFS('[1]Finanace - Incentive Data'!BE:BE,'[1]Finanace - Incentive Data'!BS:BS,"Y",'[1]Finanace - Incentive Data'!H:H,$C$698,'[1]Finanace - Incentive Data'!R:R,$B705)</f>
        <v>0</v>
      </c>
      <c r="O705" s="8">
        <f t="shared" si="28"/>
        <v>0</v>
      </c>
    </row>
    <row r="706" spans="1:15" x14ac:dyDescent="0.3">
      <c r="A706" s="11"/>
      <c r="B706" s="5"/>
      <c r="C706" s="12"/>
      <c r="D706" s="13"/>
      <c r="E706" s="13"/>
      <c r="F706" s="5"/>
      <c r="G706" s="14"/>
      <c r="H706" s="15"/>
      <c r="I706" s="12"/>
      <c r="J706" s="5"/>
      <c r="K706" s="5"/>
      <c r="L706" s="8"/>
      <c r="M706" s="8"/>
      <c r="N706" s="8">
        <f>SUMIFS('[1]Finanace - Incentive Data'!BE:BE,'[1]Finanace - Incentive Data'!BS:BS,"Y",'[1]Finanace - Incentive Data'!H:H,$C$698,'[1]Finanace - Incentive Data'!R:R,$B706)</f>
        <v>0</v>
      </c>
      <c r="O706" s="8">
        <f t="shared" si="28"/>
        <v>0</v>
      </c>
    </row>
    <row r="707" spans="1:15" x14ac:dyDescent="0.3">
      <c r="A707" s="11"/>
      <c r="B707" s="5"/>
      <c r="C707" s="12"/>
      <c r="D707" s="13"/>
      <c r="E707" s="13"/>
      <c r="F707" s="5"/>
      <c r="G707" s="14"/>
      <c r="H707" s="15"/>
      <c r="I707" s="12"/>
      <c r="J707" s="5"/>
      <c r="K707" s="5"/>
      <c r="L707" s="8"/>
      <c r="M707" s="8"/>
      <c r="N707" s="8">
        <f>SUMIFS('[1]Finanace - Incentive Data'!BE:BE,'[1]Finanace - Incentive Data'!BS:BS,"Y",'[1]Finanace - Incentive Data'!H:H,$C$698,'[1]Finanace - Incentive Data'!R:R,$B707)</f>
        <v>0</v>
      </c>
      <c r="O707" s="8">
        <f t="shared" si="28"/>
        <v>0</v>
      </c>
    </row>
    <row r="708" spans="1:15" x14ac:dyDescent="0.3">
      <c r="A708" s="11"/>
      <c r="B708" s="5"/>
      <c r="C708" s="12"/>
      <c r="D708" s="13"/>
      <c r="E708" s="13"/>
      <c r="F708" s="5"/>
      <c r="G708" s="14"/>
      <c r="H708" s="15"/>
      <c r="I708" s="12"/>
      <c r="J708" s="5"/>
      <c r="K708" s="5"/>
      <c r="L708" s="8"/>
      <c r="M708" s="8"/>
      <c r="N708" s="8">
        <f>SUMIFS('[1]Finanace - Incentive Data'!BE:BE,'[1]Finanace - Incentive Data'!BS:BS,"Y",'[1]Finanace - Incentive Data'!H:H,$C$698,'[1]Finanace - Incentive Data'!R:R,$B708)</f>
        <v>0</v>
      </c>
      <c r="O708" s="8">
        <f t="shared" si="28"/>
        <v>0</v>
      </c>
    </row>
    <row r="709" spans="1:15" x14ac:dyDescent="0.3">
      <c r="A709" s="11"/>
      <c r="B709" s="5"/>
      <c r="C709" s="12"/>
      <c r="D709" s="13"/>
      <c r="E709" s="13"/>
      <c r="F709" s="5"/>
      <c r="G709" s="14"/>
      <c r="H709" s="15"/>
      <c r="I709" s="12"/>
      <c r="J709" s="5"/>
      <c r="K709" s="5"/>
      <c r="L709" s="8"/>
      <c r="M709" s="8"/>
      <c r="N709" s="8">
        <f>SUMIFS('[1]Finanace - Incentive Data'!BE:BE,'[1]Finanace - Incentive Data'!BS:BS,"Y",'[1]Finanace - Incentive Data'!H:H,$C$698,'[1]Finanace - Incentive Data'!R:R,$B709)</f>
        <v>0</v>
      </c>
      <c r="O709" s="8">
        <f t="shared" si="28"/>
        <v>0</v>
      </c>
    </row>
    <row r="710" spans="1:15" x14ac:dyDescent="0.3">
      <c r="A710" s="11"/>
      <c r="B710" s="5"/>
      <c r="C710" s="12"/>
      <c r="D710" s="13"/>
      <c r="E710" s="13"/>
      <c r="F710" s="5"/>
      <c r="G710" s="14"/>
      <c r="H710" s="15"/>
      <c r="I710" s="12"/>
      <c r="J710" s="5"/>
      <c r="K710" s="5"/>
      <c r="L710" s="8"/>
      <c r="M710" s="8"/>
      <c r="N710" s="8">
        <f>SUMIFS('[1]Finanace - Incentive Data'!BE:BE,'[1]Finanace - Incentive Data'!BS:BS,"Y",'[1]Finanace - Incentive Data'!H:H,$C$698,'[1]Finanace - Incentive Data'!R:R,$B710)</f>
        <v>0</v>
      </c>
      <c r="O710" s="8">
        <f t="shared" si="28"/>
        <v>0</v>
      </c>
    </row>
    <row r="711" spans="1:15" x14ac:dyDescent="0.3">
      <c r="A711" s="11"/>
      <c r="B711" s="5"/>
      <c r="C711" s="12"/>
      <c r="D711" s="13"/>
      <c r="E711" s="13"/>
      <c r="F711" s="5"/>
      <c r="G711" s="14"/>
      <c r="H711" s="15"/>
      <c r="I711" s="12"/>
      <c r="J711" s="5"/>
      <c r="K711" s="5"/>
      <c r="L711" s="8"/>
      <c r="M711" s="8"/>
      <c r="N711" s="8">
        <f>SUMIFS('[1]Finanace - Incentive Data'!BE:BE,'[1]Finanace - Incentive Data'!BS:BS,"Y",'[1]Finanace - Incentive Data'!H:H,$C$698,'[1]Finanace - Incentive Data'!R:R,$B711)</f>
        <v>0</v>
      </c>
      <c r="O711" s="8">
        <f t="shared" si="28"/>
        <v>0</v>
      </c>
    </row>
    <row r="712" spans="1:15" x14ac:dyDescent="0.3">
      <c r="A712" s="11"/>
      <c r="B712" s="5"/>
      <c r="C712" s="12"/>
      <c r="D712" s="13"/>
      <c r="E712" s="13"/>
      <c r="F712" s="5"/>
      <c r="G712" s="14"/>
      <c r="H712" s="15"/>
      <c r="I712" s="12"/>
      <c r="J712" s="5"/>
      <c r="K712" s="5"/>
      <c r="L712" s="8"/>
      <c r="M712" s="8"/>
      <c r="N712" s="8">
        <f>SUMIFS('[1]Finanace - Incentive Data'!BE:BE,'[1]Finanace - Incentive Data'!BS:BS,"Y",'[1]Finanace - Incentive Data'!H:H,$C$698,'[1]Finanace - Incentive Data'!R:R,$B712)</f>
        <v>0</v>
      </c>
      <c r="O712" s="8">
        <f t="shared" si="28"/>
        <v>0</v>
      </c>
    </row>
    <row r="713" spans="1:15" x14ac:dyDescent="0.3">
      <c r="A713" s="11"/>
      <c r="B713" s="5"/>
      <c r="C713" s="12"/>
      <c r="D713" s="13"/>
      <c r="E713" s="13"/>
      <c r="F713" s="5"/>
      <c r="G713" s="14"/>
      <c r="H713" s="15"/>
      <c r="I713" s="12"/>
      <c r="J713" s="5"/>
      <c r="K713" s="5"/>
      <c r="L713" s="8"/>
      <c r="M713" s="8"/>
      <c r="N713" s="8">
        <f>SUMIFS('[1]Finanace - Incentive Data'!BE:BE,'[1]Finanace - Incentive Data'!BS:BS,"Y",'[1]Finanace - Incentive Data'!H:H,$C$698,'[1]Finanace - Incentive Data'!R:R,$B713)</f>
        <v>0</v>
      </c>
      <c r="O713" s="8">
        <f t="shared" si="28"/>
        <v>0</v>
      </c>
    </row>
    <row r="714" spans="1:15" x14ac:dyDescent="0.3">
      <c r="A714" s="11"/>
      <c r="B714" s="5"/>
      <c r="C714" s="12"/>
      <c r="D714" s="13"/>
      <c r="E714" s="13"/>
      <c r="F714" s="5"/>
      <c r="G714" s="14"/>
      <c r="H714" s="15"/>
      <c r="I714" s="12"/>
      <c r="J714" s="5"/>
      <c r="K714" s="5"/>
      <c r="L714" s="8"/>
      <c r="M714" s="8"/>
      <c r="N714" s="8">
        <f>SUMIFS('[1]Finanace - Incentive Data'!BE:BE,'[1]Finanace - Incentive Data'!BS:BS,"Y",'[1]Finanace - Incentive Data'!H:H,$C$698,'[1]Finanace - Incentive Data'!R:R,$B714)</f>
        <v>0</v>
      </c>
      <c r="O714" s="8">
        <f t="shared" si="28"/>
        <v>0</v>
      </c>
    </row>
    <row r="715" spans="1:15" x14ac:dyDescent="0.3">
      <c r="A715" s="11"/>
      <c r="B715" s="5"/>
      <c r="C715" s="12"/>
      <c r="D715" s="13"/>
      <c r="E715" s="13"/>
      <c r="F715" s="5"/>
      <c r="G715" s="14"/>
      <c r="H715" s="15"/>
      <c r="I715" s="12"/>
      <c r="J715" s="5"/>
      <c r="K715" s="5"/>
      <c r="L715" s="8"/>
      <c r="M715" s="8"/>
      <c r="N715" s="8">
        <f>SUMIFS('[1]Finanace - Incentive Data'!BE:BE,'[1]Finanace - Incentive Data'!BS:BS,"Y",'[1]Finanace - Incentive Data'!H:H,$C$698,'[1]Finanace - Incentive Data'!R:R,$B715)</f>
        <v>0</v>
      </c>
      <c r="O715" s="8">
        <f t="shared" si="28"/>
        <v>0</v>
      </c>
    </row>
    <row r="716" spans="1:15" x14ac:dyDescent="0.3">
      <c r="A716" s="11"/>
      <c r="B716" s="5"/>
      <c r="C716" s="12"/>
      <c r="D716" s="13"/>
      <c r="E716" s="13"/>
      <c r="F716" s="5"/>
      <c r="G716" s="14"/>
      <c r="H716" s="15"/>
      <c r="I716" s="12"/>
      <c r="J716" s="5"/>
      <c r="K716" s="5"/>
      <c r="L716" s="8"/>
      <c r="M716" s="8"/>
      <c r="N716" s="8">
        <f>SUMIFS('[1]Finanace - Incentive Data'!BE:BE,'[1]Finanace - Incentive Data'!BS:BS,"Y",'[1]Finanace - Incentive Data'!H:H,$C$698,'[1]Finanace - Incentive Data'!R:R,$B716)</f>
        <v>0</v>
      </c>
      <c r="O716" s="8">
        <f t="shared" si="28"/>
        <v>0</v>
      </c>
    </row>
    <row r="717" spans="1:15" x14ac:dyDescent="0.3">
      <c r="A717" s="11"/>
      <c r="B717" s="5"/>
      <c r="C717" s="12"/>
      <c r="D717" s="13"/>
      <c r="E717" s="13"/>
      <c r="F717" s="5"/>
      <c r="G717" s="14"/>
      <c r="H717" s="15"/>
      <c r="I717" s="12"/>
      <c r="J717" s="5"/>
      <c r="K717" s="5"/>
      <c r="L717" s="8"/>
      <c r="M717" s="8"/>
      <c r="N717" s="8">
        <f>SUMIFS('[1]Finanace - Incentive Data'!BE:BE,'[1]Finanace - Incentive Data'!BS:BS,"Y",'[1]Finanace - Incentive Data'!H:H,$C$698,'[1]Finanace - Incentive Data'!R:R,$B717)</f>
        <v>0</v>
      </c>
      <c r="O717" s="8">
        <f t="shared" si="28"/>
        <v>0</v>
      </c>
    </row>
    <row r="718" spans="1:15" x14ac:dyDescent="0.3">
      <c r="A718" s="11"/>
      <c r="B718" s="5"/>
      <c r="C718" s="12"/>
      <c r="D718" s="13"/>
      <c r="E718" s="13"/>
      <c r="F718" s="5"/>
      <c r="G718" s="14"/>
      <c r="H718" s="15"/>
      <c r="I718" s="12"/>
      <c r="J718" s="5"/>
      <c r="K718" s="5"/>
      <c r="L718" s="8"/>
      <c r="M718" s="8"/>
      <c r="N718" s="8">
        <f>SUMIFS('[1]Finanace - Incentive Data'!BE:BE,'[1]Finanace - Incentive Data'!BS:BS,"Y",'[1]Finanace - Incentive Data'!H:H,$C$698,'[1]Finanace - Incentive Data'!R:R,$B718)</f>
        <v>0</v>
      </c>
      <c r="O718" s="8">
        <f t="shared" si="28"/>
        <v>0</v>
      </c>
    </row>
    <row r="721" spans="1:15" ht="43.2" x14ac:dyDescent="0.3">
      <c r="A721" s="1" t="s">
        <v>0</v>
      </c>
      <c r="B721" s="1" t="s">
        <v>1</v>
      </c>
      <c r="C721" s="1" t="s">
        <v>2</v>
      </c>
      <c r="D721" s="1" t="s">
        <v>3</v>
      </c>
      <c r="E721" s="1" t="s">
        <v>4</v>
      </c>
      <c r="F721" s="1" t="s">
        <v>5</v>
      </c>
      <c r="G721" s="1" t="s">
        <v>6</v>
      </c>
      <c r="H721" s="1" t="s">
        <v>7</v>
      </c>
      <c r="I721" s="1" t="s">
        <v>8</v>
      </c>
      <c r="J721" s="1" t="s">
        <v>9</v>
      </c>
      <c r="K721" s="2" t="s">
        <v>10</v>
      </c>
      <c r="L721" s="2" t="s">
        <v>11</v>
      </c>
      <c r="M721" s="3"/>
      <c r="N721" s="3"/>
    </row>
    <row r="722" spans="1:15" x14ac:dyDescent="0.3">
      <c r="A722" s="5" t="s">
        <v>12</v>
      </c>
      <c r="B722" s="4" t="str">
        <f>_xlfn.XLOOKUP($C722,'[1]Basic EMP Data - 2026'!$D$3:$D$224,'[1]Basic EMP Data - 2026'!$C$3:$C$224)</f>
        <v>VB1932</v>
      </c>
      <c r="C722" s="6" t="s">
        <v>54</v>
      </c>
      <c r="D722" s="5" t="str">
        <f>VLOOKUP($B722,'[1]Basic EMP Data - 2026'!$C$3:$F$224,3,0)</f>
        <v>Khatib Rahman</v>
      </c>
      <c r="E722" s="5">
        <f>VLOOKUP($B722,'[1]Basic EMP Data - 2026'!$C$3:$I$224,5,0)</f>
        <v>5</v>
      </c>
      <c r="F722" s="5">
        <f>VLOOKUP($B722,'[1]Basic EMP Data - 2026'!$C$3:$I$224,6,0)</f>
        <v>0</v>
      </c>
      <c r="G722" s="7">
        <f>F722/E722</f>
        <v>0</v>
      </c>
      <c r="H722" s="8">
        <f>SUM(L724:L742)</f>
        <v>0</v>
      </c>
      <c r="I722" s="9" cm="1">
        <f t="array" ref="I722">_xlfn.IFS($G722&lt;=34%,0%,$G722&lt;=75%,3%,$G722&lt;=120%,4%,$G722&gt;120%,5%)</f>
        <v>0</v>
      </c>
      <c r="J722" s="8" cm="1">
        <f t="array" ref="J722">SUMPRODUCT((C724:C742=2026)*M724:M742*2)</f>
        <v>0</v>
      </c>
      <c r="K722" s="5">
        <f>SUM(N724:N742)</f>
        <v>0</v>
      </c>
      <c r="L722" s="8">
        <f>J722-K722</f>
        <v>0</v>
      </c>
      <c r="M722" s="3"/>
      <c r="N722" s="3"/>
    </row>
    <row r="723" spans="1:15" ht="43.2" x14ac:dyDescent="0.3">
      <c r="A723" s="10" t="s">
        <v>2</v>
      </c>
      <c r="B723" s="10" t="s">
        <v>14</v>
      </c>
      <c r="C723" s="10" t="s">
        <v>15</v>
      </c>
      <c r="D723" s="10" t="s">
        <v>16</v>
      </c>
      <c r="E723" s="10" t="s">
        <v>17</v>
      </c>
      <c r="F723" s="10" t="s">
        <v>18</v>
      </c>
      <c r="G723" s="10" t="s">
        <v>19</v>
      </c>
      <c r="H723" s="10" t="s">
        <v>20</v>
      </c>
      <c r="I723" s="10" t="s">
        <v>21</v>
      </c>
      <c r="J723" s="10" t="s">
        <v>22</v>
      </c>
      <c r="K723" s="10" t="s">
        <v>23</v>
      </c>
      <c r="L723" s="10" t="s">
        <v>24</v>
      </c>
      <c r="M723" s="10" t="s">
        <v>25</v>
      </c>
      <c r="N723" s="10" t="s">
        <v>26</v>
      </c>
      <c r="O723" s="10" t="s">
        <v>27</v>
      </c>
    </row>
    <row r="724" spans="1:15" x14ac:dyDescent="0.3">
      <c r="A724" s="11" t="str">
        <f>C722</f>
        <v>Vasudev Srivastava</v>
      </c>
      <c r="B724" s="5" t="e" cm="1" vm="1">
        <f t="array" ref="B724">_xlfn.LET(
  _xlpm.data, _xlfn._xlws.FILTER('[1]Finanace - Incentive Data'!A:CA, '[1]Finanace - Incentive Data'!H:H=$C722),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724" s="12"/>
      <c r="D724" s="13"/>
      <c r="E724" s="13"/>
      <c r="F724" s="5"/>
      <c r="G724" s="14"/>
      <c r="H724" s="15"/>
      <c r="I724" s="12"/>
      <c r="J724" s="5"/>
      <c r="K724" s="5"/>
      <c r="L724" s="8"/>
      <c r="M724" s="8"/>
      <c r="N724" s="8">
        <f>SUMIFS('[1]Finanace - Incentive Data'!BE:BE,'[1]Finanace - Incentive Data'!BS:BS,"Y",'[1]Finanace - Incentive Data'!H:H,$C$722,'[1]Finanace - Incentive Data'!R:R,$B724)</f>
        <v>0</v>
      </c>
      <c r="O724" s="8">
        <f>M724-N724</f>
        <v>0</v>
      </c>
    </row>
    <row r="725" spans="1:15" x14ac:dyDescent="0.3">
      <c r="A725" s="11"/>
      <c r="B725" s="5"/>
      <c r="C725" s="12"/>
      <c r="D725" s="13"/>
      <c r="E725" s="13"/>
      <c r="F725" s="5"/>
      <c r="G725" s="14"/>
      <c r="H725" s="15"/>
      <c r="I725" s="12"/>
      <c r="J725" s="5"/>
      <c r="K725" s="5"/>
      <c r="L725" s="8"/>
      <c r="M725" s="8"/>
      <c r="N725" s="8">
        <f>SUMIFS('[1]Finanace - Incentive Data'!BE:BE,'[1]Finanace - Incentive Data'!BS:BS,"Y",'[1]Finanace - Incentive Data'!H:H,$C$722,'[1]Finanace - Incentive Data'!R:R,$B725)</f>
        <v>0</v>
      </c>
      <c r="O725" s="8">
        <f t="shared" ref="O725:O742" si="29">M725-N725</f>
        <v>0</v>
      </c>
    </row>
    <row r="726" spans="1:15" x14ac:dyDescent="0.3">
      <c r="A726" s="11"/>
      <c r="B726" s="5"/>
      <c r="C726" s="12"/>
      <c r="D726" s="13"/>
      <c r="E726" s="13"/>
      <c r="F726" s="5"/>
      <c r="G726" s="14"/>
      <c r="H726" s="15"/>
      <c r="I726" s="12"/>
      <c r="J726" s="5"/>
      <c r="K726" s="5"/>
      <c r="L726" s="8"/>
      <c r="M726" s="8"/>
      <c r="N726" s="8">
        <f>SUMIFS('[1]Finanace - Incentive Data'!BE:BE,'[1]Finanace - Incentive Data'!BS:BS,"Y",'[1]Finanace - Incentive Data'!H:H,$C$722,'[1]Finanace - Incentive Data'!R:R,$B726)</f>
        <v>0</v>
      </c>
      <c r="O726" s="8">
        <f t="shared" si="29"/>
        <v>0</v>
      </c>
    </row>
    <row r="727" spans="1:15" x14ac:dyDescent="0.3">
      <c r="A727" s="11"/>
      <c r="B727" s="5"/>
      <c r="C727" s="12"/>
      <c r="D727" s="13"/>
      <c r="E727" s="13"/>
      <c r="F727" s="5"/>
      <c r="G727" s="14"/>
      <c r="H727" s="15"/>
      <c r="I727" s="12"/>
      <c r="J727" s="5"/>
      <c r="K727" s="5"/>
      <c r="L727" s="8"/>
      <c r="M727" s="8"/>
      <c r="N727" s="8">
        <f>SUMIFS('[1]Finanace - Incentive Data'!BE:BE,'[1]Finanace - Incentive Data'!BS:BS,"Y",'[1]Finanace - Incentive Data'!H:H,$C$722,'[1]Finanace - Incentive Data'!R:R,$B727)</f>
        <v>0</v>
      </c>
      <c r="O727" s="8">
        <f t="shared" si="29"/>
        <v>0</v>
      </c>
    </row>
    <row r="728" spans="1:15" x14ac:dyDescent="0.3">
      <c r="A728" s="11"/>
      <c r="B728" s="5"/>
      <c r="C728" s="12"/>
      <c r="D728" s="13"/>
      <c r="E728" s="13"/>
      <c r="F728" s="5"/>
      <c r="G728" s="14"/>
      <c r="H728" s="15"/>
      <c r="I728" s="12"/>
      <c r="J728" s="5"/>
      <c r="K728" s="5"/>
      <c r="L728" s="8"/>
      <c r="M728" s="8"/>
      <c r="N728" s="8">
        <f>SUMIFS('[1]Finanace - Incentive Data'!BE:BE,'[1]Finanace - Incentive Data'!BS:BS,"Y",'[1]Finanace - Incentive Data'!H:H,$C$722,'[1]Finanace - Incentive Data'!R:R,$B728)</f>
        <v>0</v>
      </c>
      <c r="O728" s="8">
        <f t="shared" si="29"/>
        <v>0</v>
      </c>
    </row>
    <row r="729" spans="1:15" x14ac:dyDescent="0.3">
      <c r="A729" s="11"/>
      <c r="B729" s="5"/>
      <c r="C729" s="12"/>
      <c r="D729" s="13"/>
      <c r="E729" s="13"/>
      <c r="F729" s="5"/>
      <c r="G729" s="14"/>
      <c r="H729" s="15"/>
      <c r="I729" s="12"/>
      <c r="J729" s="5"/>
      <c r="K729" s="5"/>
      <c r="L729" s="8"/>
      <c r="M729" s="8"/>
      <c r="N729" s="8">
        <f>SUMIFS('[1]Finanace - Incentive Data'!BE:BE,'[1]Finanace - Incentive Data'!BS:BS,"Y",'[1]Finanace - Incentive Data'!H:H,$C$722,'[1]Finanace - Incentive Data'!R:R,$B729)</f>
        <v>0</v>
      </c>
      <c r="O729" s="8">
        <f t="shared" si="29"/>
        <v>0</v>
      </c>
    </row>
    <row r="730" spans="1:15" x14ac:dyDescent="0.3">
      <c r="A730" s="11"/>
      <c r="B730" s="5"/>
      <c r="C730" s="12"/>
      <c r="D730" s="13"/>
      <c r="E730" s="13"/>
      <c r="F730" s="5"/>
      <c r="G730" s="14"/>
      <c r="H730" s="15"/>
      <c r="I730" s="12"/>
      <c r="J730" s="5"/>
      <c r="K730" s="5"/>
      <c r="L730" s="8"/>
      <c r="M730" s="8"/>
      <c r="N730" s="8">
        <f>SUMIFS('[1]Finanace - Incentive Data'!BE:BE,'[1]Finanace - Incentive Data'!BS:BS,"Y",'[1]Finanace - Incentive Data'!H:H,$C$722,'[1]Finanace - Incentive Data'!R:R,$B730)</f>
        <v>0</v>
      </c>
      <c r="O730" s="8">
        <f t="shared" si="29"/>
        <v>0</v>
      </c>
    </row>
    <row r="731" spans="1:15" x14ac:dyDescent="0.3">
      <c r="A731" s="11"/>
      <c r="B731" s="5"/>
      <c r="C731" s="12"/>
      <c r="D731" s="13"/>
      <c r="E731" s="13"/>
      <c r="F731" s="5"/>
      <c r="G731" s="14"/>
      <c r="H731" s="15"/>
      <c r="I731" s="12"/>
      <c r="J731" s="5"/>
      <c r="K731" s="5"/>
      <c r="L731" s="8"/>
      <c r="M731" s="8"/>
      <c r="N731" s="8">
        <f>SUMIFS('[1]Finanace - Incentive Data'!BE:BE,'[1]Finanace - Incentive Data'!BS:BS,"Y",'[1]Finanace - Incentive Data'!H:H,$C$722,'[1]Finanace - Incentive Data'!R:R,$B731)</f>
        <v>0</v>
      </c>
      <c r="O731" s="8">
        <f t="shared" si="29"/>
        <v>0</v>
      </c>
    </row>
    <row r="732" spans="1:15" x14ac:dyDescent="0.3">
      <c r="A732" s="11"/>
      <c r="B732" s="5"/>
      <c r="C732" s="12"/>
      <c r="D732" s="13"/>
      <c r="E732" s="13"/>
      <c r="F732" s="5"/>
      <c r="G732" s="14"/>
      <c r="H732" s="15"/>
      <c r="I732" s="12"/>
      <c r="J732" s="5"/>
      <c r="K732" s="5"/>
      <c r="L732" s="8"/>
      <c r="M732" s="8"/>
      <c r="N732" s="8">
        <f>SUMIFS('[1]Finanace - Incentive Data'!BE:BE,'[1]Finanace - Incentive Data'!BS:BS,"Y",'[1]Finanace - Incentive Data'!H:H,$C$722,'[1]Finanace - Incentive Data'!R:R,$B732)</f>
        <v>0</v>
      </c>
      <c r="O732" s="8">
        <f t="shared" si="29"/>
        <v>0</v>
      </c>
    </row>
    <row r="733" spans="1:15" x14ac:dyDescent="0.3">
      <c r="A733" s="11"/>
      <c r="B733" s="5"/>
      <c r="C733" s="12"/>
      <c r="D733" s="13"/>
      <c r="E733" s="13"/>
      <c r="F733" s="5"/>
      <c r="G733" s="14"/>
      <c r="H733" s="15"/>
      <c r="I733" s="12"/>
      <c r="J733" s="5"/>
      <c r="K733" s="5"/>
      <c r="L733" s="8"/>
      <c r="M733" s="8"/>
      <c r="N733" s="8">
        <f>SUMIFS('[1]Finanace - Incentive Data'!BE:BE,'[1]Finanace - Incentive Data'!BS:BS,"Y",'[1]Finanace - Incentive Data'!H:H,$C$722,'[1]Finanace - Incentive Data'!R:R,$B733)</f>
        <v>0</v>
      </c>
      <c r="O733" s="8">
        <f t="shared" si="29"/>
        <v>0</v>
      </c>
    </row>
    <row r="734" spans="1:15" x14ac:dyDescent="0.3">
      <c r="A734" s="11"/>
      <c r="B734" s="5"/>
      <c r="C734" s="12"/>
      <c r="D734" s="13"/>
      <c r="E734" s="13"/>
      <c r="F734" s="5"/>
      <c r="G734" s="14"/>
      <c r="H734" s="15"/>
      <c r="I734" s="12"/>
      <c r="J734" s="5"/>
      <c r="K734" s="5"/>
      <c r="L734" s="8"/>
      <c r="M734" s="8"/>
      <c r="N734" s="8">
        <f>SUMIFS('[1]Finanace - Incentive Data'!BE:BE,'[1]Finanace - Incentive Data'!BS:BS,"Y",'[1]Finanace - Incentive Data'!H:H,$C$722,'[1]Finanace - Incentive Data'!R:R,$B734)</f>
        <v>0</v>
      </c>
      <c r="O734" s="8">
        <f t="shared" si="29"/>
        <v>0</v>
      </c>
    </row>
    <row r="735" spans="1:15" x14ac:dyDescent="0.3">
      <c r="A735" s="11"/>
      <c r="B735" s="5"/>
      <c r="C735" s="12"/>
      <c r="D735" s="13"/>
      <c r="E735" s="13"/>
      <c r="F735" s="5"/>
      <c r="G735" s="14"/>
      <c r="H735" s="15"/>
      <c r="I735" s="12"/>
      <c r="J735" s="5"/>
      <c r="K735" s="5"/>
      <c r="L735" s="8"/>
      <c r="M735" s="8"/>
      <c r="N735" s="8">
        <f>SUMIFS('[1]Finanace - Incentive Data'!BE:BE,'[1]Finanace - Incentive Data'!BS:BS,"Y",'[1]Finanace - Incentive Data'!H:H,$C$722,'[1]Finanace - Incentive Data'!R:R,$B735)</f>
        <v>0</v>
      </c>
      <c r="O735" s="8">
        <f t="shared" si="29"/>
        <v>0</v>
      </c>
    </row>
    <row r="736" spans="1:15" x14ac:dyDescent="0.3">
      <c r="A736" s="11"/>
      <c r="B736" s="5"/>
      <c r="C736" s="12"/>
      <c r="D736" s="13"/>
      <c r="E736" s="13"/>
      <c r="F736" s="5"/>
      <c r="G736" s="14"/>
      <c r="H736" s="15"/>
      <c r="I736" s="12"/>
      <c r="J736" s="5"/>
      <c r="K736" s="5"/>
      <c r="L736" s="8"/>
      <c r="M736" s="8"/>
      <c r="N736" s="8">
        <f>SUMIFS('[1]Finanace - Incentive Data'!BE:BE,'[1]Finanace - Incentive Data'!BS:BS,"Y",'[1]Finanace - Incentive Data'!H:H,$C$722,'[1]Finanace - Incentive Data'!R:R,$B736)</f>
        <v>0</v>
      </c>
      <c r="O736" s="8">
        <f t="shared" si="29"/>
        <v>0</v>
      </c>
    </row>
    <row r="737" spans="1:15" x14ac:dyDescent="0.3">
      <c r="A737" s="11"/>
      <c r="B737" s="5"/>
      <c r="C737" s="12"/>
      <c r="D737" s="13"/>
      <c r="E737" s="13"/>
      <c r="F737" s="5"/>
      <c r="G737" s="14"/>
      <c r="H737" s="15"/>
      <c r="I737" s="12"/>
      <c r="J737" s="5"/>
      <c r="K737" s="5"/>
      <c r="L737" s="8"/>
      <c r="M737" s="8"/>
      <c r="N737" s="8">
        <f>SUMIFS('[1]Finanace - Incentive Data'!BE:BE,'[1]Finanace - Incentive Data'!BS:BS,"Y",'[1]Finanace - Incentive Data'!H:H,$C$722,'[1]Finanace - Incentive Data'!R:R,$B737)</f>
        <v>0</v>
      </c>
      <c r="O737" s="8">
        <f t="shared" si="29"/>
        <v>0</v>
      </c>
    </row>
    <row r="738" spans="1:15" x14ac:dyDescent="0.3">
      <c r="A738" s="11"/>
      <c r="B738" s="5"/>
      <c r="C738" s="12"/>
      <c r="D738" s="13"/>
      <c r="E738" s="13"/>
      <c r="F738" s="5"/>
      <c r="G738" s="14"/>
      <c r="H738" s="15"/>
      <c r="I738" s="12"/>
      <c r="J738" s="5"/>
      <c r="K738" s="5"/>
      <c r="L738" s="8"/>
      <c r="M738" s="8"/>
      <c r="N738" s="8">
        <f>SUMIFS('[1]Finanace - Incentive Data'!BE:BE,'[1]Finanace - Incentive Data'!BS:BS,"Y",'[1]Finanace - Incentive Data'!H:H,$C$722,'[1]Finanace - Incentive Data'!R:R,$B738)</f>
        <v>0</v>
      </c>
      <c r="O738" s="8">
        <f t="shared" si="29"/>
        <v>0</v>
      </c>
    </row>
    <row r="739" spans="1:15" x14ac:dyDescent="0.3">
      <c r="A739" s="11"/>
      <c r="B739" s="5"/>
      <c r="C739" s="12"/>
      <c r="D739" s="13"/>
      <c r="E739" s="13"/>
      <c r="F739" s="5"/>
      <c r="G739" s="14"/>
      <c r="H739" s="15"/>
      <c r="I739" s="12"/>
      <c r="J739" s="5"/>
      <c r="K739" s="5"/>
      <c r="L739" s="8"/>
      <c r="M739" s="8"/>
      <c r="N739" s="8">
        <f>SUMIFS('[1]Finanace - Incentive Data'!BE:BE,'[1]Finanace - Incentive Data'!BS:BS,"Y",'[1]Finanace - Incentive Data'!H:H,$C$722,'[1]Finanace - Incentive Data'!R:R,$B739)</f>
        <v>0</v>
      </c>
      <c r="O739" s="8">
        <f t="shared" si="29"/>
        <v>0</v>
      </c>
    </row>
    <row r="740" spans="1:15" x14ac:dyDescent="0.3">
      <c r="A740" s="11"/>
      <c r="B740" s="5"/>
      <c r="C740" s="12"/>
      <c r="D740" s="13"/>
      <c r="E740" s="13"/>
      <c r="F740" s="5"/>
      <c r="G740" s="14"/>
      <c r="H740" s="15"/>
      <c r="I740" s="12"/>
      <c r="J740" s="5"/>
      <c r="K740" s="5"/>
      <c r="L740" s="8"/>
      <c r="M740" s="8"/>
      <c r="N740" s="8">
        <f>SUMIFS('[1]Finanace - Incentive Data'!BE:BE,'[1]Finanace - Incentive Data'!BS:BS,"Y",'[1]Finanace - Incentive Data'!H:H,$C$722,'[1]Finanace - Incentive Data'!R:R,$B740)</f>
        <v>0</v>
      </c>
      <c r="O740" s="8">
        <f t="shared" si="29"/>
        <v>0</v>
      </c>
    </row>
    <row r="741" spans="1:15" x14ac:dyDescent="0.3">
      <c r="A741" s="11"/>
      <c r="B741" s="5"/>
      <c r="C741" s="12"/>
      <c r="D741" s="13"/>
      <c r="E741" s="13"/>
      <c r="F741" s="5"/>
      <c r="G741" s="14"/>
      <c r="H741" s="15"/>
      <c r="I741" s="12"/>
      <c r="J741" s="5"/>
      <c r="K741" s="5"/>
      <c r="L741" s="8"/>
      <c r="M741" s="8"/>
      <c r="N741" s="8">
        <f>SUMIFS('[1]Finanace - Incentive Data'!BE:BE,'[1]Finanace - Incentive Data'!BS:BS,"Y",'[1]Finanace - Incentive Data'!H:H,$C$722,'[1]Finanace - Incentive Data'!R:R,$B741)</f>
        <v>0</v>
      </c>
      <c r="O741" s="8">
        <f t="shared" si="29"/>
        <v>0</v>
      </c>
    </row>
    <row r="742" spans="1:15" x14ac:dyDescent="0.3">
      <c r="A742" s="11"/>
      <c r="B742" s="5"/>
      <c r="C742" s="12"/>
      <c r="D742" s="13"/>
      <c r="E742" s="13"/>
      <c r="F742" s="5"/>
      <c r="G742" s="14"/>
      <c r="H742" s="15"/>
      <c r="I742" s="12"/>
      <c r="J742" s="5"/>
      <c r="K742" s="5"/>
      <c r="L742" s="8"/>
      <c r="M742" s="8"/>
      <c r="N742" s="8">
        <f>SUMIFS('[1]Finanace - Incentive Data'!BE:BE,'[1]Finanace - Incentive Data'!BS:BS,"Y",'[1]Finanace - Incentive Data'!H:H,$C$722,'[1]Finanace - Incentive Data'!R:R,$B742)</f>
        <v>0</v>
      </c>
      <c r="O742" s="8">
        <f t="shared" si="29"/>
        <v>0</v>
      </c>
    </row>
    <row r="745" spans="1:15" ht="43.2" x14ac:dyDescent="0.3">
      <c r="A745" s="1" t="s">
        <v>0</v>
      </c>
      <c r="B745" s="1" t="s">
        <v>1</v>
      </c>
      <c r="C745" s="1" t="s">
        <v>2</v>
      </c>
      <c r="D745" s="1" t="s">
        <v>3</v>
      </c>
      <c r="E745" s="1" t="s">
        <v>4</v>
      </c>
      <c r="F745" s="1" t="s">
        <v>5</v>
      </c>
      <c r="G745" s="1" t="s">
        <v>6</v>
      </c>
      <c r="H745" s="1" t="s">
        <v>7</v>
      </c>
      <c r="I745" s="1" t="s">
        <v>8</v>
      </c>
      <c r="J745" s="1" t="s">
        <v>9</v>
      </c>
      <c r="K745" s="2" t="s">
        <v>10</v>
      </c>
      <c r="L745" s="2" t="s">
        <v>11</v>
      </c>
      <c r="M745" s="3"/>
      <c r="N745" s="3"/>
    </row>
    <row r="746" spans="1:15" x14ac:dyDescent="0.3">
      <c r="A746" s="5" t="s">
        <v>12</v>
      </c>
      <c r="B746" s="4" t="str">
        <f>_xlfn.XLOOKUP($C746,'[1]Basic EMP Data - 2026'!$D$3:$D$224,'[1]Basic EMP Data - 2026'!$C$3:$C$224)</f>
        <v>VB2242</v>
      </c>
      <c r="C746" s="6" t="s">
        <v>55</v>
      </c>
      <c r="D746" s="5" t="str">
        <f>VLOOKUP($B746,'[1]Basic EMP Data - 2026'!$C$3:$F$224,3,0)</f>
        <v>Khatib Rahman</v>
      </c>
      <c r="E746" s="5">
        <f>VLOOKUP($B746,'[1]Basic EMP Data - 2026'!$C$3:$I$224,5,0)</f>
        <v>4</v>
      </c>
      <c r="F746" s="5">
        <f>VLOOKUP($B746,'[1]Basic EMP Data - 2026'!$C$3:$I$224,6,0)</f>
        <v>2</v>
      </c>
      <c r="G746" s="7">
        <f>F746/E746</f>
        <v>0.5</v>
      </c>
      <c r="H746" s="8">
        <f>SUM(L748:L766)</f>
        <v>6200.1224999999995</v>
      </c>
      <c r="I746" s="9" cm="1">
        <f t="array" ref="I746">_xlfn.IFS($G746&lt;=34%,0%,$G746&lt;=75%,3%,$G746&lt;=120%,4%,$G746&gt;120%,5%)</f>
        <v>0.03</v>
      </c>
      <c r="J746" s="8" cm="1">
        <f t="array" ref="J746">SUMPRODUCT((C748:C766=2026)*M748:M766*2)</f>
        <v>16368.323400000001</v>
      </c>
      <c r="K746" s="5">
        <f>SUM(N748:N766)</f>
        <v>5605.5186000000003</v>
      </c>
      <c r="L746" s="8">
        <f>J746-K746</f>
        <v>10762.804800000002</v>
      </c>
      <c r="M746" s="3"/>
      <c r="N746" s="3"/>
    </row>
    <row r="747" spans="1:15" ht="43.2" x14ac:dyDescent="0.3">
      <c r="A747" s="10" t="s">
        <v>2</v>
      </c>
      <c r="B747" s="10" t="s">
        <v>14</v>
      </c>
      <c r="C747" s="10" t="s">
        <v>15</v>
      </c>
      <c r="D747" s="10" t="s">
        <v>16</v>
      </c>
      <c r="E747" s="10" t="s">
        <v>17</v>
      </c>
      <c r="F747" s="10" t="s">
        <v>18</v>
      </c>
      <c r="G747" s="10" t="s">
        <v>19</v>
      </c>
      <c r="H747" s="10" t="s">
        <v>20</v>
      </c>
      <c r="I747" s="10" t="s">
        <v>21</v>
      </c>
      <c r="J747" s="10" t="s">
        <v>22</v>
      </c>
      <c r="K747" s="10" t="s">
        <v>23</v>
      </c>
      <c r="L747" s="10" t="s">
        <v>24</v>
      </c>
      <c r="M747" s="10" t="s">
        <v>25</v>
      </c>
      <c r="N747" s="10" t="s">
        <v>26</v>
      </c>
      <c r="O747" s="10" t="s">
        <v>27</v>
      </c>
    </row>
    <row r="748" spans="1:15" x14ac:dyDescent="0.3">
      <c r="A748" s="11" t="str">
        <f>C746</f>
        <v>Shraddha Patel</v>
      </c>
      <c r="B748" s="5" t="str" cm="1">
        <f t="array" ref="B748:M749">_xlfn.LET(
  _xlpm.data, _xlfn._xlws.FILTER('[1]Finanace - Incentive Data'!A:CA, '[1]Finanace - Incentive Data'!H:H=$C746),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Karthigeyan T Thevar</v>
      </c>
      <c r="C748" s="12">
        <v>2026</v>
      </c>
      <c r="D748" s="13">
        <v>46055</v>
      </c>
      <c r="E748" s="13">
        <v>46150</v>
      </c>
      <c r="F748" s="5" t="str">
        <v>Nous Infosystems</v>
      </c>
      <c r="G748" s="14" t="str">
        <v>PLC-4686</v>
      </c>
      <c r="H748" s="15" t="str">
        <v>W2</v>
      </c>
      <c r="I748" s="12" t="str">
        <v>-</v>
      </c>
      <c r="J748" s="5" t="str">
        <v>-</v>
      </c>
      <c r="K748" s="5">
        <v>569.5</v>
      </c>
      <c r="L748" s="8">
        <v>4679.4824999999992</v>
      </c>
      <c r="M748" s="8">
        <v>6176.9169000000002</v>
      </c>
      <c r="N748" s="8">
        <f>SUMIFS('[1]Finanace - Incentive Data'!BE:BE,'[1]Finanace - Incentive Data'!BS:BS,"Y",'[1]Finanace - Incentive Data'!H:H,$C$746,'[1]Finanace - Incentive Data'!R:R,$B748)</f>
        <v>5605.5186000000003</v>
      </c>
      <c r="O748" s="8">
        <f>M748-N748</f>
        <v>571.39829999999984</v>
      </c>
    </row>
    <row r="749" spans="1:15" x14ac:dyDescent="0.3">
      <c r="A749" s="11"/>
      <c r="B749" s="5" t="str">
        <v>Sravan Kumar Gone</v>
      </c>
      <c r="C749" s="12">
        <v>2026</v>
      </c>
      <c r="D749" s="13">
        <v>46127</v>
      </c>
      <c r="E749" s="13">
        <v>0</v>
      </c>
      <c r="F749" s="5" t="str">
        <v>Cigniti</v>
      </c>
      <c r="G749" s="14" t="str">
        <v>PLC-2258</v>
      </c>
      <c r="H749" s="15" t="str">
        <v>C2C</v>
      </c>
      <c r="I749" s="12" t="str">
        <v>-</v>
      </c>
      <c r="J749" s="5" t="str">
        <v>-</v>
      </c>
      <c r="K749" s="5">
        <v>256</v>
      </c>
      <c r="L749" s="8">
        <v>1520.6399999999999</v>
      </c>
      <c r="M749" s="8">
        <v>2007.2447999999999</v>
      </c>
      <c r="N749" s="8">
        <f>SUMIFS('[1]Finanace - Incentive Data'!BE:BE,'[1]Finanace - Incentive Data'!BS:BS,"Y",'[1]Finanace - Incentive Data'!H:H,$C$746,'[1]Finanace - Incentive Data'!R:R,$B749)</f>
        <v>0</v>
      </c>
      <c r="O749" s="8">
        <f t="shared" ref="O749:O766" si="30">M749-N749</f>
        <v>2007.2447999999999</v>
      </c>
    </row>
    <row r="750" spans="1:15" x14ac:dyDescent="0.3">
      <c r="A750" s="11"/>
      <c r="B750" s="5"/>
      <c r="C750" s="12"/>
      <c r="D750" s="13"/>
      <c r="E750" s="13"/>
      <c r="F750" s="5"/>
      <c r="G750" s="14"/>
      <c r="H750" s="15"/>
      <c r="I750" s="12"/>
      <c r="J750" s="5"/>
      <c r="K750" s="5"/>
      <c r="L750" s="8"/>
      <c r="M750" s="8"/>
      <c r="N750" s="8">
        <f>SUMIFS('[1]Finanace - Incentive Data'!BE:BE,'[1]Finanace - Incentive Data'!BS:BS,"Y",'[1]Finanace - Incentive Data'!H:H,$C$746,'[1]Finanace - Incentive Data'!R:R,$B750)</f>
        <v>0</v>
      </c>
      <c r="O750" s="8">
        <f t="shared" si="30"/>
        <v>0</v>
      </c>
    </row>
    <row r="751" spans="1:15" x14ac:dyDescent="0.3">
      <c r="A751" s="11"/>
      <c r="B751" s="5"/>
      <c r="C751" s="12"/>
      <c r="D751" s="13"/>
      <c r="E751" s="13"/>
      <c r="F751" s="5"/>
      <c r="G751" s="14"/>
      <c r="H751" s="15"/>
      <c r="I751" s="12"/>
      <c r="J751" s="5"/>
      <c r="K751" s="5"/>
      <c r="L751" s="8"/>
      <c r="M751" s="8"/>
      <c r="N751" s="8">
        <f>SUMIFS('[1]Finanace - Incentive Data'!BE:BE,'[1]Finanace - Incentive Data'!BS:BS,"Y",'[1]Finanace - Incentive Data'!H:H,$C$746,'[1]Finanace - Incentive Data'!R:R,$B751)</f>
        <v>0</v>
      </c>
      <c r="O751" s="8">
        <f t="shared" si="30"/>
        <v>0</v>
      </c>
    </row>
    <row r="752" spans="1:15" x14ac:dyDescent="0.3">
      <c r="A752" s="11"/>
      <c r="B752" s="5"/>
      <c r="C752" s="12"/>
      <c r="D752" s="13"/>
      <c r="E752" s="13"/>
      <c r="F752" s="5"/>
      <c r="G752" s="14"/>
      <c r="H752" s="15"/>
      <c r="I752" s="12"/>
      <c r="J752" s="5"/>
      <c r="K752" s="5"/>
      <c r="L752" s="8"/>
      <c r="M752" s="8"/>
      <c r="N752" s="8">
        <f>SUMIFS('[1]Finanace - Incentive Data'!BE:BE,'[1]Finanace - Incentive Data'!BS:BS,"Y",'[1]Finanace - Incentive Data'!H:H,$C$746,'[1]Finanace - Incentive Data'!R:R,$B752)</f>
        <v>0</v>
      </c>
      <c r="O752" s="8">
        <f t="shared" si="30"/>
        <v>0</v>
      </c>
    </row>
    <row r="753" spans="1:15" x14ac:dyDescent="0.3">
      <c r="A753" s="11"/>
      <c r="B753" s="5"/>
      <c r="C753" s="12"/>
      <c r="D753" s="13"/>
      <c r="E753" s="13"/>
      <c r="F753" s="5"/>
      <c r="G753" s="14"/>
      <c r="H753" s="15"/>
      <c r="I753" s="12"/>
      <c r="J753" s="5"/>
      <c r="K753" s="5"/>
      <c r="L753" s="8"/>
      <c r="M753" s="8"/>
      <c r="N753" s="8">
        <f>SUMIFS('[1]Finanace - Incentive Data'!BE:BE,'[1]Finanace - Incentive Data'!BS:BS,"Y",'[1]Finanace - Incentive Data'!H:H,$C$746,'[1]Finanace - Incentive Data'!R:R,$B753)</f>
        <v>0</v>
      </c>
      <c r="O753" s="8">
        <f t="shared" si="30"/>
        <v>0</v>
      </c>
    </row>
    <row r="754" spans="1:15" x14ac:dyDescent="0.3">
      <c r="A754" s="11"/>
      <c r="B754" s="5"/>
      <c r="C754" s="12"/>
      <c r="D754" s="13"/>
      <c r="E754" s="13"/>
      <c r="F754" s="5"/>
      <c r="G754" s="14"/>
      <c r="H754" s="15"/>
      <c r="I754" s="12"/>
      <c r="J754" s="5"/>
      <c r="K754" s="5"/>
      <c r="L754" s="8"/>
      <c r="M754" s="8"/>
      <c r="N754" s="8">
        <f>SUMIFS('[1]Finanace - Incentive Data'!BE:BE,'[1]Finanace - Incentive Data'!BS:BS,"Y",'[1]Finanace - Incentive Data'!H:H,$C$746,'[1]Finanace - Incentive Data'!R:R,$B754)</f>
        <v>0</v>
      </c>
      <c r="O754" s="8">
        <f t="shared" si="30"/>
        <v>0</v>
      </c>
    </row>
    <row r="755" spans="1:15" x14ac:dyDescent="0.3">
      <c r="A755" s="11"/>
      <c r="B755" s="5"/>
      <c r="C755" s="12"/>
      <c r="D755" s="13"/>
      <c r="E755" s="13"/>
      <c r="F755" s="5"/>
      <c r="G755" s="14"/>
      <c r="H755" s="15"/>
      <c r="I755" s="12"/>
      <c r="J755" s="5"/>
      <c r="K755" s="5"/>
      <c r="L755" s="8"/>
      <c r="M755" s="8"/>
      <c r="N755" s="8">
        <f>SUMIFS('[1]Finanace - Incentive Data'!BE:BE,'[1]Finanace - Incentive Data'!BS:BS,"Y",'[1]Finanace - Incentive Data'!H:H,$C$746,'[1]Finanace - Incentive Data'!R:R,$B755)</f>
        <v>0</v>
      </c>
      <c r="O755" s="8">
        <f t="shared" si="30"/>
        <v>0</v>
      </c>
    </row>
    <row r="756" spans="1:15" x14ac:dyDescent="0.3">
      <c r="A756" s="11"/>
      <c r="B756" s="5"/>
      <c r="C756" s="12"/>
      <c r="D756" s="13"/>
      <c r="E756" s="13"/>
      <c r="F756" s="5"/>
      <c r="G756" s="14"/>
      <c r="H756" s="15"/>
      <c r="I756" s="12"/>
      <c r="J756" s="5"/>
      <c r="K756" s="5"/>
      <c r="L756" s="8"/>
      <c r="M756" s="8"/>
      <c r="N756" s="8">
        <f>SUMIFS('[1]Finanace - Incentive Data'!BE:BE,'[1]Finanace - Incentive Data'!BS:BS,"Y",'[1]Finanace - Incentive Data'!H:H,$C$746,'[1]Finanace - Incentive Data'!R:R,$B756)</f>
        <v>0</v>
      </c>
      <c r="O756" s="8">
        <f t="shared" si="30"/>
        <v>0</v>
      </c>
    </row>
    <row r="757" spans="1:15" x14ac:dyDescent="0.3">
      <c r="A757" s="11"/>
      <c r="B757" s="5"/>
      <c r="C757" s="12"/>
      <c r="D757" s="13"/>
      <c r="E757" s="13"/>
      <c r="F757" s="5"/>
      <c r="G757" s="14"/>
      <c r="H757" s="15"/>
      <c r="I757" s="12"/>
      <c r="J757" s="5"/>
      <c r="K757" s="5"/>
      <c r="L757" s="8"/>
      <c r="M757" s="8"/>
      <c r="N757" s="8">
        <f>SUMIFS('[1]Finanace - Incentive Data'!BE:BE,'[1]Finanace - Incentive Data'!BS:BS,"Y",'[1]Finanace - Incentive Data'!H:H,$C$746,'[1]Finanace - Incentive Data'!R:R,$B757)</f>
        <v>0</v>
      </c>
      <c r="O757" s="8">
        <f t="shared" si="30"/>
        <v>0</v>
      </c>
    </row>
    <row r="758" spans="1:15" x14ac:dyDescent="0.3">
      <c r="A758" s="11"/>
      <c r="B758" s="5"/>
      <c r="C758" s="12"/>
      <c r="D758" s="13"/>
      <c r="E758" s="13"/>
      <c r="F758" s="5"/>
      <c r="G758" s="14"/>
      <c r="H758" s="15"/>
      <c r="I758" s="12"/>
      <c r="J758" s="5"/>
      <c r="K758" s="5"/>
      <c r="L758" s="8"/>
      <c r="M758" s="8"/>
      <c r="N758" s="8">
        <f>SUMIFS('[1]Finanace - Incentive Data'!BE:BE,'[1]Finanace - Incentive Data'!BS:BS,"Y",'[1]Finanace - Incentive Data'!H:H,$C$746,'[1]Finanace - Incentive Data'!R:R,$B758)</f>
        <v>0</v>
      </c>
      <c r="O758" s="8">
        <f t="shared" si="30"/>
        <v>0</v>
      </c>
    </row>
    <row r="759" spans="1:15" x14ac:dyDescent="0.3">
      <c r="A759" s="11"/>
      <c r="B759" s="5"/>
      <c r="C759" s="12"/>
      <c r="D759" s="13"/>
      <c r="E759" s="13"/>
      <c r="F759" s="5"/>
      <c r="G759" s="14"/>
      <c r="H759" s="15"/>
      <c r="I759" s="12"/>
      <c r="J759" s="5"/>
      <c r="K759" s="5"/>
      <c r="L759" s="8"/>
      <c r="M759" s="8"/>
      <c r="N759" s="8">
        <f>SUMIFS('[1]Finanace - Incentive Data'!BE:BE,'[1]Finanace - Incentive Data'!BS:BS,"Y",'[1]Finanace - Incentive Data'!H:H,$C$746,'[1]Finanace - Incentive Data'!R:R,$B759)</f>
        <v>0</v>
      </c>
      <c r="O759" s="8">
        <f t="shared" si="30"/>
        <v>0</v>
      </c>
    </row>
    <row r="760" spans="1:15" x14ac:dyDescent="0.3">
      <c r="A760" s="11"/>
      <c r="B760" s="5"/>
      <c r="C760" s="12"/>
      <c r="D760" s="13"/>
      <c r="E760" s="13"/>
      <c r="F760" s="5"/>
      <c r="G760" s="14"/>
      <c r="H760" s="15"/>
      <c r="I760" s="12"/>
      <c r="J760" s="5"/>
      <c r="K760" s="5"/>
      <c r="L760" s="8"/>
      <c r="M760" s="8"/>
      <c r="N760" s="8">
        <f>SUMIFS('[1]Finanace - Incentive Data'!BE:BE,'[1]Finanace - Incentive Data'!BS:BS,"Y",'[1]Finanace - Incentive Data'!H:H,$C$746,'[1]Finanace - Incentive Data'!R:R,$B760)</f>
        <v>0</v>
      </c>
      <c r="O760" s="8">
        <f t="shared" si="30"/>
        <v>0</v>
      </c>
    </row>
    <row r="761" spans="1:15" x14ac:dyDescent="0.3">
      <c r="A761" s="11"/>
      <c r="B761" s="5"/>
      <c r="C761" s="12"/>
      <c r="D761" s="13"/>
      <c r="E761" s="13"/>
      <c r="F761" s="5"/>
      <c r="G761" s="14"/>
      <c r="H761" s="15"/>
      <c r="I761" s="12"/>
      <c r="J761" s="5"/>
      <c r="K761" s="5"/>
      <c r="L761" s="8"/>
      <c r="M761" s="8"/>
      <c r="N761" s="8">
        <f>SUMIFS('[1]Finanace - Incentive Data'!BE:BE,'[1]Finanace - Incentive Data'!BS:BS,"Y",'[1]Finanace - Incentive Data'!H:H,$C$746,'[1]Finanace - Incentive Data'!R:R,$B761)</f>
        <v>0</v>
      </c>
      <c r="O761" s="8">
        <f t="shared" si="30"/>
        <v>0</v>
      </c>
    </row>
    <row r="762" spans="1:15" x14ac:dyDescent="0.3">
      <c r="A762" s="11"/>
      <c r="B762" s="5"/>
      <c r="C762" s="12"/>
      <c r="D762" s="13"/>
      <c r="E762" s="13"/>
      <c r="F762" s="5"/>
      <c r="G762" s="14"/>
      <c r="H762" s="15"/>
      <c r="I762" s="12"/>
      <c r="J762" s="5"/>
      <c r="K762" s="5"/>
      <c r="L762" s="8"/>
      <c r="M762" s="8"/>
      <c r="N762" s="8">
        <f>SUMIFS('[1]Finanace - Incentive Data'!BE:BE,'[1]Finanace - Incentive Data'!BS:BS,"Y",'[1]Finanace - Incentive Data'!H:H,$C$746,'[1]Finanace - Incentive Data'!R:R,$B762)</f>
        <v>0</v>
      </c>
      <c r="O762" s="8">
        <f t="shared" si="30"/>
        <v>0</v>
      </c>
    </row>
    <row r="763" spans="1:15" x14ac:dyDescent="0.3">
      <c r="A763" s="11"/>
      <c r="B763" s="5"/>
      <c r="C763" s="12"/>
      <c r="D763" s="13"/>
      <c r="E763" s="13"/>
      <c r="F763" s="5"/>
      <c r="G763" s="14"/>
      <c r="H763" s="15"/>
      <c r="I763" s="12"/>
      <c r="J763" s="5"/>
      <c r="K763" s="5"/>
      <c r="L763" s="8"/>
      <c r="M763" s="8"/>
      <c r="N763" s="8">
        <f>SUMIFS('[1]Finanace - Incentive Data'!BE:BE,'[1]Finanace - Incentive Data'!BS:BS,"Y",'[1]Finanace - Incentive Data'!H:H,$C$746,'[1]Finanace - Incentive Data'!R:R,$B763)</f>
        <v>0</v>
      </c>
      <c r="O763" s="8">
        <f t="shared" si="30"/>
        <v>0</v>
      </c>
    </row>
    <row r="764" spans="1:15" x14ac:dyDescent="0.3">
      <c r="A764" s="11"/>
      <c r="B764" s="5"/>
      <c r="C764" s="12"/>
      <c r="D764" s="13"/>
      <c r="E764" s="13"/>
      <c r="F764" s="5"/>
      <c r="G764" s="14"/>
      <c r="H764" s="15"/>
      <c r="I764" s="12"/>
      <c r="J764" s="5"/>
      <c r="K764" s="5"/>
      <c r="L764" s="8"/>
      <c r="M764" s="8"/>
      <c r="N764" s="8">
        <f>SUMIFS('[1]Finanace - Incentive Data'!BE:BE,'[1]Finanace - Incentive Data'!BS:BS,"Y",'[1]Finanace - Incentive Data'!H:H,$C$746,'[1]Finanace - Incentive Data'!R:R,$B764)</f>
        <v>0</v>
      </c>
      <c r="O764" s="8">
        <f t="shared" si="30"/>
        <v>0</v>
      </c>
    </row>
    <row r="765" spans="1:15" x14ac:dyDescent="0.3">
      <c r="A765" s="11"/>
      <c r="B765" s="5"/>
      <c r="C765" s="12"/>
      <c r="D765" s="13"/>
      <c r="E765" s="13"/>
      <c r="F765" s="5"/>
      <c r="G765" s="14"/>
      <c r="H765" s="15"/>
      <c r="I765" s="12"/>
      <c r="J765" s="5"/>
      <c r="K765" s="5"/>
      <c r="L765" s="8"/>
      <c r="M765" s="8"/>
      <c r="N765" s="8">
        <f>SUMIFS('[1]Finanace - Incentive Data'!BE:BE,'[1]Finanace - Incentive Data'!BS:BS,"Y",'[1]Finanace - Incentive Data'!H:H,$C$746,'[1]Finanace - Incentive Data'!R:R,$B765)</f>
        <v>0</v>
      </c>
      <c r="O765" s="8">
        <f t="shared" si="30"/>
        <v>0</v>
      </c>
    </row>
    <row r="766" spans="1:15" x14ac:dyDescent="0.3">
      <c r="A766" s="11"/>
      <c r="B766" s="5"/>
      <c r="C766" s="12"/>
      <c r="D766" s="13"/>
      <c r="E766" s="13"/>
      <c r="F766" s="5"/>
      <c r="G766" s="14"/>
      <c r="H766" s="15"/>
      <c r="I766" s="12"/>
      <c r="J766" s="5"/>
      <c r="K766" s="5"/>
      <c r="L766" s="8"/>
      <c r="M766" s="8"/>
      <c r="N766" s="8">
        <f>SUMIFS('[1]Finanace - Incentive Data'!BE:BE,'[1]Finanace - Incentive Data'!BS:BS,"Y",'[1]Finanace - Incentive Data'!H:H,$C$746,'[1]Finanace - Incentive Data'!R:R,$B766)</f>
        <v>0</v>
      </c>
      <c r="O766" s="8">
        <f t="shared" si="30"/>
        <v>0</v>
      </c>
    </row>
    <row r="769" spans="1:15" ht="43.2" x14ac:dyDescent="0.3">
      <c r="A769" s="1" t="s">
        <v>0</v>
      </c>
      <c r="B769" s="1" t="s">
        <v>1</v>
      </c>
      <c r="C769" s="1" t="s">
        <v>2</v>
      </c>
      <c r="D769" s="1" t="s">
        <v>3</v>
      </c>
      <c r="E769" s="1" t="s">
        <v>4</v>
      </c>
      <c r="F769" s="1" t="s">
        <v>5</v>
      </c>
      <c r="G769" s="1" t="s">
        <v>6</v>
      </c>
      <c r="H769" s="1" t="s">
        <v>7</v>
      </c>
      <c r="I769" s="1" t="s">
        <v>8</v>
      </c>
      <c r="J769" s="1" t="s">
        <v>9</v>
      </c>
      <c r="K769" s="2" t="s">
        <v>10</v>
      </c>
      <c r="L769" s="2" t="s">
        <v>11</v>
      </c>
      <c r="M769" s="3"/>
      <c r="N769" s="3"/>
    </row>
    <row r="770" spans="1:15" x14ac:dyDescent="0.3">
      <c r="A770" s="5" t="s">
        <v>12</v>
      </c>
      <c r="B770" s="4" t="str">
        <f>_xlfn.XLOOKUP($C770,'[1]Basic EMP Data - 2026'!$D$3:$D$224,'[1]Basic EMP Data - 2026'!$C$3:$C$224)</f>
        <v>VB2131</v>
      </c>
      <c r="C770" s="6" t="s">
        <v>56</v>
      </c>
      <c r="D770" s="5" t="str">
        <f>VLOOKUP($B770,'[1]Basic EMP Data - 2026'!$C$3:$F$224,3,0)</f>
        <v>Vikas Malik</v>
      </c>
      <c r="E770" s="5">
        <f>VLOOKUP($B770,'[1]Basic EMP Data - 2026'!$C$3:$I$224,5,0)</f>
        <v>4</v>
      </c>
      <c r="F770" s="5">
        <f>VLOOKUP($B770,'[1]Basic EMP Data - 2026'!$C$3:$I$224,6,0)</f>
        <v>0</v>
      </c>
      <c r="G770" s="7">
        <f>F770/E770</f>
        <v>0</v>
      </c>
      <c r="H770" s="8">
        <f>SUM(L772:L790)</f>
        <v>0</v>
      </c>
      <c r="I770" s="9" cm="1">
        <f t="array" ref="I770">_xlfn.IFS($G770&lt;=34%,0%,$G770&lt;=75%,3%,$G770&lt;=120%,4%,$G770&gt;120%,5%)</f>
        <v>0</v>
      </c>
      <c r="J770" s="8" cm="1">
        <f t="array" ref="J770">SUMPRODUCT((C772:C790=2026)*M772:M790*2)</f>
        <v>0</v>
      </c>
      <c r="K770" s="5">
        <f>SUM(N772:N790)</f>
        <v>0</v>
      </c>
      <c r="L770" s="8">
        <f>J770-K770</f>
        <v>0</v>
      </c>
      <c r="M770" s="3"/>
      <c r="N770" s="3"/>
    </row>
    <row r="771" spans="1:15" ht="43.2" x14ac:dyDescent="0.3">
      <c r="A771" s="10" t="s">
        <v>2</v>
      </c>
      <c r="B771" s="10" t="s">
        <v>14</v>
      </c>
      <c r="C771" s="10" t="s">
        <v>15</v>
      </c>
      <c r="D771" s="10" t="s">
        <v>16</v>
      </c>
      <c r="E771" s="10" t="s">
        <v>17</v>
      </c>
      <c r="F771" s="10" t="s">
        <v>18</v>
      </c>
      <c r="G771" s="10" t="s">
        <v>19</v>
      </c>
      <c r="H771" s="10" t="s">
        <v>20</v>
      </c>
      <c r="I771" s="10" t="s">
        <v>21</v>
      </c>
      <c r="J771" s="10" t="s">
        <v>22</v>
      </c>
      <c r="K771" s="10" t="s">
        <v>23</v>
      </c>
      <c r="L771" s="10" t="s">
        <v>24</v>
      </c>
      <c r="M771" s="10" t="s">
        <v>25</v>
      </c>
      <c r="N771" s="10" t="s">
        <v>26</v>
      </c>
      <c r="O771" s="10" t="s">
        <v>27</v>
      </c>
    </row>
    <row r="772" spans="1:15" x14ac:dyDescent="0.3">
      <c r="A772" s="11" t="str">
        <f>C770</f>
        <v>Vikas Malik</v>
      </c>
      <c r="B772" s="5" t="e" cm="1" vm="1">
        <f t="array" ref="B772">_xlfn.LET(
  _xlpm.data, _xlfn._xlws.FILTER('[1]Finanace - Incentive Data'!A:CA, '[1]Finanace - Incentive Data'!H:H=$C770),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772" s="12"/>
      <c r="D772" s="13"/>
      <c r="E772" s="13"/>
      <c r="F772" s="5"/>
      <c r="G772" s="14"/>
      <c r="H772" s="15"/>
      <c r="I772" s="12"/>
      <c r="J772" s="5"/>
      <c r="K772" s="5"/>
      <c r="L772" s="8"/>
      <c r="M772" s="8"/>
      <c r="N772" s="8">
        <f>SUMIFS('[1]Finanace - Incentive Data'!BE:BE,'[1]Finanace - Incentive Data'!BS:BS,"Y",'[1]Finanace - Incentive Data'!H:H,$C$770,'[1]Finanace - Incentive Data'!R:R,$B772)</f>
        <v>0</v>
      </c>
      <c r="O772" s="8">
        <f>M772-N772</f>
        <v>0</v>
      </c>
    </row>
    <row r="773" spans="1:15" x14ac:dyDescent="0.3">
      <c r="A773" s="11"/>
      <c r="B773" s="5"/>
      <c r="C773" s="12"/>
      <c r="D773" s="13"/>
      <c r="E773" s="13"/>
      <c r="F773" s="5"/>
      <c r="G773" s="14"/>
      <c r="H773" s="15"/>
      <c r="I773" s="12"/>
      <c r="J773" s="5"/>
      <c r="K773" s="5"/>
      <c r="L773" s="8"/>
      <c r="M773" s="8"/>
      <c r="N773" s="8">
        <f>SUMIFS('[1]Finanace - Incentive Data'!BE:BE,'[1]Finanace - Incentive Data'!BS:BS,"Y",'[1]Finanace - Incentive Data'!H:H,$C$770,'[1]Finanace - Incentive Data'!R:R,$B773)</f>
        <v>0</v>
      </c>
      <c r="O773" s="8">
        <f t="shared" ref="O773:O790" si="31">M773-N773</f>
        <v>0</v>
      </c>
    </row>
    <row r="774" spans="1:15" x14ac:dyDescent="0.3">
      <c r="A774" s="11"/>
      <c r="B774" s="5"/>
      <c r="C774" s="12"/>
      <c r="D774" s="13"/>
      <c r="E774" s="13"/>
      <c r="F774" s="5"/>
      <c r="G774" s="14"/>
      <c r="H774" s="15"/>
      <c r="I774" s="12"/>
      <c r="J774" s="5"/>
      <c r="K774" s="5"/>
      <c r="L774" s="8"/>
      <c r="M774" s="8"/>
      <c r="N774" s="8">
        <f>SUMIFS('[1]Finanace - Incentive Data'!BE:BE,'[1]Finanace - Incentive Data'!BS:BS,"Y",'[1]Finanace - Incentive Data'!H:H,$C$770,'[1]Finanace - Incentive Data'!R:R,$B774)</f>
        <v>0</v>
      </c>
      <c r="O774" s="8">
        <f t="shared" si="31"/>
        <v>0</v>
      </c>
    </row>
    <row r="775" spans="1:15" x14ac:dyDescent="0.3">
      <c r="A775" s="11"/>
      <c r="B775" s="5"/>
      <c r="C775" s="12"/>
      <c r="D775" s="13"/>
      <c r="E775" s="13"/>
      <c r="F775" s="5"/>
      <c r="G775" s="14"/>
      <c r="H775" s="15"/>
      <c r="I775" s="12"/>
      <c r="J775" s="5"/>
      <c r="K775" s="5"/>
      <c r="L775" s="8"/>
      <c r="M775" s="8"/>
      <c r="N775" s="8">
        <f>SUMIFS('[1]Finanace - Incentive Data'!BE:BE,'[1]Finanace - Incentive Data'!BS:BS,"Y",'[1]Finanace - Incentive Data'!H:H,$C$770,'[1]Finanace - Incentive Data'!R:R,$B775)</f>
        <v>0</v>
      </c>
      <c r="O775" s="8">
        <f t="shared" si="31"/>
        <v>0</v>
      </c>
    </row>
    <row r="776" spans="1:15" x14ac:dyDescent="0.3">
      <c r="A776" s="11"/>
      <c r="B776" s="5"/>
      <c r="C776" s="12"/>
      <c r="D776" s="13"/>
      <c r="E776" s="13"/>
      <c r="F776" s="5"/>
      <c r="G776" s="14"/>
      <c r="H776" s="15"/>
      <c r="I776" s="12"/>
      <c r="J776" s="5"/>
      <c r="K776" s="5"/>
      <c r="L776" s="8"/>
      <c r="M776" s="8"/>
      <c r="N776" s="8">
        <f>SUMIFS('[1]Finanace - Incentive Data'!BE:BE,'[1]Finanace - Incentive Data'!BS:BS,"Y",'[1]Finanace - Incentive Data'!H:H,$C$770,'[1]Finanace - Incentive Data'!R:R,$B776)</f>
        <v>0</v>
      </c>
      <c r="O776" s="8">
        <f t="shared" si="31"/>
        <v>0</v>
      </c>
    </row>
    <row r="777" spans="1:15" x14ac:dyDescent="0.3">
      <c r="A777" s="11"/>
      <c r="B777" s="5"/>
      <c r="C777" s="12"/>
      <c r="D777" s="13"/>
      <c r="E777" s="13"/>
      <c r="F777" s="5"/>
      <c r="G777" s="14"/>
      <c r="H777" s="15"/>
      <c r="I777" s="12"/>
      <c r="J777" s="5"/>
      <c r="K777" s="5"/>
      <c r="L777" s="8"/>
      <c r="M777" s="8"/>
      <c r="N777" s="8">
        <f>SUMIFS('[1]Finanace - Incentive Data'!BE:BE,'[1]Finanace - Incentive Data'!BS:BS,"Y",'[1]Finanace - Incentive Data'!H:H,$C$770,'[1]Finanace - Incentive Data'!R:R,$B777)</f>
        <v>0</v>
      </c>
      <c r="O777" s="8">
        <f t="shared" si="31"/>
        <v>0</v>
      </c>
    </row>
    <row r="778" spans="1:15" x14ac:dyDescent="0.3">
      <c r="A778" s="11"/>
      <c r="B778" s="5"/>
      <c r="C778" s="12"/>
      <c r="D778" s="13"/>
      <c r="E778" s="13"/>
      <c r="F778" s="5"/>
      <c r="G778" s="14"/>
      <c r="H778" s="15"/>
      <c r="I778" s="12"/>
      <c r="J778" s="5"/>
      <c r="K778" s="5"/>
      <c r="L778" s="8"/>
      <c r="M778" s="8"/>
      <c r="N778" s="8">
        <f>SUMIFS('[1]Finanace - Incentive Data'!BE:BE,'[1]Finanace - Incentive Data'!BS:BS,"Y",'[1]Finanace - Incentive Data'!H:H,$C$770,'[1]Finanace - Incentive Data'!R:R,$B778)</f>
        <v>0</v>
      </c>
      <c r="O778" s="8">
        <f t="shared" si="31"/>
        <v>0</v>
      </c>
    </row>
    <row r="779" spans="1:15" x14ac:dyDescent="0.3">
      <c r="A779" s="11"/>
      <c r="B779" s="5"/>
      <c r="C779" s="12"/>
      <c r="D779" s="13"/>
      <c r="E779" s="13"/>
      <c r="F779" s="5"/>
      <c r="G779" s="14"/>
      <c r="H779" s="15"/>
      <c r="I779" s="12"/>
      <c r="J779" s="5"/>
      <c r="K779" s="5"/>
      <c r="L779" s="8"/>
      <c r="M779" s="8"/>
      <c r="N779" s="8">
        <f>SUMIFS('[1]Finanace - Incentive Data'!BE:BE,'[1]Finanace - Incentive Data'!BS:BS,"Y",'[1]Finanace - Incentive Data'!H:H,$C$770,'[1]Finanace - Incentive Data'!R:R,$B779)</f>
        <v>0</v>
      </c>
      <c r="O779" s="8">
        <f t="shared" si="31"/>
        <v>0</v>
      </c>
    </row>
    <row r="780" spans="1:15" x14ac:dyDescent="0.3">
      <c r="A780" s="11"/>
      <c r="B780" s="5"/>
      <c r="C780" s="12"/>
      <c r="D780" s="13"/>
      <c r="E780" s="13"/>
      <c r="F780" s="5"/>
      <c r="G780" s="14"/>
      <c r="H780" s="15"/>
      <c r="I780" s="12"/>
      <c r="J780" s="5"/>
      <c r="K780" s="5"/>
      <c r="L780" s="8"/>
      <c r="M780" s="8"/>
      <c r="N780" s="8">
        <f>SUMIFS('[1]Finanace - Incentive Data'!BE:BE,'[1]Finanace - Incentive Data'!BS:BS,"Y",'[1]Finanace - Incentive Data'!H:H,$C$770,'[1]Finanace - Incentive Data'!R:R,$B780)</f>
        <v>0</v>
      </c>
      <c r="O780" s="8">
        <f t="shared" si="31"/>
        <v>0</v>
      </c>
    </row>
    <row r="781" spans="1:15" x14ac:dyDescent="0.3">
      <c r="A781" s="11"/>
      <c r="B781" s="5"/>
      <c r="C781" s="12"/>
      <c r="D781" s="13"/>
      <c r="E781" s="13"/>
      <c r="F781" s="5"/>
      <c r="G781" s="14"/>
      <c r="H781" s="15"/>
      <c r="I781" s="12"/>
      <c r="J781" s="5"/>
      <c r="K781" s="5"/>
      <c r="L781" s="8"/>
      <c r="M781" s="8"/>
      <c r="N781" s="8">
        <f>SUMIFS('[1]Finanace - Incentive Data'!BE:BE,'[1]Finanace - Incentive Data'!BS:BS,"Y",'[1]Finanace - Incentive Data'!H:H,$C$770,'[1]Finanace - Incentive Data'!R:R,$B781)</f>
        <v>0</v>
      </c>
      <c r="O781" s="8">
        <f t="shared" si="31"/>
        <v>0</v>
      </c>
    </row>
    <row r="782" spans="1:15" x14ac:dyDescent="0.3">
      <c r="A782" s="11"/>
      <c r="B782" s="5"/>
      <c r="C782" s="12"/>
      <c r="D782" s="13"/>
      <c r="E782" s="13"/>
      <c r="F782" s="5"/>
      <c r="G782" s="14"/>
      <c r="H782" s="15"/>
      <c r="I782" s="12"/>
      <c r="J782" s="5"/>
      <c r="K782" s="5"/>
      <c r="L782" s="8"/>
      <c r="M782" s="8"/>
      <c r="N782" s="8">
        <f>SUMIFS('[1]Finanace - Incentive Data'!BE:BE,'[1]Finanace - Incentive Data'!BS:BS,"Y",'[1]Finanace - Incentive Data'!H:H,$C$770,'[1]Finanace - Incentive Data'!R:R,$B782)</f>
        <v>0</v>
      </c>
      <c r="O782" s="8">
        <f t="shared" si="31"/>
        <v>0</v>
      </c>
    </row>
    <row r="783" spans="1:15" x14ac:dyDescent="0.3">
      <c r="A783" s="11"/>
      <c r="B783" s="5"/>
      <c r="C783" s="12"/>
      <c r="D783" s="13"/>
      <c r="E783" s="13"/>
      <c r="F783" s="5"/>
      <c r="G783" s="14"/>
      <c r="H783" s="15"/>
      <c r="I783" s="12"/>
      <c r="J783" s="5"/>
      <c r="K783" s="5"/>
      <c r="L783" s="8"/>
      <c r="M783" s="8"/>
      <c r="N783" s="8">
        <f>SUMIFS('[1]Finanace - Incentive Data'!BE:BE,'[1]Finanace - Incentive Data'!BS:BS,"Y",'[1]Finanace - Incentive Data'!H:H,$C$770,'[1]Finanace - Incentive Data'!R:R,$B783)</f>
        <v>0</v>
      </c>
      <c r="O783" s="8">
        <f t="shared" si="31"/>
        <v>0</v>
      </c>
    </row>
    <row r="784" spans="1:15" x14ac:dyDescent="0.3">
      <c r="A784" s="11"/>
      <c r="B784" s="5"/>
      <c r="C784" s="12"/>
      <c r="D784" s="13"/>
      <c r="E784" s="13"/>
      <c r="F784" s="5"/>
      <c r="G784" s="14"/>
      <c r="H784" s="15"/>
      <c r="I784" s="12"/>
      <c r="J784" s="5"/>
      <c r="K784" s="5"/>
      <c r="L784" s="8"/>
      <c r="M784" s="8"/>
      <c r="N784" s="8">
        <f>SUMIFS('[1]Finanace - Incentive Data'!BE:BE,'[1]Finanace - Incentive Data'!BS:BS,"Y",'[1]Finanace - Incentive Data'!H:H,$C$770,'[1]Finanace - Incentive Data'!R:R,$B784)</f>
        <v>0</v>
      </c>
      <c r="O784" s="8">
        <f t="shared" si="31"/>
        <v>0</v>
      </c>
    </row>
    <row r="785" spans="1:15" x14ac:dyDescent="0.3">
      <c r="A785" s="11"/>
      <c r="B785" s="5"/>
      <c r="C785" s="12"/>
      <c r="D785" s="13"/>
      <c r="E785" s="13"/>
      <c r="F785" s="5"/>
      <c r="G785" s="14"/>
      <c r="H785" s="15"/>
      <c r="I785" s="12"/>
      <c r="J785" s="5"/>
      <c r="K785" s="5"/>
      <c r="L785" s="8"/>
      <c r="M785" s="8"/>
      <c r="N785" s="8">
        <f>SUMIFS('[1]Finanace - Incentive Data'!BE:BE,'[1]Finanace - Incentive Data'!BS:BS,"Y",'[1]Finanace - Incentive Data'!H:H,$C$770,'[1]Finanace - Incentive Data'!R:R,$B785)</f>
        <v>0</v>
      </c>
      <c r="O785" s="8">
        <f t="shared" si="31"/>
        <v>0</v>
      </c>
    </row>
    <row r="786" spans="1:15" x14ac:dyDescent="0.3">
      <c r="A786" s="11"/>
      <c r="B786" s="5"/>
      <c r="C786" s="12"/>
      <c r="D786" s="13"/>
      <c r="E786" s="13"/>
      <c r="F786" s="5"/>
      <c r="G786" s="14"/>
      <c r="H786" s="15"/>
      <c r="I786" s="12"/>
      <c r="J786" s="5"/>
      <c r="K786" s="5"/>
      <c r="L786" s="8"/>
      <c r="M786" s="8"/>
      <c r="N786" s="8">
        <f>SUMIFS('[1]Finanace - Incentive Data'!BE:BE,'[1]Finanace - Incentive Data'!BS:BS,"Y",'[1]Finanace - Incentive Data'!H:H,$C$770,'[1]Finanace - Incentive Data'!R:R,$B786)</f>
        <v>0</v>
      </c>
      <c r="O786" s="8">
        <f t="shared" si="31"/>
        <v>0</v>
      </c>
    </row>
    <row r="787" spans="1:15" x14ac:dyDescent="0.3">
      <c r="A787" s="11"/>
      <c r="B787" s="5"/>
      <c r="C787" s="12"/>
      <c r="D787" s="13"/>
      <c r="E787" s="13"/>
      <c r="F787" s="5"/>
      <c r="G787" s="14"/>
      <c r="H787" s="15"/>
      <c r="I787" s="12"/>
      <c r="J787" s="5"/>
      <c r="K787" s="5"/>
      <c r="L787" s="8"/>
      <c r="M787" s="8"/>
      <c r="N787" s="8">
        <f>SUMIFS('[1]Finanace - Incentive Data'!BE:BE,'[1]Finanace - Incentive Data'!BS:BS,"Y",'[1]Finanace - Incentive Data'!H:H,$C$770,'[1]Finanace - Incentive Data'!R:R,$B787)</f>
        <v>0</v>
      </c>
      <c r="O787" s="8">
        <f t="shared" si="31"/>
        <v>0</v>
      </c>
    </row>
    <row r="788" spans="1:15" x14ac:dyDescent="0.3">
      <c r="A788" s="11"/>
      <c r="B788" s="5"/>
      <c r="C788" s="12"/>
      <c r="D788" s="13"/>
      <c r="E788" s="13"/>
      <c r="F788" s="5"/>
      <c r="G788" s="14"/>
      <c r="H788" s="15"/>
      <c r="I788" s="12"/>
      <c r="J788" s="5"/>
      <c r="K788" s="5"/>
      <c r="L788" s="8"/>
      <c r="M788" s="8"/>
      <c r="N788" s="8">
        <f>SUMIFS('[1]Finanace - Incentive Data'!BE:BE,'[1]Finanace - Incentive Data'!BS:BS,"Y",'[1]Finanace - Incentive Data'!H:H,$C$770,'[1]Finanace - Incentive Data'!R:R,$B788)</f>
        <v>0</v>
      </c>
      <c r="O788" s="8">
        <f t="shared" si="31"/>
        <v>0</v>
      </c>
    </row>
    <row r="789" spans="1:15" x14ac:dyDescent="0.3">
      <c r="A789" s="11"/>
      <c r="B789" s="5"/>
      <c r="C789" s="12"/>
      <c r="D789" s="13"/>
      <c r="E789" s="13"/>
      <c r="F789" s="5"/>
      <c r="G789" s="14"/>
      <c r="H789" s="15"/>
      <c r="I789" s="12"/>
      <c r="J789" s="5"/>
      <c r="K789" s="5"/>
      <c r="L789" s="8"/>
      <c r="M789" s="8"/>
      <c r="N789" s="8">
        <f>SUMIFS('[1]Finanace - Incentive Data'!BE:BE,'[1]Finanace - Incentive Data'!BS:BS,"Y",'[1]Finanace - Incentive Data'!H:H,$C$770,'[1]Finanace - Incentive Data'!R:R,$B789)</f>
        <v>0</v>
      </c>
      <c r="O789" s="8">
        <f t="shared" si="31"/>
        <v>0</v>
      </c>
    </row>
    <row r="790" spans="1:15" x14ac:dyDescent="0.3">
      <c r="A790" s="11"/>
      <c r="B790" s="5"/>
      <c r="C790" s="12"/>
      <c r="D790" s="13"/>
      <c r="E790" s="13"/>
      <c r="F790" s="5"/>
      <c r="G790" s="14"/>
      <c r="H790" s="15"/>
      <c r="I790" s="12"/>
      <c r="J790" s="5"/>
      <c r="K790" s="5"/>
      <c r="L790" s="8"/>
      <c r="M790" s="8"/>
      <c r="N790" s="8">
        <f>SUMIFS('[1]Finanace - Incentive Data'!BE:BE,'[1]Finanace - Incentive Data'!BS:BS,"Y",'[1]Finanace - Incentive Data'!H:H,$C$770,'[1]Finanace - Incentive Data'!R:R,$B790)</f>
        <v>0</v>
      </c>
      <c r="O790" s="8">
        <f t="shared" si="31"/>
        <v>0</v>
      </c>
    </row>
    <row r="793" spans="1:15" ht="43.2" x14ac:dyDescent="0.3">
      <c r="A793" s="1" t="s">
        <v>0</v>
      </c>
      <c r="B793" s="1" t="s">
        <v>1</v>
      </c>
      <c r="C793" s="1" t="s">
        <v>2</v>
      </c>
      <c r="D793" s="1" t="s">
        <v>3</v>
      </c>
      <c r="E793" s="1" t="s">
        <v>4</v>
      </c>
      <c r="F793" s="1" t="s">
        <v>5</v>
      </c>
      <c r="G793" s="1" t="s">
        <v>6</v>
      </c>
      <c r="H793" s="1" t="s">
        <v>7</v>
      </c>
      <c r="I793" s="1" t="s">
        <v>8</v>
      </c>
      <c r="J793" s="1" t="s">
        <v>9</v>
      </c>
      <c r="K793" s="2" t="s">
        <v>10</v>
      </c>
      <c r="L793" s="2" t="s">
        <v>11</v>
      </c>
      <c r="M793" s="3"/>
      <c r="N793" s="3"/>
    </row>
    <row r="794" spans="1:15" x14ac:dyDescent="0.3">
      <c r="A794" s="5" t="s">
        <v>12</v>
      </c>
      <c r="B794" s="4" t="str">
        <f>_xlfn.XLOOKUP($C794,'[1]Basic EMP Data - 2026'!$D$3:$D$224,'[1]Basic EMP Data - 2026'!$C$3:$C$224)</f>
        <v>VB2133</v>
      </c>
      <c r="C794" s="6" t="s">
        <v>57</v>
      </c>
      <c r="D794" s="5" t="str">
        <f>VLOOKUP($B794,'[1]Basic EMP Data - 2026'!$C$3:$F$224,3,0)</f>
        <v>Vikas Malik</v>
      </c>
      <c r="E794" s="5">
        <f>VLOOKUP($B794,'[1]Basic EMP Data - 2026'!$C$3:$I$224,5,0)</f>
        <v>7</v>
      </c>
      <c r="F794" s="5">
        <f>VLOOKUP($B794,'[1]Basic EMP Data - 2026'!$C$3:$I$224,6,0)</f>
        <v>1</v>
      </c>
      <c r="G794" s="7">
        <f>F794/E794</f>
        <v>0.14285714285714285</v>
      </c>
      <c r="H794" s="8">
        <f>SUM(L796:L814)</f>
        <v>5375</v>
      </c>
      <c r="I794" s="9" cm="1">
        <f t="array" ref="I794">_xlfn.IFS($G794&lt;=34%,0%,$G794&lt;=75%,3%,$G794&lt;=120%,4%,$G794&gt;120%,5%)</f>
        <v>0</v>
      </c>
      <c r="J794" s="8" cm="1">
        <f t="array" ref="J794">SUMPRODUCT((C796:C814=2026)*M796:M814*2)</f>
        <v>0</v>
      </c>
      <c r="K794" s="5">
        <f>SUM(N796:N814)</f>
        <v>0</v>
      </c>
      <c r="L794" s="8">
        <f>J794-K794</f>
        <v>0</v>
      </c>
      <c r="M794" s="3"/>
      <c r="N794" s="3"/>
    </row>
    <row r="795" spans="1:15" ht="43.2" x14ac:dyDescent="0.3">
      <c r="A795" s="10" t="s">
        <v>2</v>
      </c>
      <c r="B795" s="10" t="s">
        <v>14</v>
      </c>
      <c r="C795" s="10" t="s">
        <v>15</v>
      </c>
      <c r="D795" s="10" t="s">
        <v>16</v>
      </c>
      <c r="E795" s="10" t="s">
        <v>17</v>
      </c>
      <c r="F795" s="10" t="s">
        <v>18</v>
      </c>
      <c r="G795" s="10" t="s">
        <v>19</v>
      </c>
      <c r="H795" s="10" t="s">
        <v>20</v>
      </c>
      <c r="I795" s="10" t="s">
        <v>21</v>
      </c>
      <c r="J795" s="10" t="s">
        <v>22</v>
      </c>
      <c r="K795" s="10" t="s">
        <v>23</v>
      </c>
      <c r="L795" s="10" t="s">
        <v>24</v>
      </c>
      <c r="M795" s="10" t="s">
        <v>25</v>
      </c>
      <c r="N795" s="10" t="s">
        <v>26</v>
      </c>
      <c r="O795" s="10" t="s">
        <v>27</v>
      </c>
    </row>
    <row r="796" spans="1:15" x14ac:dyDescent="0.3">
      <c r="A796" s="11" t="str">
        <f>C794</f>
        <v>Rahmat Ali</v>
      </c>
      <c r="B796" s="5" t="str" cm="1">
        <f t="array" ref="B796:M796">_xlfn.LET(
  _xlpm.data, _xlfn._xlws.FILTER('[1]Finanace - Incentive Data'!A:CA, '[1]Finanace - Incentive Data'!H:H=$C794),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Nandagopal Prabhakaran</v>
      </c>
      <c r="C796" s="12">
        <v>2026</v>
      </c>
      <c r="D796" s="13">
        <v>46065</v>
      </c>
      <c r="E796" s="13">
        <v>0</v>
      </c>
      <c r="F796" s="5" t="str">
        <v>Wipro</v>
      </c>
      <c r="G796" s="14" t="str">
        <v>PLC-4682</v>
      </c>
      <c r="H796" s="15" t="str">
        <v>FTE</v>
      </c>
      <c r="I796" s="12" t="str">
        <v>-</v>
      </c>
      <c r="J796" s="5" t="str">
        <v>-</v>
      </c>
      <c r="K796" s="5">
        <v>1</v>
      </c>
      <c r="L796" s="8">
        <v>5375</v>
      </c>
      <c r="M796" s="8">
        <v>0</v>
      </c>
      <c r="N796" s="8">
        <f>SUMIFS('[1]Finanace - Incentive Data'!BE:BE,'[1]Finanace - Incentive Data'!BS:BS,"Y",'[1]Finanace - Incentive Data'!H:H,$C$794,'[1]Finanace - Incentive Data'!R:R,$B796)</f>
        <v>0</v>
      </c>
      <c r="O796" s="8">
        <f>M796-N796</f>
        <v>0</v>
      </c>
    </row>
    <row r="797" spans="1:15" x14ac:dyDescent="0.3">
      <c r="A797" s="11"/>
      <c r="B797" s="5"/>
      <c r="C797" s="12"/>
      <c r="D797" s="13"/>
      <c r="E797" s="13"/>
      <c r="F797" s="5"/>
      <c r="G797" s="14"/>
      <c r="H797" s="15"/>
      <c r="I797" s="12"/>
      <c r="J797" s="5"/>
      <c r="K797" s="5"/>
      <c r="L797" s="8"/>
      <c r="M797" s="8"/>
      <c r="N797" s="8">
        <f>SUMIFS('[1]Finanace - Incentive Data'!BE:BE,'[1]Finanace - Incentive Data'!BS:BS,"Y",'[1]Finanace - Incentive Data'!H:H,$C$794,'[1]Finanace - Incentive Data'!R:R,$B797)</f>
        <v>0</v>
      </c>
      <c r="O797" s="8">
        <f t="shared" ref="O797:O814" si="32">M797-N797</f>
        <v>0</v>
      </c>
    </row>
    <row r="798" spans="1:15" x14ac:dyDescent="0.3">
      <c r="A798" s="11"/>
      <c r="B798" s="5"/>
      <c r="C798" s="12"/>
      <c r="D798" s="13"/>
      <c r="E798" s="13"/>
      <c r="F798" s="5"/>
      <c r="G798" s="14"/>
      <c r="H798" s="15"/>
      <c r="I798" s="12"/>
      <c r="J798" s="5"/>
      <c r="K798" s="5"/>
      <c r="L798" s="8"/>
      <c r="M798" s="8"/>
      <c r="N798" s="8">
        <f>SUMIFS('[1]Finanace - Incentive Data'!BE:BE,'[1]Finanace - Incentive Data'!BS:BS,"Y",'[1]Finanace - Incentive Data'!H:H,$C$794,'[1]Finanace - Incentive Data'!R:R,$B798)</f>
        <v>0</v>
      </c>
      <c r="O798" s="8">
        <f t="shared" si="32"/>
        <v>0</v>
      </c>
    </row>
    <row r="799" spans="1:15" x14ac:dyDescent="0.3">
      <c r="A799" s="11"/>
      <c r="B799" s="5"/>
      <c r="C799" s="12"/>
      <c r="D799" s="13"/>
      <c r="E799" s="13"/>
      <c r="F799" s="5"/>
      <c r="G799" s="14"/>
      <c r="H799" s="15"/>
      <c r="I799" s="12"/>
      <c r="J799" s="5"/>
      <c r="K799" s="5"/>
      <c r="L799" s="8"/>
      <c r="M799" s="8"/>
      <c r="N799" s="8">
        <f>SUMIFS('[1]Finanace - Incentive Data'!BE:BE,'[1]Finanace - Incentive Data'!BS:BS,"Y",'[1]Finanace - Incentive Data'!H:H,$C$794,'[1]Finanace - Incentive Data'!R:R,$B799)</f>
        <v>0</v>
      </c>
      <c r="O799" s="8">
        <f t="shared" si="32"/>
        <v>0</v>
      </c>
    </row>
    <row r="800" spans="1:15" x14ac:dyDescent="0.3">
      <c r="A800" s="11"/>
      <c r="B800" s="5"/>
      <c r="C800" s="12"/>
      <c r="D800" s="13"/>
      <c r="E800" s="13"/>
      <c r="F800" s="5"/>
      <c r="G800" s="14"/>
      <c r="H800" s="15"/>
      <c r="I800" s="12"/>
      <c r="J800" s="5"/>
      <c r="K800" s="5"/>
      <c r="L800" s="8"/>
      <c r="M800" s="8"/>
      <c r="N800" s="8">
        <f>SUMIFS('[1]Finanace - Incentive Data'!BE:BE,'[1]Finanace - Incentive Data'!BS:BS,"Y",'[1]Finanace - Incentive Data'!H:H,$C$794,'[1]Finanace - Incentive Data'!R:R,$B800)</f>
        <v>0</v>
      </c>
      <c r="O800" s="8">
        <f t="shared" si="32"/>
        <v>0</v>
      </c>
    </row>
    <row r="801" spans="1:15" x14ac:dyDescent="0.3">
      <c r="A801" s="11"/>
      <c r="B801" s="5"/>
      <c r="C801" s="12"/>
      <c r="D801" s="13"/>
      <c r="E801" s="13"/>
      <c r="F801" s="5"/>
      <c r="G801" s="14"/>
      <c r="H801" s="15"/>
      <c r="I801" s="12"/>
      <c r="J801" s="5"/>
      <c r="K801" s="5"/>
      <c r="L801" s="8"/>
      <c r="M801" s="8"/>
      <c r="N801" s="8">
        <f>SUMIFS('[1]Finanace - Incentive Data'!BE:BE,'[1]Finanace - Incentive Data'!BS:BS,"Y",'[1]Finanace - Incentive Data'!H:H,$C$794,'[1]Finanace - Incentive Data'!R:R,$B801)</f>
        <v>0</v>
      </c>
      <c r="O801" s="8">
        <f t="shared" si="32"/>
        <v>0</v>
      </c>
    </row>
    <row r="802" spans="1:15" x14ac:dyDescent="0.3">
      <c r="A802" s="11"/>
      <c r="B802" s="5"/>
      <c r="C802" s="12"/>
      <c r="D802" s="13"/>
      <c r="E802" s="13"/>
      <c r="F802" s="5"/>
      <c r="G802" s="14"/>
      <c r="H802" s="15"/>
      <c r="I802" s="12"/>
      <c r="J802" s="5"/>
      <c r="K802" s="5"/>
      <c r="L802" s="8"/>
      <c r="M802" s="8"/>
      <c r="N802" s="8">
        <f>SUMIFS('[1]Finanace - Incentive Data'!BE:BE,'[1]Finanace - Incentive Data'!BS:BS,"Y",'[1]Finanace - Incentive Data'!H:H,$C$794,'[1]Finanace - Incentive Data'!R:R,$B802)</f>
        <v>0</v>
      </c>
      <c r="O802" s="8">
        <f t="shared" si="32"/>
        <v>0</v>
      </c>
    </row>
    <row r="803" spans="1:15" x14ac:dyDescent="0.3">
      <c r="A803" s="11"/>
      <c r="B803" s="5"/>
      <c r="C803" s="12"/>
      <c r="D803" s="13"/>
      <c r="E803" s="13"/>
      <c r="F803" s="5"/>
      <c r="G803" s="14"/>
      <c r="H803" s="15"/>
      <c r="I803" s="12"/>
      <c r="J803" s="5"/>
      <c r="K803" s="5"/>
      <c r="L803" s="8"/>
      <c r="M803" s="8"/>
      <c r="N803" s="8">
        <f>SUMIFS('[1]Finanace - Incentive Data'!BE:BE,'[1]Finanace - Incentive Data'!BS:BS,"Y",'[1]Finanace - Incentive Data'!H:H,$C$794,'[1]Finanace - Incentive Data'!R:R,$B803)</f>
        <v>0</v>
      </c>
      <c r="O803" s="8">
        <f t="shared" si="32"/>
        <v>0</v>
      </c>
    </row>
    <row r="804" spans="1:15" x14ac:dyDescent="0.3">
      <c r="A804" s="11"/>
      <c r="B804" s="5"/>
      <c r="C804" s="12"/>
      <c r="D804" s="13"/>
      <c r="E804" s="13"/>
      <c r="F804" s="5"/>
      <c r="G804" s="14"/>
      <c r="H804" s="15"/>
      <c r="I804" s="12"/>
      <c r="J804" s="5"/>
      <c r="K804" s="5"/>
      <c r="L804" s="8"/>
      <c r="M804" s="8"/>
      <c r="N804" s="8">
        <f>SUMIFS('[1]Finanace - Incentive Data'!BE:BE,'[1]Finanace - Incentive Data'!BS:BS,"Y",'[1]Finanace - Incentive Data'!H:H,$C$794,'[1]Finanace - Incentive Data'!R:R,$B804)</f>
        <v>0</v>
      </c>
      <c r="O804" s="8">
        <f t="shared" si="32"/>
        <v>0</v>
      </c>
    </row>
    <row r="805" spans="1:15" x14ac:dyDescent="0.3">
      <c r="A805" s="11"/>
      <c r="B805" s="5"/>
      <c r="C805" s="12"/>
      <c r="D805" s="13"/>
      <c r="E805" s="13"/>
      <c r="F805" s="5"/>
      <c r="G805" s="14"/>
      <c r="H805" s="15"/>
      <c r="I805" s="12"/>
      <c r="J805" s="5"/>
      <c r="K805" s="5"/>
      <c r="L805" s="8"/>
      <c r="M805" s="8"/>
      <c r="N805" s="8">
        <f>SUMIFS('[1]Finanace - Incentive Data'!BE:BE,'[1]Finanace - Incentive Data'!BS:BS,"Y",'[1]Finanace - Incentive Data'!H:H,$C$794,'[1]Finanace - Incentive Data'!R:R,$B805)</f>
        <v>0</v>
      </c>
      <c r="O805" s="8">
        <f t="shared" si="32"/>
        <v>0</v>
      </c>
    </row>
    <row r="806" spans="1:15" x14ac:dyDescent="0.3">
      <c r="A806" s="11"/>
      <c r="B806" s="5"/>
      <c r="C806" s="12"/>
      <c r="D806" s="13"/>
      <c r="E806" s="13"/>
      <c r="F806" s="5"/>
      <c r="G806" s="14"/>
      <c r="H806" s="15"/>
      <c r="I806" s="12"/>
      <c r="J806" s="5"/>
      <c r="K806" s="5"/>
      <c r="L806" s="8"/>
      <c r="M806" s="8"/>
      <c r="N806" s="8">
        <f>SUMIFS('[1]Finanace - Incentive Data'!BE:BE,'[1]Finanace - Incentive Data'!BS:BS,"Y",'[1]Finanace - Incentive Data'!H:H,$C$794,'[1]Finanace - Incentive Data'!R:R,$B806)</f>
        <v>0</v>
      </c>
      <c r="O806" s="8">
        <f t="shared" si="32"/>
        <v>0</v>
      </c>
    </row>
    <row r="807" spans="1:15" x14ac:dyDescent="0.3">
      <c r="A807" s="11"/>
      <c r="B807" s="5"/>
      <c r="C807" s="12"/>
      <c r="D807" s="13"/>
      <c r="E807" s="13"/>
      <c r="F807" s="5"/>
      <c r="G807" s="14"/>
      <c r="H807" s="15"/>
      <c r="I807" s="12"/>
      <c r="J807" s="5"/>
      <c r="K807" s="5"/>
      <c r="L807" s="8"/>
      <c r="M807" s="8"/>
      <c r="N807" s="8">
        <f>SUMIFS('[1]Finanace - Incentive Data'!BE:BE,'[1]Finanace - Incentive Data'!BS:BS,"Y",'[1]Finanace - Incentive Data'!H:H,$C$794,'[1]Finanace - Incentive Data'!R:R,$B807)</f>
        <v>0</v>
      </c>
      <c r="O807" s="8">
        <f t="shared" si="32"/>
        <v>0</v>
      </c>
    </row>
    <row r="808" spans="1:15" x14ac:dyDescent="0.3">
      <c r="A808" s="11"/>
      <c r="B808" s="5"/>
      <c r="C808" s="12"/>
      <c r="D808" s="13"/>
      <c r="E808" s="13"/>
      <c r="F808" s="5"/>
      <c r="G808" s="14"/>
      <c r="H808" s="15"/>
      <c r="I808" s="12"/>
      <c r="J808" s="5"/>
      <c r="K808" s="5"/>
      <c r="L808" s="8"/>
      <c r="M808" s="8"/>
      <c r="N808" s="8">
        <f>SUMIFS('[1]Finanace - Incentive Data'!BE:BE,'[1]Finanace - Incentive Data'!BS:BS,"Y",'[1]Finanace - Incentive Data'!H:H,$C$794,'[1]Finanace - Incentive Data'!R:R,$B808)</f>
        <v>0</v>
      </c>
      <c r="O808" s="8">
        <f t="shared" si="32"/>
        <v>0</v>
      </c>
    </row>
    <row r="809" spans="1:15" x14ac:dyDescent="0.3">
      <c r="A809" s="11"/>
      <c r="B809" s="5"/>
      <c r="C809" s="12"/>
      <c r="D809" s="13"/>
      <c r="E809" s="13"/>
      <c r="F809" s="5"/>
      <c r="G809" s="14"/>
      <c r="H809" s="15"/>
      <c r="I809" s="12"/>
      <c r="J809" s="5"/>
      <c r="K809" s="5"/>
      <c r="L809" s="8"/>
      <c r="M809" s="8"/>
      <c r="N809" s="8">
        <f>SUMIFS('[1]Finanace - Incentive Data'!BE:BE,'[1]Finanace - Incentive Data'!BS:BS,"Y",'[1]Finanace - Incentive Data'!H:H,$C$794,'[1]Finanace - Incentive Data'!R:R,$B809)</f>
        <v>0</v>
      </c>
      <c r="O809" s="8">
        <f t="shared" si="32"/>
        <v>0</v>
      </c>
    </row>
    <row r="810" spans="1:15" x14ac:dyDescent="0.3">
      <c r="A810" s="11"/>
      <c r="B810" s="5"/>
      <c r="C810" s="12"/>
      <c r="D810" s="13"/>
      <c r="E810" s="13"/>
      <c r="F810" s="5"/>
      <c r="G810" s="14"/>
      <c r="H810" s="15"/>
      <c r="I810" s="12"/>
      <c r="J810" s="5"/>
      <c r="K810" s="5"/>
      <c r="L810" s="8"/>
      <c r="M810" s="8"/>
      <c r="N810" s="8">
        <f>SUMIFS('[1]Finanace - Incentive Data'!BE:BE,'[1]Finanace - Incentive Data'!BS:BS,"Y",'[1]Finanace - Incentive Data'!H:H,$C$794,'[1]Finanace - Incentive Data'!R:R,$B810)</f>
        <v>0</v>
      </c>
      <c r="O810" s="8">
        <f t="shared" si="32"/>
        <v>0</v>
      </c>
    </row>
    <row r="811" spans="1:15" x14ac:dyDescent="0.3">
      <c r="A811" s="11"/>
      <c r="B811" s="5"/>
      <c r="C811" s="12"/>
      <c r="D811" s="13"/>
      <c r="E811" s="13"/>
      <c r="F811" s="5"/>
      <c r="G811" s="14"/>
      <c r="H811" s="15"/>
      <c r="I811" s="12"/>
      <c r="J811" s="5"/>
      <c r="K811" s="5"/>
      <c r="L811" s="8"/>
      <c r="M811" s="8"/>
      <c r="N811" s="8">
        <f>SUMIFS('[1]Finanace - Incentive Data'!BE:BE,'[1]Finanace - Incentive Data'!BS:BS,"Y",'[1]Finanace - Incentive Data'!H:H,$C$794,'[1]Finanace - Incentive Data'!R:R,$B811)</f>
        <v>0</v>
      </c>
      <c r="O811" s="8">
        <f t="shared" si="32"/>
        <v>0</v>
      </c>
    </row>
    <row r="812" spans="1:15" x14ac:dyDescent="0.3">
      <c r="A812" s="11"/>
      <c r="B812" s="5"/>
      <c r="C812" s="12"/>
      <c r="D812" s="13"/>
      <c r="E812" s="13"/>
      <c r="F812" s="5"/>
      <c r="G812" s="14"/>
      <c r="H812" s="15"/>
      <c r="I812" s="12"/>
      <c r="J812" s="5"/>
      <c r="K812" s="5"/>
      <c r="L812" s="8"/>
      <c r="M812" s="8"/>
      <c r="N812" s="8">
        <f>SUMIFS('[1]Finanace - Incentive Data'!BE:BE,'[1]Finanace - Incentive Data'!BS:BS,"Y",'[1]Finanace - Incentive Data'!H:H,$C$794,'[1]Finanace - Incentive Data'!R:R,$B812)</f>
        <v>0</v>
      </c>
      <c r="O812" s="8">
        <f t="shared" si="32"/>
        <v>0</v>
      </c>
    </row>
    <row r="813" spans="1:15" x14ac:dyDescent="0.3">
      <c r="A813" s="11"/>
      <c r="B813" s="5"/>
      <c r="C813" s="12"/>
      <c r="D813" s="13"/>
      <c r="E813" s="13"/>
      <c r="F813" s="5"/>
      <c r="G813" s="14"/>
      <c r="H813" s="15"/>
      <c r="I813" s="12"/>
      <c r="J813" s="5"/>
      <c r="K813" s="5"/>
      <c r="L813" s="8"/>
      <c r="M813" s="8"/>
      <c r="N813" s="8">
        <f>SUMIFS('[1]Finanace - Incentive Data'!BE:BE,'[1]Finanace - Incentive Data'!BS:BS,"Y",'[1]Finanace - Incentive Data'!H:H,$C$794,'[1]Finanace - Incentive Data'!R:R,$B813)</f>
        <v>0</v>
      </c>
      <c r="O813" s="8">
        <f t="shared" si="32"/>
        <v>0</v>
      </c>
    </row>
    <row r="814" spans="1:15" x14ac:dyDescent="0.3">
      <c r="A814" s="11"/>
      <c r="B814" s="5"/>
      <c r="C814" s="12"/>
      <c r="D814" s="13"/>
      <c r="E814" s="13"/>
      <c r="F814" s="5"/>
      <c r="G814" s="14"/>
      <c r="H814" s="15"/>
      <c r="I814" s="12"/>
      <c r="J814" s="5"/>
      <c r="K814" s="5"/>
      <c r="L814" s="8"/>
      <c r="M814" s="8"/>
      <c r="N814" s="8">
        <f>SUMIFS('[1]Finanace - Incentive Data'!BE:BE,'[1]Finanace - Incentive Data'!BS:BS,"Y",'[1]Finanace - Incentive Data'!H:H,$C$794,'[1]Finanace - Incentive Data'!R:R,$B814)</f>
        <v>0</v>
      </c>
      <c r="O814" s="8">
        <f t="shared" si="32"/>
        <v>0</v>
      </c>
    </row>
    <row r="817" spans="1:15" ht="43.2" x14ac:dyDescent="0.3">
      <c r="A817" s="1" t="s">
        <v>0</v>
      </c>
      <c r="B817" s="1" t="s">
        <v>1</v>
      </c>
      <c r="C817" s="1" t="s">
        <v>2</v>
      </c>
      <c r="D817" s="1" t="s">
        <v>3</v>
      </c>
      <c r="E817" s="1" t="s">
        <v>4</v>
      </c>
      <c r="F817" s="1" t="s">
        <v>5</v>
      </c>
      <c r="G817" s="1" t="s">
        <v>6</v>
      </c>
      <c r="H817" s="1" t="s">
        <v>7</v>
      </c>
      <c r="I817" s="1" t="s">
        <v>8</v>
      </c>
      <c r="J817" s="1" t="s">
        <v>9</v>
      </c>
      <c r="K817" s="2" t="s">
        <v>10</v>
      </c>
      <c r="L817" s="2" t="s">
        <v>11</v>
      </c>
      <c r="M817" s="3"/>
      <c r="N817" s="3"/>
    </row>
    <row r="818" spans="1:15" x14ac:dyDescent="0.3">
      <c r="A818" s="5" t="s">
        <v>12</v>
      </c>
      <c r="B818" s="4" t="str">
        <f>_xlfn.XLOOKUP($C818,'[1]Basic EMP Data - 2026'!$D$3:$D$224,'[1]Basic EMP Data - 2026'!$C$3:$C$224)</f>
        <v>VB2244</v>
      </c>
      <c r="C818" s="6" t="s">
        <v>58</v>
      </c>
      <c r="D818" s="5" t="str">
        <f>VLOOKUP($B818,'[1]Basic EMP Data - 2026'!$C$3:$F$224,3,0)</f>
        <v>Vikas Malik</v>
      </c>
      <c r="E818" s="5">
        <f>VLOOKUP($B818,'[1]Basic EMP Data - 2026'!$C$3:$I$224,5,0)</f>
        <v>6</v>
      </c>
      <c r="F818" s="5">
        <f>VLOOKUP($B818,'[1]Basic EMP Data - 2026'!$C$3:$I$224,6,0)</f>
        <v>0</v>
      </c>
      <c r="G818" s="7">
        <f>F818/E818</f>
        <v>0</v>
      </c>
      <c r="H818" s="8">
        <f>SUM(L820:L838)</f>
        <v>5279</v>
      </c>
      <c r="I818" s="9" t="str" cm="1">
        <f t="array" ref="I818">_xlfn.IFS($G818&lt;=34%,"No slab",$G818&lt;=75%,"Slab 1",$G818&lt;=120%,"Slab 2",$G818&gt;120%,"Slab 3")</f>
        <v>No slab</v>
      </c>
      <c r="J818" s="8" cm="1">
        <f t="array" ref="J818">SUMPRODUCT((C820:C838=2026)*M820:M838*2)</f>
        <v>0</v>
      </c>
      <c r="K818" s="5">
        <f>SUM(N820:N838)</f>
        <v>0</v>
      </c>
      <c r="L818" s="8">
        <f>J818-K818</f>
        <v>0</v>
      </c>
      <c r="M818" s="3"/>
      <c r="N818" s="3"/>
    </row>
    <row r="819" spans="1:15" ht="43.2" x14ac:dyDescent="0.3">
      <c r="A819" s="10" t="s">
        <v>2</v>
      </c>
      <c r="B819" s="10" t="s">
        <v>14</v>
      </c>
      <c r="C819" s="10" t="s">
        <v>15</v>
      </c>
      <c r="D819" s="10" t="s">
        <v>16</v>
      </c>
      <c r="E819" s="10" t="s">
        <v>17</v>
      </c>
      <c r="F819" s="10" t="s">
        <v>18</v>
      </c>
      <c r="G819" s="10" t="s">
        <v>19</v>
      </c>
      <c r="H819" s="10" t="s">
        <v>20</v>
      </c>
      <c r="I819" s="10" t="s">
        <v>21</v>
      </c>
      <c r="J819" s="10" t="s">
        <v>22</v>
      </c>
      <c r="K819" s="10" t="s">
        <v>23</v>
      </c>
      <c r="L819" s="10" t="s">
        <v>24</v>
      </c>
      <c r="M819" s="10" t="s">
        <v>25</v>
      </c>
      <c r="N819" s="10" t="s">
        <v>26</v>
      </c>
      <c r="O819" s="10" t="s">
        <v>27</v>
      </c>
    </row>
    <row r="820" spans="1:15" x14ac:dyDescent="0.3">
      <c r="A820" s="11" t="str">
        <f>C818</f>
        <v>Roshan Chaturvedi</v>
      </c>
      <c r="B820" s="5" t="str" cm="1">
        <f t="array" ref="B820:M820">_xlfn.LET(
  _xlpm.data, _xlfn._xlws.FILTER('[1]Finanace - Incentive Data'!A:CA, '[1]Finanace - Incentive Data'!H:H=$C818),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Venkata Aditya Kumar Mulukutla</v>
      </c>
      <c r="C820" s="12">
        <v>2026</v>
      </c>
      <c r="D820" s="13">
        <v>46048</v>
      </c>
      <c r="E820" s="13">
        <v>46106</v>
      </c>
      <c r="F820" s="5" t="str">
        <v>Wipro</v>
      </c>
      <c r="G820" s="14" t="str">
        <v>PLC-4680</v>
      </c>
      <c r="H820" s="15" t="str">
        <v>C2C</v>
      </c>
      <c r="I820" s="12" t="str">
        <v>-</v>
      </c>
      <c r="J820" s="5" t="str">
        <v>-</v>
      </c>
      <c r="K820" s="5">
        <v>328</v>
      </c>
      <c r="L820" s="8">
        <v>5279</v>
      </c>
      <c r="M820" s="8">
        <v>0</v>
      </c>
      <c r="N820" s="8">
        <f>SUMIFS('[1]Finanace - Incentive Data'!BE:BE,'[1]Finanace - Incentive Data'!BS:BS,"Y",'[1]Finanace - Incentive Data'!H:H,$C$818,'[1]Finanace - Incentive Data'!R:R,$B820)</f>
        <v>0</v>
      </c>
      <c r="O820" s="8">
        <f>M820-N820</f>
        <v>0</v>
      </c>
    </row>
    <row r="821" spans="1:15" x14ac:dyDescent="0.3">
      <c r="A821" s="11"/>
      <c r="B821" s="5"/>
      <c r="C821" s="12"/>
      <c r="D821" s="13"/>
      <c r="E821" s="13"/>
      <c r="F821" s="5"/>
      <c r="G821" s="14"/>
      <c r="H821" s="15"/>
      <c r="I821" s="12"/>
      <c r="J821" s="5"/>
      <c r="K821" s="5"/>
      <c r="L821" s="8"/>
      <c r="M821" s="8"/>
      <c r="N821" s="8">
        <f>SUMIFS('[1]Finanace - Incentive Data'!BE:BE,'[1]Finanace - Incentive Data'!BS:BS,"Y",'[1]Finanace - Incentive Data'!H:H,$C$818,'[1]Finanace - Incentive Data'!R:R,$B821)</f>
        <v>0</v>
      </c>
      <c r="O821" s="8">
        <f t="shared" ref="O821:O838" si="33">M821-N821</f>
        <v>0</v>
      </c>
    </row>
    <row r="822" spans="1:15" x14ac:dyDescent="0.3">
      <c r="A822" s="11"/>
      <c r="B822" s="5"/>
      <c r="C822" s="12"/>
      <c r="D822" s="13"/>
      <c r="E822" s="13"/>
      <c r="F822" s="5"/>
      <c r="G822" s="14"/>
      <c r="H822" s="15"/>
      <c r="I822" s="12"/>
      <c r="J822" s="5"/>
      <c r="K822" s="5"/>
      <c r="L822" s="8"/>
      <c r="M822" s="8"/>
      <c r="N822" s="8">
        <f>SUMIFS('[1]Finanace - Incentive Data'!BE:BE,'[1]Finanace - Incentive Data'!BS:BS,"Y",'[1]Finanace - Incentive Data'!H:H,$C$818,'[1]Finanace - Incentive Data'!R:R,$B822)</f>
        <v>0</v>
      </c>
      <c r="O822" s="8">
        <f t="shared" si="33"/>
        <v>0</v>
      </c>
    </row>
    <row r="823" spans="1:15" x14ac:dyDescent="0.3">
      <c r="A823" s="11"/>
      <c r="B823" s="5"/>
      <c r="C823" s="12"/>
      <c r="D823" s="13"/>
      <c r="E823" s="13"/>
      <c r="F823" s="5"/>
      <c r="G823" s="14"/>
      <c r="H823" s="15"/>
      <c r="I823" s="12"/>
      <c r="J823" s="5"/>
      <c r="K823" s="5"/>
      <c r="L823" s="8"/>
      <c r="M823" s="8"/>
      <c r="N823" s="8">
        <f>SUMIFS('[1]Finanace - Incentive Data'!BE:BE,'[1]Finanace - Incentive Data'!BS:BS,"Y",'[1]Finanace - Incentive Data'!H:H,$C$818,'[1]Finanace - Incentive Data'!R:R,$B823)</f>
        <v>0</v>
      </c>
      <c r="O823" s="8">
        <f t="shared" si="33"/>
        <v>0</v>
      </c>
    </row>
    <row r="824" spans="1:15" x14ac:dyDescent="0.3">
      <c r="A824" s="11"/>
      <c r="B824" s="5"/>
      <c r="C824" s="12"/>
      <c r="D824" s="13"/>
      <c r="E824" s="13"/>
      <c r="F824" s="5"/>
      <c r="G824" s="14"/>
      <c r="H824" s="15"/>
      <c r="I824" s="12"/>
      <c r="J824" s="5"/>
      <c r="K824" s="5"/>
      <c r="L824" s="8"/>
      <c r="M824" s="8"/>
      <c r="N824" s="8">
        <f>SUMIFS('[1]Finanace - Incentive Data'!BE:BE,'[1]Finanace - Incentive Data'!BS:BS,"Y",'[1]Finanace - Incentive Data'!H:H,$C$818,'[1]Finanace - Incentive Data'!R:R,$B824)</f>
        <v>0</v>
      </c>
      <c r="O824" s="8">
        <f t="shared" si="33"/>
        <v>0</v>
      </c>
    </row>
    <row r="825" spans="1:15" x14ac:dyDescent="0.3">
      <c r="A825" s="11"/>
      <c r="B825" s="5"/>
      <c r="C825" s="12"/>
      <c r="D825" s="13"/>
      <c r="E825" s="13"/>
      <c r="F825" s="5"/>
      <c r="G825" s="14"/>
      <c r="H825" s="15"/>
      <c r="I825" s="12"/>
      <c r="J825" s="5"/>
      <c r="K825" s="5"/>
      <c r="L825" s="8"/>
      <c r="M825" s="8"/>
      <c r="N825" s="8">
        <f>SUMIFS('[1]Finanace - Incentive Data'!BE:BE,'[1]Finanace - Incentive Data'!BS:BS,"Y",'[1]Finanace - Incentive Data'!H:H,$C$818,'[1]Finanace - Incentive Data'!R:R,$B825)</f>
        <v>0</v>
      </c>
      <c r="O825" s="8">
        <f t="shared" si="33"/>
        <v>0</v>
      </c>
    </row>
    <row r="826" spans="1:15" x14ac:dyDescent="0.3">
      <c r="A826" s="11"/>
      <c r="B826" s="5"/>
      <c r="C826" s="12"/>
      <c r="D826" s="13"/>
      <c r="E826" s="13"/>
      <c r="F826" s="5"/>
      <c r="G826" s="14"/>
      <c r="H826" s="15"/>
      <c r="I826" s="12"/>
      <c r="J826" s="5"/>
      <c r="K826" s="5"/>
      <c r="L826" s="8"/>
      <c r="M826" s="8"/>
      <c r="N826" s="8">
        <f>SUMIFS('[1]Finanace - Incentive Data'!BE:BE,'[1]Finanace - Incentive Data'!BS:BS,"Y",'[1]Finanace - Incentive Data'!H:H,$C$818,'[1]Finanace - Incentive Data'!R:R,$B826)</f>
        <v>0</v>
      </c>
      <c r="O826" s="8">
        <f t="shared" si="33"/>
        <v>0</v>
      </c>
    </row>
    <row r="827" spans="1:15" x14ac:dyDescent="0.3">
      <c r="A827" s="11"/>
      <c r="B827" s="5"/>
      <c r="C827" s="12"/>
      <c r="D827" s="13"/>
      <c r="E827" s="13"/>
      <c r="F827" s="5"/>
      <c r="G827" s="14"/>
      <c r="H827" s="15"/>
      <c r="I827" s="12"/>
      <c r="J827" s="5"/>
      <c r="K827" s="5"/>
      <c r="L827" s="8"/>
      <c r="M827" s="8"/>
      <c r="N827" s="8">
        <f>SUMIFS('[1]Finanace - Incentive Data'!BE:BE,'[1]Finanace - Incentive Data'!BS:BS,"Y",'[1]Finanace - Incentive Data'!H:H,$C$818,'[1]Finanace - Incentive Data'!R:R,$B827)</f>
        <v>0</v>
      </c>
      <c r="O827" s="8">
        <f t="shared" si="33"/>
        <v>0</v>
      </c>
    </row>
    <row r="828" spans="1:15" x14ac:dyDescent="0.3">
      <c r="A828" s="11"/>
      <c r="B828" s="5"/>
      <c r="C828" s="12"/>
      <c r="D828" s="13"/>
      <c r="E828" s="13"/>
      <c r="F828" s="5"/>
      <c r="G828" s="14"/>
      <c r="H828" s="15"/>
      <c r="I828" s="12"/>
      <c r="J828" s="5"/>
      <c r="K828" s="5"/>
      <c r="L828" s="8"/>
      <c r="M828" s="8"/>
      <c r="N828" s="8">
        <f>SUMIFS('[1]Finanace - Incentive Data'!BE:BE,'[1]Finanace - Incentive Data'!BS:BS,"Y",'[1]Finanace - Incentive Data'!H:H,$C$818,'[1]Finanace - Incentive Data'!R:R,$B828)</f>
        <v>0</v>
      </c>
      <c r="O828" s="8">
        <f t="shared" si="33"/>
        <v>0</v>
      </c>
    </row>
    <row r="829" spans="1:15" x14ac:dyDescent="0.3">
      <c r="A829" s="11"/>
      <c r="B829" s="5"/>
      <c r="C829" s="12"/>
      <c r="D829" s="13"/>
      <c r="E829" s="13"/>
      <c r="F829" s="5"/>
      <c r="G829" s="14"/>
      <c r="H829" s="15"/>
      <c r="I829" s="12"/>
      <c r="J829" s="5"/>
      <c r="K829" s="5"/>
      <c r="L829" s="8"/>
      <c r="M829" s="8"/>
      <c r="N829" s="8">
        <f>SUMIFS('[1]Finanace - Incentive Data'!BE:BE,'[1]Finanace - Incentive Data'!BS:BS,"Y",'[1]Finanace - Incentive Data'!H:H,$C$818,'[1]Finanace - Incentive Data'!R:R,$B829)</f>
        <v>0</v>
      </c>
      <c r="O829" s="8">
        <f t="shared" si="33"/>
        <v>0</v>
      </c>
    </row>
    <row r="830" spans="1:15" x14ac:dyDescent="0.3">
      <c r="A830" s="11"/>
      <c r="B830" s="5"/>
      <c r="C830" s="12"/>
      <c r="D830" s="13"/>
      <c r="E830" s="13"/>
      <c r="F830" s="5"/>
      <c r="G830" s="14"/>
      <c r="H830" s="15"/>
      <c r="I830" s="12"/>
      <c r="J830" s="5"/>
      <c r="K830" s="5"/>
      <c r="L830" s="8"/>
      <c r="M830" s="8"/>
      <c r="N830" s="8">
        <f>SUMIFS('[1]Finanace - Incentive Data'!BE:BE,'[1]Finanace - Incentive Data'!BS:BS,"Y",'[1]Finanace - Incentive Data'!H:H,$C$818,'[1]Finanace - Incentive Data'!R:R,$B830)</f>
        <v>0</v>
      </c>
      <c r="O830" s="8">
        <f t="shared" si="33"/>
        <v>0</v>
      </c>
    </row>
    <row r="831" spans="1:15" x14ac:dyDescent="0.3">
      <c r="A831" s="11"/>
      <c r="B831" s="5"/>
      <c r="C831" s="12"/>
      <c r="D831" s="13"/>
      <c r="E831" s="13"/>
      <c r="F831" s="5"/>
      <c r="G831" s="14"/>
      <c r="H831" s="15"/>
      <c r="I831" s="12"/>
      <c r="J831" s="5"/>
      <c r="K831" s="5"/>
      <c r="L831" s="8"/>
      <c r="M831" s="8"/>
      <c r="N831" s="8">
        <f>SUMIFS('[1]Finanace - Incentive Data'!BE:BE,'[1]Finanace - Incentive Data'!BS:BS,"Y",'[1]Finanace - Incentive Data'!H:H,$C$818,'[1]Finanace - Incentive Data'!R:R,$B831)</f>
        <v>0</v>
      </c>
      <c r="O831" s="8">
        <f t="shared" si="33"/>
        <v>0</v>
      </c>
    </row>
    <row r="832" spans="1:15" x14ac:dyDescent="0.3">
      <c r="A832" s="11"/>
      <c r="B832" s="5"/>
      <c r="C832" s="12"/>
      <c r="D832" s="13"/>
      <c r="E832" s="13"/>
      <c r="F832" s="5"/>
      <c r="G832" s="14"/>
      <c r="H832" s="15"/>
      <c r="I832" s="12"/>
      <c r="J832" s="5"/>
      <c r="K832" s="5"/>
      <c r="L832" s="8"/>
      <c r="M832" s="8"/>
      <c r="N832" s="8">
        <f>SUMIFS('[1]Finanace - Incentive Data'!BE:BE,'[1]Finanace - Incentive Data'!BS:BS,"Y",'[1]Finanace - Incentive Data'!H:H,$C$818,'[1]Finanace - Incentive Data'!R:R,$B832)</f>
        <v>0</v>
      </c>
      <c r="O832" s="8">
        <f t="shared" si="33"/>
        <v>0</v>
      </c>
    </row>
    <row r="833" spans="1:15" x14ac:dyDescent="0.3">
      <c r="A833" s="11"/>
      <c r="B833" s="5"/>
      <c r="C833" s="12"/>
      <c r="D833" s="13"/>
      <c r="E833" s="13"/>
      <c r="F833" s="5"/>
      <c r="G833" s="14"/>
      <c r="H833" s="15"/>
      <c r="I833" s="12"/>
      <c r="J833" s="5"/>
      <c r="K833" s="5"/>
      <c r="L833" s="8"/>
      <c r="M833" s="8"/>
      <c r="N833" s="8">
        <f>SUMIFS('[1]Finanace - Incentive Data'!BE:BE,'[1]Finanace - Incentive Data'!BS:BS,"Y",'[1]Finanace - Incentive Data'!H:H,$C$818,'[1]Finanace - Incentive Data'!R:R,$B833)</f>
        <v>0</v>
      </c>
      <c r="O833" s="8">
        <f t="shared" si="33"/>
        <v>0</v>
      </c>
    </row>
    <row r="834" spans="1:15" x14ac:dyDescent="0.3">
      <c r="A834" s="11"/>
      <c r="B834" s="5"/>
      <c r="C834" s="12"/>
      <c r="D834" s="13"/>
      <c r="E834" s="13"/>
      <c r="F834" s="5"/>
      <c r="G834" s="14"/>
      <c r="H834" s="15"/>
      <c r="I834" s="12"/>
      <c r="J834" s="5"/>
      <c r="K834" s="5"/>
      <c r="L834" s="8"/>
      <c r="M834" s="8"/>
      <c r="N834" s="8">
        <f>SUMIFS('[1]Finanace - Incentive Data'!BE:BE,'[1]Finanace - Incentive Data'!BS:BS,"Y",'[1]Finanace - Incentive Data'!H:H,$C$818,'[1]Finanace - Incentive Data'!R:R,$B834)</f>
        <v>0</v>
      </c>
      <c r="O834" s="8">
        <f t="shared" si="33"/>
        <v>0</v>
      </c>
    </row>
    <row r="835" spans="1:15" x14ac:dyDescent="0.3">
      <c r="A835" s="11"/>
      <c r="B835" s="5"/>
      <c r="C835" s="12"/>
      <c r="D835" s="13"/>
      <c r="E835" s="13"/>
      <c r="F835" s="5"/>
      <c r="G835" s="14"/>
      <c r="H835" s="15"/>
      <c r="I835" s="12"/>
      <c r="J835" s="5"/>
      <c r="K835" s="5"/>
      <c r="L835" s="8"/>
      <c r="M835" s="8"/>
      <c r="N835" s="8">
        <f>SUMIFS('[1]Finanace - Incentive Data'!BE:BE,'[1]Finanace - Incentive Data'!BS:BS,"Y",'[1]Finanace - Incentive Data'!H:H,$C$818,'[1]Finanace - Incentive Data'!R:R,$B835)</f>
        <v>0</v>
      </c>
      <c r="O835" s="8">
        <f t="shared" si="33"/>
        <v>0</v>
      </c>
    </row>
    <row r="836" spans="1:15" x14ac:dyDescent="0.3">
      <c r="A836" s="11"/>
      <c r="B836" s="5"/>
      <c r="C836" s="12"/>
      <c r="D836" s="13"/>
      <c r="E836" s="13"/>
      <c r="F836" s="5"/>
      <c r="G836" s="14"/>
      <c r="H836" s="15"/>
      <c r="I836" s="12"/>
      <c r="J836" s="5"/>
      <c r="K836" s="5"/>
      <c r="L836" s="8"/>
      <c r="M836" s="8"/>
      <c r="N836" s="8">
        <f>SUMIFS('[1]Finanace - Incentive Data'!BE:BE,'[1]Finanace - Incentive Data'!BS:BS,"Y",'[1]Finanace - Incentive Data'!H:H,$C$818,'[1]Finanace - Incentive Data'!R:R,$B836)</f>
        <v>0</v>
      </c>
      <c r="O836" s="8">
        <f t="shared" si="33"/>
        <v>0</v>
      </c>
    </row>
    <row r="837" spans="1:15" x14ac:dyDescent="0.3">
      <c r="A837" s="11"/>
      <c r="B837" s="5"/>
      <c r="C837" s="12"/>
      <c r="D837" s="13"/>
      <c r="E837" s="13"/>
      <c r="F837" s="5"/>
      <c r="G837" s="14"/>
      <c r="H837" s="15"/>
      <c r="I837" s="12"/>
      <c r="J837" s="5"/>
      <c r="K837" s="5"/>
      <c r="L837" s="8"/>
      <c r="M837" s="8"/>
      <c r="N837" s="8">
        <f>SUMIFS('[1]Finanace - Incentive Data'!BE:BE,'[1]Finanace - Incentive Data'!BS:BS,"Y",'[1]Finanace - Incentive Data'!H:H,$C$818,'[1]Finanace - Incentive Data'!R:R,$B837)</f>
        <v>0</v>
      </c>
      <c r="O837" s="8">
        <f t="shared" si="33"/>
        <v>0</v>
      </c>
    </row>
    <row r="838" spans="1:15" x14ac:dyDescent="0.3">
      <c r="A838" s="11"/>
      <c r="B838" s="5"/>
      <c r="C838" s="12"/>
      <c r="D838" s="13"/>
      <c r="E838" s="13"/>
      <c r="F838" s="5"/>
      <c r="G838" s="14"/>
      <c r="H838" s="15"/>
      <c r="I838" s="12"/>
      <c r="J838" s="5"/>
      <c r="K838" s="5"/>
      <c r="L838" s="8"/>
      <c r="M838" s="8"/>
      <c r="N838" s="8">
        <f>SUMIFS('[1]Finanace - Incentive Data'!BE:BE,'[1]Finanace - Incentive Data'!BS:BS,"Y",'[1]Finanace - Incentive Data'!H:H,$C$818,'[1]Finanace - Incentive Data'!R:R,$B838)</f>
        <v>0</v>
      </c>
      <c r="O838" s="8">
        <f t="shared" si="33"/>
        <v>0</v>
      </c>
    </row>
    <row r="841" spans="1:15" ht="43.2" x14ac:dyDescent="0.3">
      <c r="A841" s="1" t="s">
        <v>0</v>
      </c>
      <c r="B841" s="1" t="s">
        <v>1</v>
      </c>
      <c r="C841" s="1" t="s">
        <v>2</v>
      </c>
      <c r="D841" s="1" t="s">
        <v>3</v>
      </c>
      <c r="E841" s="1" t="s">
        <v>4</v>
      </c>
      <c r="F841" s="1" t="s">
        <v>5</v>
      </c>
      <c r="G841" s="1" t="s">
        <v>6</v>
      </c>
      <c r="H841" s="1" t="s">
        <v>7</v>
      </c>
      <c r="I841" s="1" t="s">
        <v>8</v>
      </c>
      <c r="J841" s="1" t="s">
        <v>9</v>
      </c>
      <c r="K841" s="2" t="s">
        <v>10</v>
      </c>
      <c r="L841" s="2" t="s">
        <v>11</v>
      </c>
      <c r="M841" s="3"/>
      <c r="N841" s="3"/>
    </row>
    <row r="842" spans="1:15" x14ac:dyDescent="0.3">
      <c r="A842" s="5" t="s">
        <v>12</v>
      </c>
      <c r="B842" s="4" t="str">
        <f>_xlfn.XLOOKUP($C842,'[1]Basic EMP Data - 2026'!$D$3:$D$224,'[1]Basic EMP Data - 2026'!$C$3:$C$224)</f>
        <v>VB2248</v>
      </c>
      <c r="C842" s="6" t="s">
        <v>59</v>
      </c>
      <c r="D842" s="5" t="str">
        <f>VLOOKUP($B842,'[1]Basic EMP Data - 2026'!$C$3:$F$224,3,0)</f>
        <v>Vikas Malik</v>
      </c>
      <c r="E842" s="5">
        <f>VLOOKUP($B842,'[1]Basic EMP Data - 2026'!$C$3:$I$224,5,0)</f>
        <v>7</v>
      </c>
      <c r="F842" s="5">
        <f>VLOOKUP($B842,'[1]Basic EMP Data - 2026'!$C$3:$I$224,6,0)</f>
        <v>1</v>
      </c>
      <c r="G842" s="7">
        <f>F842/E842</f>
        <v>0.14285714285714285</v>
      </c>
      <c r="H842" s="8">
        <f>SUM(L844:L862)</f>
        <v>1500</v>
      </c>
      <c r="I842" s="9" t="str" cm="1">
        <f t="array" ref="I842">_xlfn.IFS($G842&lt;=34%,"No slab",$G842&lt;=75%,"Slab 1",$G842&lt;=120%,"Slab 2",$G842&gt;120%,"Slab 3")</f>
        <v>No slab</v>
      </c>
      <c r="J842" s="8" cm="1">
        <f t="array" ref="J842">SUMPRODUCT((C844:C862=2026)*M844:M862*2)</f>
        <v>0</v>
      </c>
      <c r="K842" s="5">
        <f>SUM(N844:N862)</f>
        <v>0</v>
      </c>
      <c r="L842" s="8">
        <f>J842-K842</f>
        <v>0</v>
      </c>
      <c r="M842" s="3"/>
      <c r="N842" s="3"/>
    </row>
    <row r="843" spans="1:15" ht="43.2" x14ac:dyDescent="0.3">
      <c r="A843" s="10" t="s">
        <v>2</v>
      </c>
      <c r="B843" s="10" t="s">
        <v>14</v>
      </c>
      <c r="C843" s="10" t="s">
        <v>15</v>
      </c>
      <c r="D843" s="10" t="s">
        <v>16</v>
      </c>
      <c r="E843" s="10" t="s">
        <v>17</v>
      </c>
      <c r="F843" s="10" t="s">
        <v>18</v>
      </c>
      <c r="G843" s="10" t="s">
        <v>19</v>
      </c>
      <c r="H843" s="10" t="s">
        <v>20</v>
      </c>
      <c r="I843" s="10" t="s">
        <v>21</v>
      </c>
      <c r="J843" s="10" t="s">
        <v>22</v>
      </c>
      <c r="K843" s="10" t="s">
        <v>23</v>
      </c>
      <c r="L843" s="10" t="s">
        <v>24</v>
      </c>
      <c r="M843" s="10" t="s">
        <v>25</v>
      </c>
      <c r="N843" s="10" t="s">
        <v>26</v>
      </c>
      <c r="O843" s="10" t="s">
        <v>27</v>
      </c>
    </row>
    <row r="844" spans="1:15" x14ac:dyDescent="0.3">
      <c r="A844" s="11" t="str">
        <f>C842</f>
        <v>Kajal Saini</v>
      </c>
      <c r="B844" s="5" t="str" cm="1">
        <f t="array" ref="B844:M844">_xlfn.LET(
  _xlpm.data, _xlfn._xlws.FILTER('[1]Finanace - Incentive Data'!A:CA, '[1]Finanace - Incentive Data'!H:H=$C842),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Soujanya Gattu</v>
      </c>
      <c r="C844" s="12">
        <v>2026</v>
      </c>
      <c r="D844" s="13">
        <v>46042</v>
      </c>
      <c r="E844" s="13">
        <v>0</v>
      </c>
      <c r="F844" s="5" t="str">
        <v>Wipro</v>
      </c>
      <c r="G844" s="14" t="str">
        <v>PLC-4681</v>
      </c>
      <c r="H844" s="15" t="str">
        <v>FTE</v>
      </c>
      <c r="I844" s="12" t="str">
        <v>-</v>
      </c>
      <c r="J844" s="5" t="str">
        <v>-</v>
      </c>
      <c r="K844" s="5">
        <v>1</v>
      </c>
      <c r="L844" s="8">
        <v>1500</v>
      </c>
      <c r="M844" s="8">
        <v>0</v>
      </c>
      <c r="N844" s="8">
        <f>SUMIFS('[1]Finanace - Incentive Data'!BE:BE,'[1]Finanace - Incentive Data'!BS:BS,"Y",'[1]Finanace - Incentive Data'!H:H,$C$842,'[1]Finanace - Incentive Data'!R:R,$B844)</f>
        <v>0</v>
      </c>
      <c r="O844" s="8">
        <f>M844-N844</f>
        <v>0</v>
      </c>
    </row>
    <row r="845" spans="1:15" x14ac:dyDescent="0.3">
      <c r="A845" s="11"/>
      <c r="B845" s="5"/>
      <c r="C845" s="12"/>
      <c r="D845" s="13"/>
      <c r="E845" s="13"/>
      <c r="F845" s="5"/>
      <c r="G845" s="14"/>
      <c r="H845" s="15"/>
      <c r="I845" s="12"/>
      <c r="J845" s="5"/>
      <c r="K845" s="5"/>
      <c r="L845" s="8"/>
      <c r="M845" s="8"/>
      <c r="N845" s="8">
        <f>SUMIFS('[1]Finanace - Incentive Data'!BE:BE,'[1]Finanace - Incentive Data'!BS:BS,"Y",'[1]Finanace - Incentive Data'!H:H,$C$842,'[1]Finanace - Incentive Data'!R:R,$B845)</f>
        <v>0</v>
      </c>
      <c r="O845" s="8">
        <f t="shared" ref="O845:O862" si="34">M845-N845</f>
        <v>0</v>
      </c>
    </row>
    <row r="846" spans="1:15" x14ac:dyDescent="0.3">
      <c r="A846" s="11"/>
      <c r="B846" s="5"/>
      <c r="C846" s="12"/>
      <c r="D846" s="13"/>
      <c r="E846" s="13"/>
      <c r="F846" s="5"/>
      <c r="G846" s="14"/>
      <c r="H846" s="15"/>
      <c r="I846" s="12"/>
      <c r="J846" s="5"/>
      <c r="K846" s="5"/>
      <c r="L846" s="8"/>
      <c r="M846" s="8"/>
      <c r="N846" s="8">
        <f>SUMIFS('[1]Finanace - Incentive Data'!BE:BE,'[1]Finanace - Incentive Data'!BS:BS,"Y",'[1]Finanace - Incentive Data'!H:H,$C$842,'[1]Finanace - Incentive Data'!R:R,$B846)</f>
        <v>0</v>
      </c>
      <c r="O846" s="8">
        <f t="shared" si="34"/>
        <v>0</v>
      </c>
    </row>
    <row r="847" spans="1:15" x14ac:dyDescent="0.3">
      <c r="A847" s="11"/>
      <c r="B847" s="5"/>
      <c r="C847" s="12"/>
      <c r="D847" s="13"/>
      <c r="E847" s="13"/>
      <c r="F847" s="5"/>
      <c r="G847" s="14"/>
      <c r="H847" s="15"/>
      <c r="I847" s="12"/>
      <c r="J847" s="5"/>
      <c r="K847" s="5"/>
      <c r="L847" s="8"/>
      <c r="M847" s="8"/>
      <c r="N847" s="8">
        <f>SUMIFS('[1]Finanace - Incentive Data'!BE:BE,'[1]Finanace - Incentive Data'!BS:BS,"Y",'[1]Finanace - Incentive Data'!H:H,$C$842,'[1]Finanace - Incentive Data'!R:R,$B847)</f>
        <v>0</v>
      </c>
      <c r="O847" s="8">
        <f t="shared" si="34"/>
        <v>0</v>
      </c>
    </row>
    <row r="848" spans="1:15" x14ac:dyDescent="0.3">
      <c r="A848" s="11"/>
      <c r="B848" s="5"/>
      <c r="C848" s="12"/>
      <c r="D848" s="13"/>
      <c r="E848" s="13"/>
      <c r="F848" s="5"/>
      <c r="G848" s="14"/>
      <c r="H848" s="15"/>
      <c r="I848" s="12"/>
      <c r="J848" s="5"/>
      <c r="K848" s="5"/>
      <c r="L848" s="8"/>
      <c r="M848" s="8"/>
      <c r="N848" s="8">
        <f>SUMIFS('[1]Finanace - Incentive Data'!BE:BE,'[1]Finanace - Incentive Data'!BS:BS,"Y",'[1]Finanace - Incentive Data'!H:H,$C$842,'[1]Finanace - Incentive Data'!R:R,$B848)</f>
        <v>0</v>
      </c>
      <c r="O848" s="8">
        <f t="shared" si="34"/>
        <v>0</v>
      </c>
    </row>
    <row r="849" spans="1:15" x14ac:dyDescent="0.3">
      <c r="A849" s="11"/>
      <c r="B849" s="5"/>
      <c r="C849" s="12"/>
      <c r="D849" s="13"/>
      <c r="E849" s="13"/>
      <c r="F849" s="5"/>
      <c r="G849" s="14"/>
      <c r="H849" s="15"/>
      <c r="I849" s="12"/>
      <c r="J849" s="5"/>
      <c r="K849" s="5"/>
      <c r="L849" s="8"/>
      <c r="M849" s="8"/>
      <c r="N849" s="8">
        <f>SUMIFS('[1]Finanace - Incentive Data'!BE:BE,'[1]Finanace - Incentive Data'!BS:BS,"Y",'[1]Finanace - Incentive Data'!H:H,$C$842,'[1]Finanace - Incentive Data'!R:R,$B849)</f>
        <v>0</v>
      </c>
      <c r="O849" s="8">
        <f t="shared" si="34"/>
        <v>0</v>
      </c>
    </row>
    <row r="850" spans="1:15" x14ac:dyDescent="0.3">
      <c r="A850" s="11"/>
      <c r="B850" s="5"/>
      <c r="C850" s="12"/>
      <c r="D850" s="13"/>
      <c r="E850" s="13"/>
      <c r="F850" s="5"/>
      <c r="G850" s="14"/>
      <c r="H850" s="15"/>
      <c r="I850" s="12"/>
      <c r="J850" s="5"/>
      <c r="K850" s="5"/>
      <c r="L850" s="8"/>
      <c r="M850" s="8"/>
      <c r="N850" s="8">
        <f>SUMIFS('[1]Finanace - Incentive Data'!BE:BE,'[1]Finanace - Incentive Data'!BS:BS,"Y",'[1]Finanace - Incentive Data'!H:H,$C$842,'[1]Finanace - Incentive Data'!R:R,$B850)</f>
        <v>0</v>
      </c>
      <c r="O850" s="8">
        <f t="shared" si="34"/>
        <v>0</v>
      </c>
    </row>
    <row r="851" spans="1:15" x14ac:dyDescent="0.3">
      <c r="A851" s="11"/>
      <c r="B851" s="5"/>
      <c r="C851" s="12"/>
      <c r="D851" s="13"/>
      <c r="E851" s="13"/>
      <c r="F851" s="5"/>
      <c r="G851" s="14"/>
      <c r="H851" s="15"/>
      <c r="I851" s="12"/>
      <c r="J851" s="5"/>
      <c r="K851" s="5"/>
      <c r="L851" s="8"/>
      <c r="M851" s="8"/>
      <c r="N851" s="8">
        <f>SUMIFS('[1]Finanace - Incentive Data'!BE:BE,'[1]Finanace - Incentive Data'!BS:BS,"Y",'[1]Finanace - Incentive Data'!H:H,$C$842,'[1]Finanace - Incentive Data'!R:R,$B851)</f>
        <v>0</v>
      </c>
      <c r="O851" s="8">
        <f t="shared" si="34"/>
        <v>0</v>
      </c>
    </row>
    <row r="852" spans="1:15" x14ac:dyDescent="0.3">
      <c r="A852" s="11"/>
      <c r="B852" s="5"/>
      <c r="C852" s="12"/>
      <c r="D852" s="13"/>
      <c r="E852" s="13"/>
      <c r="F852" s="5"/>
      <c r="G852" s="14"/>
      <c r="H852" s="15"/>
      <c r="I852" s="12"/>
      <c r="J852" s="5"/>
      <c r="K852" s="5"/>
      <c r="L852" s="8"/>
      <c r="M852" s="8"/>
      <c r="N852" s="8">
        <f>SUMIFS('[1]Finanace - Incentive Data'!BE:BE,'[1]Finanace - Incentive Data'!BS:BS,"Y",'[1]Finanace - Incentive Data'!H:H,$C$842,'[1]Finanace - Incentive Data'!R:R,$B852)</f>
        <v>0</v>
      </c>
      <c r="O852" s="8">
        <f t="shared" si="34"/>
        <v>0</v>
      </c>
    </row>
    <row r="853" spans="1:15" x14ac:dyDescent="0.3">
      <c r="A853" s="11"/>
      <c r="B853" s="5"/>
      <c r="C853" s="12"/>
      <c r="D853" s="13"/>
      <c r="E853" s="13"/>
      <c r="F853" s="5"/>
      <c r="G853" s="14"/>
      <c r="H853" s="15"/>
      <c r="I853" s="12"/>
      <c r="J853" s="5"/>
      <c r="K853" s="5"/>
      <c r="L853" s="8"/>
      <c r="M853" s="8"/>
      <c r="N853" s="8">
        <f>SUMIFS('[1]Finanace - Incentive Data'!BE:BE,'[1]Finanace - Incentive Data'!BS:BS,"Y",'[1]Finanace - Incentive Data'!H:H,$C$842,'[1]Finanace - Incentive Data'!R:R,$B853)</f>
        <v>0</v>
      </c>
      <c r="O853" s="8">
        <f t="shared" si="34"/>
        <v>0</v>
      </c>
    </row>
    <row r="854" spans="1:15" x14ac:dyDescent="0.3">
      <c r="A854" s="11"/>
      <c r="B854" s="5"/>
      <c r="C854" s="12"/>
      <c r="D854" s="13"/>
      <c r="E854" s="13"/>
      <c r="F854" s="5"/>
      <c r="G854" s="14"/>
      <c r="H854" s="15"/>
      <c r="I854" s="12"/>
      <c r="J854" s="5"/>
      <c r="K854" s="5"/>
      <c r="L854" s="8"/>
      <c r="M854" s="8"/>
      <c r="N854" s="8">
        <f>SUMIFS('[1]Finanace - Incentive Data'!BE:BE,'[1]Finanace - Incentive Data'!BS:BS,"Y",'[1]Finanace - Incentive Data'!H:H,$C$842,'[1]Finanace - Incentive Data'!R:R,$B854)</f>
        <v>0</v>
      </c>
      <c r="O854" s="8">
        <f t="shared" si="34"/>
        <v>0</v>
      </c>
    </row>
    <row r="855" spans="1:15" x14ac:dyDescent="0.3">
      <c r="A855" s="11"/>
      <c r="B855" s="5"/>
      <c r="C855" s="12"/>
      <c r="D855" s="13"/>
      <c r="E855" s="13"/>
      <c r="F855" s="5"/>
      <c r="G855" s="14"/>
      <c r="H855" s="15"/>
      <c r="I855" s="12"/>
      <c r="J855" s="5"/>
      <c r="K855" s="5"/>
      <c r="L855" s="8"/>
      <c r="M855" s="8"/>
      <c r="N855" s="8">
        <f>SUMIFS('[1]Finanace - Incentive Data'!BE:BE,'[1]Finanace - Incentive Data'!BS:BS,"Y",'[1]Finanace - Incentive Data'!H:H,$C$842,'[1]Finanace - Incentive Data'!R:R,$B855)</f>
        <v>0</v>
      </c>
      <c r="O855" s="8">
        <f t="shared" si="34"/>
        <v>0</v>
      </c>
    </row>
    <row r="856" spans="1:15" x14ac:dyDescent="0.3">
      <c r="A856" s="11"/>
      <c r="B856" s="5"/>
      <c r="C856" s="12"/>
      <c r="D856" s="13"/>
      <c r="E856" s="13"/>
      <c r="F856" s="5"/>
      <c r="G856" s="14"/>
      <c r="H856" s="15"/>
      <c r="I856" s="12"/>
      <c r="J856" s="5"/>
      <c r="K856" s="5"/>
      <c r="L856" s="8"/>
      <c r="M856" s="8"/>
      <c r="N856" s="8">
        <f>SUMIFS('[1]Finanace - Incentive Data'!BE:BE,'[1]Finanace - Incentive Data'!BS:BS,"Y",'[1]Finanace - Incentive Data'!H:H,$C$842,'[1]Finanace - Incentive Data'!R:R,$B856)</f>
        <v>0</v>
      </c>
      <c r="O856" s="8">
        <f t="shared" si="34"/>
        <v>0</v>
      </c>
    </row>
    <row r="857" spans="1:15" x14ac:dyDescent="0.3">
      <c r="A857" s="11"/>
      <c r="B857" s="5"/>
      <c r="C857" s="12"/>
      <c r="D857" s="13"/>
      <c r="E857" s="13"/>
      <c r="F857" s="5"/>
      <c r="G857" s="14"/>
      <c r="H857" s="15"/>
      <c r="I857" s="12"/>
      <c r="J857" s="5"/>
      <c r="K857" s="5"/>
      <c r="L857" s="8"/>
      <c r="M857" s="8"/>
      <c r="N857" s="8">
        <f>SUMIFS('[1]Finanace - Incentive Data'!BE:BE,'[1]Finanace - Incentive Data'!BS:BS,"Y",'[1]Finanace - Incentive Data'!H:H,$C$842,'[1]Finanace - Incentive Data'!R:R,$B857)</f>
        <v>0</v>
      </c>
      <c r="O857" s="8">
        <f t="shared" si="34"/>
        <v>0</v>
      </c>
    </row>
    <row r="858" spans="1:15" x14ac:dyDescent="0.3">
      <c r="A858" s="11"/>
      <c r="B858" s="5"/>
      <c r="C858" s="12"/>
      <c r="D858" s="13"/>
      <c r="E858" s="13"/>
      <c r="F858" s="5"/>
      <c r="G858" s="14"/>
      <c r="H858" s="15"/>
      <c r="I858" s="12"/>
      <c r="J858" s="5"/>
      <c r="K858" s="5"/>
      <c r="L858" s="8"/>
      <c r="M858" s="8"/>
      <c r="N858" s="8">
        <f>SUMIFS('[1]Finanace - Incentive Data'!BE:BE,'[1]Finanace - Incentive Data'!BS:BS,"Y",'[1]Finanace - Incentive Data'!H:H,$C$842,'[1]Finanace - Incentive Data'!R:R,$B858)</f>
        <v>0</v>
      </c>
      <c r="O858" s="8">
        <f t="shared" si="34"/>
        <v>0</v>
      </c>
    </row>
    <row r="859" spans="1:15" x14ac:dyDescent="0.3">
      <c r="A859" s="11"/>
      <c r="B859" s="5"/>
      <c r="C859" s="12"/>
      <c r="D859" s="13"/>
      <c r="E859" s="13"/>
      <c r="F859" s="5"/>
      <c r="G859" s="14"/>
      <c r="H859" s="15"/>
      <c r="I859" s="12"/>
      <c r="J859" s="5"/>
      <c r="K859" s="5"/>
      <c r="L859" s="8"/>
      <c r="M859" s="8"/>
      <c r="N859" s="8">
        <f>SUMIFS('[1]Finanace - Incentive Data'!BE:BE,'[1]Finanace - Incentive Data'!BS:BS,"Y",'[1]Finanace - Incentive Data'!H:H,$C$842,'[1]Finanace - Incentive Data'!R:R,$B859)</f>
        <v>0</v>
      </c>
      <c r="O859" s="8">
        <f t="shared" si="34"/>
        <v>0</v>
      </c>
    </row>
    <row r="860" spans="1:15" x14ac:dyDescent="0.3">
      <c r="A860" s="11"/>
      <c r="B860" s="5"/>
      <c r="C860" s="12"/>
      <c r="D860" s="13"/>
      <c r="E860" s="13"/>
      <c r="F860" s="5"/>
      <c r="G860" s="14"/>
      <c r="H860" s="15"/>
      <c r="I860" s="12"/>
      <c r="J860" s="5"/>
      <c r="K860" s="5"/>
      <c r="L860" s="8"/>
      <c r="M860" s="8"/>
      <c r="N860" s="8">
        <f>SUMIFS('[1]Finanace - Incentive Data'!BE:BE,'[1]Finanace - Incentive Data'!BS:BS,"Y",'[1]Finanace - Incentive Data'!H:H,$C$842,'[1]Finanace - Incentive Data'!R:R,$B860)</f>
        <v>0</v>
      </c>
      <c r="O860" s="8">
        <f t="shared" si="34"/>
        <v>0</v>
      </c>
    </row>
    <row r="861" spans="1:15" x14ac:dyDescent="0.3">
      <c r="A861" s="11"/>
      <c r="B861" s="5"/>
      <c r="C861" s="12"/>
      <c r="D861" s="13"/>
      <c r="E861" s="13"/>
      <c r="F861" s="5"/>
      <c r="G861" s="14"/>
      <c r="H861" s="15"/>
      <c r="I861" s="12"/>
      <c r="J861" s="5"/>
      <c r="K861" s="5"/>
      <c r="L861" s="8"/>
      <c r="M861" s="8"/>
      <c r="N861" s="8">
        <f>SUMIFS('[1]Finanace - Incentive Data'!BE:BE,'[1]Finanace - Incentive Data'!BS:BS,"Y",'[1]Finanace - Incentive Data'!H:H,$C$842,'[1]Finanace - Incentive Data'!R:R,$B861)</f>
        <v>0</v>
      </c>
      <c r="O861" s="8">
        <f t="shared" si="34"/>
        <v>0</v>
      </c>
    </row>
    <row r="862" spans="1:15" x14ac:dyDescent="0.3">
      <c r="A862" s="11"/>
      <c r="B862" s="5"/>
      <c r="C862" s="12"/>
      <c r="D862" s="13"/>
      <c r="E862" s="13"/>
      <c r="F862" s="5"/>
      <c r="G862" s="14"/>
      <c r="H862" s="15"/>
      <c r="I862" s="12"/>
      <c r="J862" s="5"/>
      <c r="K862" s="5"/>
      <c r="L862" s="8"/>
      <c r="M862" s="8"/>
      <c r="N862" s="8">
        <f>SUMIFS('[1]Finanace - Incentive Data'!BE:BE,'[1]Finanace - Incentive Data'!BS:BS,"Y",'[1]Finanace - Incentive Data'!H:H,$C$842,'[1]Finanace - Incentive Data'!R:R,$B862)</f>
        <v>0</v>
      </c>
      <c r="O862" s="8">
        <f t="shared" si="34"/>
        <v>0</v>
      </c>
    </row>
    <row r="866" spans="1:15" ht="43.2" x14ac:dyDescent="0.3">
      <c r="A866" s="1" t="s">
        <v>0</v>
      </c>
      <c r="B866" s="1" t="s">
        <v>1</v>
      </c>
      <c r="C866" s="1" t="s">
        <v>2</v>
      </c>
      <c r="D866" s="1" t="s">
        <v>3</v>
      </c>
      <c r="E866" s="1" t="s">
        <v>4</v>
      </c>
      <c r="F866" s="1" t="s">
        <v>5</v>
      </c>
      <c r="G866" s="1" t="s">
        <v>6</v>
      </c>
      <c r="H866" s="1" t="s">
        <v>7</v>
      </c>
      <c r="I866" s="1" t="s">
        <v>8</v>
      </c>
      <c r="J866" s="1" t="s">
        <v>9</v>
      </c>
      <c r="K866" s="2" t="s">
        <v>10</v>
      </c>
      <c r="L866" s="2" t="s">
        <v>11</v>
      </c>
      <c r="M866" s="3"/>
      <c r="N866" s="3"/>
    </row>
    <row r="867" spans="1:15" x14ac:dyDescent="0.3">
      <c r="A867" s="5" t="s">
        <v>12</v>
      </c>
      <c r="B867" s="4" t="str">
        <f>_xlfn.XLOOKUP($C867,'[1]Basic EMP Data - 2026'!$D$3:$D$224,'[1]Basic EMP Data - 2026'!$C$3:$C$224)</f>
        <v>VB2360</v>
      </c>
      <c r="C867" s="6" t="s">
        <v>60</v>
      </c>
      <c r="D867" s="5" t="str">
        <f>VLOOKUP($B867,'[1]Basic EMP Data - 2026'!$C$3:$F$224,3,0)</f>
        <v>Vikas Malik</v>
      </c>
      <c r="E867" s="5">
        <f>VLOOKUP($B867,'[1]Basic EMP Data - 2026'!$C$3:$I$224,5,0)</f>
        <v>0</v>
      </c>
      <c r="F867" s="5">
        <f>VLOOKUP($B867,'[1]Basic EMP Data - 2026'!$C$3:$I$224,6,0)</f>
        <v>0</v>
      </c>
      <c r="G867" s="7" t="e">
        <f>F867/E867</f>
        <v>#DIV/0!</v>
      </c>
      <c r="H867" s="8">
        <f>SUM(L869:L887)</f>
        <v>0</v>
      </c>
      <c r="I867" s="9" t="e" cm="1">
        <f t="array" ref="I867">_xlfn.IFS($G867&lt;=34%,"No slab",$G867&lt;=75%,"Slab 1",$G867&lt;=120%,"Slab 2",$G867&gt;120%,"Slab 3")</f>
        <v>#DIV/0!</v>
      </c>
      <c r="J867" s="8" cm="1">
        <f t="array" ref="J867">SUMPRODUCT((C869:C887=2026)*M869:M887*2)</f>
        <v>0</v>
      </c>
      <c r="K867" s="5">
        <f>SUM(N869:N887)</f>
        <v>0</v>
      </c>
      <c r="L867" s="8">
        <f>J867-K867</f>
        <v>0</v>
      </c>
      <c r="M867" s="3"/>
      <c r="N867" s="3"/>
    </row>
    <row r="868" spans="1:15" ht="43.2" x14ac:dyDescent="0.3">
      <c r="A868" s="10" t="s">
        <v>2</v>
      </c>
      <c r="B868" s="10" t="s">
        <v>14</v>
      </c>
      <c r="C868" s="10" t="s">
        <v>15</v>
      </c>
      <c r="D868" s="10" t="s">
        <v>16</v>
      </c>
      <c r="E868" s="10" t="s">
        <v>17</v>
      </c>
      <c r="F868" s="10" t="s">
        <v>18</v>
      </c>
      <c r="G868" s="10" t="s">
        <v>19</v>
      </c>
      <c r="H868" s="10" t="s">
        <v>20</v>
      </c>
      <c r="I868" s="10" t="s">
        <v>21</v>
      </c>
      <c r="J868" s="10" t="s">
        <v>22</v>
      </c>
      <c r="K868" s="10" t="s">
        <v>23</v>
      </c>
      <c r="L868" s="10" t="s">
        <v>24</v>
      </c>
      <c r="M868" s="10" t="s">
        <v>25</v>
      </c>
      <c r="N868" s="10" t="s">
        <v>26</v>
      </c>
      <c r="O868" s="10" t="s">
        <v>27</v>
      </c>
    </row>
    <row r="869" spans="1:15" x14ac:dyDescent="0.3">
      <c r="A869" s="11" t="str">
        <f>C867</f>
        <v>Pawan Joshi</v>
      </c>
      <c r="B869" s="5" t="e" cm="1" vm="1">
        <f t="array" ref="B869">_xlfn.LET(
  _xlpm.data, _xlfn._xlws.FILTER('[1]Finanace - Incentive Data'!A:CA, '[1]Finanace - Incentive Data'!H:H=$C867),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869" s="12"/>
      <c r="D869" s="13"/>
      <c r="E869" s="13"/>
      <c r="F869" s="5"/>
      <c r="G869" s="14"/>
      <c r="H869" s="15"/>
      <c r="I869" s="12"/>
      <c r="J869" s="5"/>
      <c r="K869" s="5"/>
      <c r="L869" s="8"/>
      <c r="M869" s="8"/>
      <c r="N869" s="8">
        <f>SUMIFS('[1]Finanace - Incentive Data'!BE:BE,'[1]Finanace - Incentive Data'!BS:BS,"Y",'[1]Finanace - Incentive Data'!H:H,$C$867,'[1]Finanace - Incentive Data'!R:R,$B869)</f>
        <v>0</v>
      </c>
      <c r="O869" s="8">
        <f>M869-N869</f>
        <v>0</v>
      </c>
    </row>
    <row r="870" spans="1:15" x14ac:dyDescent="0.3">
      <c r="A870" s="11"/>
      <c r="B870" s="5"/>
      <c r="C870" s="12"/>
      <c r="D870" s="13"/>
      <c r="E870" s="13"/>
      <c r="F870" s="5"/>
      <c r="G870" s="14"/>
      <c r="H870" s="15"/>
      <c r="I870" s="12"/>
      <c r="J870" s="5"/>
      <c r="K870" s="5"/>
      <c r="L870" s="8"/>
      <c r="M870" s="8"/>
      <c r="N870" s="8">
        <f>SUMIFS('[1]Finanace - Incentive Data'!BE:BE,'[1]Finanace - Incentive Data'!BS:BS,"Y",'[1]Finanace - Incentive Data'!H:H,$C$867,'[1]Finanace - Incentive Data'!R:R,$B870)</f>
        <v>0</v>
      </c>
      <c r="O870" s="8">
        <f t="shared" ref="O870:O887" si="35">M870-N870</f>
        <v>0</v>
      </c>
    </row>
    <row r="871" spans="1:15" x14ac:dyDescent="0.3">
      <c r="A871" s="11"/>
      <c r="B871" s="5"/>
      <c r="C871" s="12"/>
      <c r="D871" s="13"/>
      <c r="E871" s="13"/>
      <c r="F871" s="5"/>
      <c r="G871" s="14"/>
      <c r="H871" s="15"/>
      <c r="I871" s="12"/>
      <c r="J871" s="5"/>
      <c r="K871" s="5"/>
      <c r="L871" s="8"/>
      <c r="M871" s="8"/>
      <c r="N871" s="8">
        <f>SUMIFS('[1]Finanace - Incentive Data'!BE:BE,'[1]Finanace - Incentive Data'!BS:BS,"Y",'[1]Finanace - Incentive Data'!H:H,$C$867,'[1]Finanace - Incentive Data'!R:R,$B871)</f>
        <v>0</v>
      </c>
      <c r="O871" s="8">
        <f t="shared" si="35"/>
        <v>0</v>
      </c>
    </row>
    <row r="872" spans="1:15" x14ac:dyDescent="0.3">
      <c r="A872" s="11"/>
      <c r="B872" s="5"/>
      <c r="C872" s="12"/>
      <c r="D872" s="13"/>
      <c r="E872" s="13"/>
      <c r="F872" s="5"/>
      <c r="G872" s="14"/>
      <c r="H872" s="15"/>
      <c r="I872" s="12"/>
      <c r="J872" s="5"/>
      <c r="K872" s="5"/>
      <c r="L872" s="8"/>
      <c r="M872" s="8"/>
      <c r="N872" s="8">
        <f>SUMIFS('[1]Finanace - Incentive Data'!BE:BE,'[1]Finanace - Incentive Data'!BS:BS,"Y",'[1]Finanace - Incentive Data'!H:H,$C$867,'[1]Finanace - Incentive Data'!R:R,$B872)</f>
        <v>0</v>
      </c>
      <c r="O872" s="8">
        <f t="shared" si="35"/>
        <v>0</v>
      </c>
    </row>
    <row r="873" spans="1:15" x14ac:dyDescent="0.3">
      <c r="A873" s="11"/>
      <c r="B873" s="5"/>
      <c r="C873" s="12"/>
      <c r="D873" s="13"/>
      <c r="E873" s="13"/>
      <c r="F873" s="5"/>
      <c r="G873" s="14"/>
      <c r="H873" s="15"/>
      <c r="I873" s="12"/>
      <c r="J873" s="5"/>
      <c r="K873" s="5"/>
      <c r="L873" s="8"/>
      <c r="M873" s="8"/>
      <c r="N873" s="8">
        <f>SUMIFS('[1]Finanace - Incentive Data'!BE:BE,'[1]Finanace - Incentive Data'!BS:BS,"Y",'[1]Finanace - Incentive Data'!H:H,$C$867,'[1]Finanace - Incentive Data'!R:R,$B873)</f>
        <v>0</v>
      </c>
      <c r="O873" s="8">
        <f t="shared" si="35"/>
        <v>0</v>
      </c>
    </row>
    <row r="874" spans="1:15" x14ac:dyDescent="0.3">
      <c r="A874" s="11"/>
      <c r="B874" s="5"/>
      <c r="C874" s="12"/>
      <c r="D874" s="13"/>
      <c r="E874" s="13"/>
      <c r="F874" s="5"/>
      <c r="G874" s="14"/>
      <c r="H874" s="15"/>
      <c r="I874" s="12"/>
      <c r="J874" s="5"/>
      <c r="K874" s="5"/>
      <c r="L874" s="8"/>
      <c r="M874" s="8"/>
      <c r="N874" s="8">
        <f>SUMIFS('[1]Finanace - Incentive Data'!BE:BE,'[1]Finanace - Incentive Data'!BS:BS,"Y",'[1]Finanace - Incentive Data'!H:H,$C$867,'[1]Finanace - Incentive Data'!R:R,$B874)</f>
        <v>0</v>
      </c>
      <c r="O874" s="8">
        <f t="shared" si="35"/>
        <v>0</v>
      </c>
    </row>
    <row r="875" spans="1:15" x14ac:dyDescent="0.3">
      <c r="A875" s="11"/>
      <c r="B875" s="5"/>
      <c r="C875" s="12"/>
      <c r="D875" s="13"/>
      <c r="E875" s="13"/>
      <c r="F875" s="5"/>
      <c r="G875" s="14"/>
      <c r="H875" s="15"/>
      <c r="I875" s="12"/>
      <c r="J875" s="5"/>
      <c r="K875" s="5"/>
      <c r="L875" s="8"/>
      <c r="M875" s="8"/>
      <c r="N875" s="8">
        <f>SUMIFS('[1]Finanace - Incentive Data'!BE:BE,'[1]Finanace - Incentive Data'!BS:BS,"Y",'[1]Finanace - Incentive Data'!H:H,$C$867,'[1]Finanace - Incentive Data'!R:R,$B875)</f>
        <v>0</v>
      </c>
      <c r="O875" s="8">
        <f t="shared" si="35"/>
        <v>0</v>
      </c>
    </row>
    <row r="876" spans="1:15" x14ac:dyDescent="0.3">
      <c r="A876" s="11"/>
      <c r="B876" s="5"/>
      <c r="C876" s="12"/>
      <c r="D876" s="13"/>
      <c r="E876" s="13"/>
      <c r="F876" s="5"/>
      <c r="G876" s="14"/>
      <c r="H876" s="15"/>
      <c r="I876" s="12"/>
      <c r="J876" s="5"/>
      <c r="K876" s="5"/>
      <c r="L876" s="8"/>
      <c r="M876" s="8"/>
      <c r="N876" s="8">
        <f>SUMIFS('[1]Finanace - Incentive Data'!BE:BE,'[1]Finanace - Incentive Data'!BS:BS,"Y",'[1]Finanace - Incentive Data'!H:H,$C$867,'[1]Finanace - Incentive Data'!R:R,$B876)</f>
        <v>0</v>
      </c>
      <c r="O876" s="8">
        <f t="shared" si="35"/>
        <v>0</v>
      </c>
    </row>
    <row r="877" spans="1:15" x14ac:dyDescent="0.3">
      <c r="A877" s="11"/>
      <c r="B877" s="5"/>
      <c r="C877" s="12"/>
      <c r="D877" s="13"/>
      <c r="E877" s="13"/>
      <c r="F877" s="5"/>
      <c r="G877" s="14"/>
      <c r="H877" s="15"/>
      <c r="I877" s="12"/>
      <c r="J877" s="5"/>
      <c r="K877" s="5"/>
      <c r="L877" s="8"/>
      <c r="M877" s="8"/>
      <c r="N877" s="8">
        <f>SUMIFS('[1]Finanace - Incentive Data'!BE:BE,'[1]Finanace - Incentive Data'!BS:BS,"Y",'[1]Finanace - Incentive Data'!H:H,$C$867,'[1]Finanace - Incentive Data'!R:R,$B877)</f>
        <v>0</v>
      </c>
      <c r="O877" s="8">
        <f t="shared" si="35"/>
        <v>0</v>
      </c>
    </row>
    <row r="878" spans="1:15" x14ac:dyDescent="0.3">
      <c r="A878" s="11"/>
      <c r="B878" s="5"/>
      <c r="C878" s="12"/>
      <c r="D878" s="13"/>
      <c r="E878" s="13"/>
      <c r="F878" s="5"/>
      <c r="G878" s="14"/>
      <c r="H878" s="15"/>
      <c r="I878" s="12"/>
      <c r="J878" s="5"/>
      <c r="K878" s="5"/>
      <c r="L878" s="8"/>
      <c r="M878" s="8"/>
      <c r="N878" s="8">
        <f>SUMIFS('[1]Finanace - Incentive Data'!BE:BE,'[1]Finanace - Incentive Data'!BS:BS,"Y",'[1]Finanace - Incentive Data'!H:H,$C$867,'[1]Finanace - Incentive Data'!R:R,$B878)</f>
        <v>0</v>
      </c>
      <c r="O878" s="8">
        <f t="shared" si="35"/>
        <v>0</v>
      </c>
    </row>
    <row r="879" spans="1:15" x14ac:dyDescent="0.3">
      <c r="A879" s="11"/>
      <c r="B879" s="5"/>
      <c r="C879" s="12"/>
      <c r="D879" s="13"/>
      <c r="E879" s="13"/>
      <c r="F879" s="5"/>
      <c r="G879" s="14"/>
      <c r="H879" s="15"/>
      <c r="I879" s="12"/>
      <c r="J879" s="5"/>
      <c r="K879" s="5"/>
      <c r="L879" s="8"/>
      <c r="M879" s="8"/>
      <c r="N879" s="8">
        <f>SUMIFS('[1]Finanace - Incentive Data'!BE:BE,'[1]Finanace - Incentive Data'!BS:BS,"Y",'[1]Finanace - Incentive Data'!H:H,$C$867,'[1]Finanace - Incentive Data'!R:R,$B879)</f>
        <v>0</v>
      </c>
      <c r="O879" s="8">
        <f t="shared" si="35"/>
        <v>0</v>
      </c>
    </row>
    <row r="880" spans="1:15" x14ac:dyDescent="0.3">
      <c r="A880" s="11"/>
      <c r="B880" s="5"/>
      <c r="C880" s="12"/>
      <c r="D880" s="13"/>
      <c r="E880" s="13"/>
      <c r="F880" s="5"/>
      <c r="G880" s="14"/>
      <c r="H880" s="15"/>
      <c r="I880" s="12"/>
      <c r="J880" s="5"/>
      <c r="K880" s="5"/>
      <c r="L880" s="8"/>
      <c r="M880" s="8"/>
      <c r="N880" s="8">
        <f>SUMIFS('[1]Finanace - Incentive Data'!BE:BE,'[1]Finanace - Incentive Data'!BS:BS,"Y",'[1]Finanace - Incentive Data'!H:H,$C$867,'[1]Finanace - Incentive Data'!R:R,$B880)</f>
        <v>0</v>
      </c>
      <c r="O880" s="8">
        <f t="shared" si="35"/>
        <v>0</v>
      </c>
    </row>
    <row r="881" spans="1:15" x14ac:dyDescent="0.3">
      <c r="A881" s="11"/>
      <c r="B881" s="5"/>
      <c r="C881" s="12"/>
      <c r="D881" s="13"/>
      <c r="E881" s="13"/>
      <c r="F881" s="5"/>
      <c r="G881" s="14"/>
      <c r="H881" s="15"/>
      <c r="I881" s="12"/>
      <c r="J881" s="5"/>
      <c r="K881" s="5"/>
      <c r="L881" s="8"/>
      <c r="M881" s="8"/>
      <c r="N881" s="8">
        <f>SUMIFS('[1]Finanace - Incentive Data'!BE:BE,'[1]Finanace - Incentive Data'!BS:BS,"Y",'[1]Finanace - Incentive Data'!H:H,$C$867,'[1]Finanace - Incentive Data'!R:R,$B881)</f>
        <v>0</v>
      </c>
      <c r="O881" s="8">
        <f t="shared" si="35"/>
        <v>0</v>
      </c>
    </row>
    <row r="882" spans="1:15" x14ac:dyDescent="0.3">
      <c r="A882" s="11"/>
      <c r="B882" s="5"/>
      <c r="C882" s="12"/>
      <c r="D882" s="13"/>
      <c r="E882" s="13"/>
      <c r="F882" s="5"/>
      <c r="G882" s="14"/>
      <c r="H882" s="15"/>
      <c r="I882" s="12"/>
      <c r="J882" s="5"/>
      <c r="K882" s="5"/>
      <c r="L882" s="8"/>
      <c r="M882" s="8"/>
      <c r="N882" s="8">
        <f>SUMIFS('[1]Finanace - Incentive Data'!BE:BE,'[1]Finanace - Incentive Data'!BS:BS,"Y",'[1]Finanace - Incentive Data'!H:H,$C$867,'[1]Finanace - Incentive Data'!R:R,$B882)</f>
        <v>0</v>
      </c>
      <c r="O882" s="8">
        <f t="shared" si="35"/>
        <v>0</v>
      </c>
    </row>
    <row r="883" spans="1:15" x14ac:dyDescent="0.3">
      <c r="A883" s="11"/>
      <c r="B883" s="5"/>
      <c r="C883" s="12"/>
      <c r="D883" s="13"/>
      <c r="E883" s="13"/>
      <c r="F883" s="5"/>
      <c r="G883" s="14"/>
      <c r="H883" s="15"/>
      <c r="I883" s="12"/>
      <c r="J883" s="5"/>
      <c r="K883" s="5"/>
      <c r="L883" s="8"/>
      <c r="M883" s="8"/>
      <c r="N883" s="8">
        <f>SUMIFS('[1]Finanace - Incentive Data'!BE:BE,'[1]Finanace - Incentive Data'!BS:BS,"Y",'[1]Finanace - Incentive Data'!H:H,$C$867,'[1]Finanace - Incentive Data'!R:R,$B883)</f>
        <v>0</v>
      </c>
      <c r="O883" s="8">
        <f t="shared" si="35"/>
        <v>0</v>
      </c>
    </row>
    <row r="884" spans="1:15" x14ac:dyDescent="0.3">
      <c r="A884" s="11"/>
      <c r="B884" s="5"/>
      <c r="C884" s="12"/>
      <c r="D884" s="13"/>
      <c r="E884" s="13"/>
      <c r="F884" s="5"/>
      <c r="G884" s="14"/>
      <c r="H884" s="15"/>
      <c r="I884" s="12"/>
      <c r="J884" s="5"/>
      <c r="K884" s="5"/>
      <c r="L884" s="8"/>
      <c r="M884" s="8"/>
      <c r="N884" s="8">
        <f>SUMIFS('[1]Finanace - Incentive Data'!BE:BE,'[1]Finanace - Incentive Data'!BS:BS,"Y",'[1]Finanace - Incentive Data'!H:H,$C$867,'[1]Finanace - Incentive Data'!R:R,$B884)</f>
        <v>0</v>
      </c>
      <c r="O884" s="8">
        <f t="shared" si="35"/>
        <v>0</v>
      </c>
    </row>
    <row r="885" spans="1:15" x14ac:dyDescent="0.3">
      <c r="A885" s="11"/>
      <c r="B885" s="5"/>
      <c r="C885" s="12"/>
      <c r="D885" s="13"/>
      <c r="E885" s="13"/>
      <c r="F885" s="5"/>
      <c r="G885" s="14"/>
      <c r="H885" s="15"/>
      <c r="I885" s="12"/>
      <c r="J885" s="5"/>
      <c r="K885" s="5"/>
      <c r="L885" s="8"/>
      <c r="M885" s="8"/>
      <c r="N885" s="8">
        <f>SUMIFS('[1]Finanace - Incentive Data'!BE:BE,'[1]Finanace - Incentive Data'!BS:BS,"Y",'[1]Finanace - Incentive Data'!H:H,$C$867,'[1]Finanace - Incentive Data'!R:R,$B885)</f>
        <v>0</v>
      </c>
      <c r="O885" s="8">
        <f t="shared" si="35"/>
        <v>0</v>
      </c>
    </row>
    <row r="886" spans="1:15" x14ac:dyDescent="0.3">
      <c r="A886" s="11"/>
      <c r="B886" s="5"/>
      <c r="C886" s="12"/>
      <c r="D886" s="13"/>
      <c r="E886" s="13"/>
      <c r="F886" s="5"/>
      <c r="G886" s="14"/>
      <c r="H886" s="15"/>
      <c r="I886" s="12"/>
      <c r="J886" s="5"/>
      <c r="K886" s="5"/>
      <c r="L886" s="8"/>
      <c r="M886" s="8"/>
      <c r="N886" s="8">
        <f>SUMIFS('[1]Finanace - Incentive Data'!BE:BE,'[1]Finanace - Incentive Data'!BS:BS,"Y",'[1]Finanace - Incentive Data'!H:H,$C$867,'[1]Finanace - Incentive Data'!R:R,$B886)</f>
        <v>0</v>
      </c>
      <c r="O886" s="8">
        <f t="shared" si="35"/>
        <v>0</v>
      </c>
    </row>
    <row r="887" spans="1:15" x14ac:dyDescent="0.3">
      <c r="A887" s="11"/>
      <c r="B887" s="5"/>
      <c r="C887" s="12"/>
      <c r="D887" s="13"/>
      <c r="E887" s="13"/>
      <c r="F887" s="5"/>
      <c r="G887" s="14"/>
      <c r="H887" s="15"/>
      <c r="I887" s="12"/>
      <c r="J887" s="5"/>
      <c r="K887" s="5"/>
      <c r="L887" s="8"/>
      <c r="M887" s="8"/>
      <c r="N887" s="8">
        <f>SUMIFS('[1]Finanace - Incentive Data'!BE:BE,'[1]Finanace - Incentive Data'!BS:BS,"Y",'[1]Finanace - Incentive Data'!H:H,$C$867,'[1]Finanace - Incentive Data'!R:R,$B887)</f>
        <v>0</v>
      </c>
      <c r="O887" s="8">
        <f t="shared" si="35"/>
        <v>0</v>
      </c>
    </row>
    <row r="890" spans="1:15" ht="43.2" x14ac:dyDescent="0.3">
      <c r="A890" s="1" t="s">
        <v>0</v>
      </c>
      <c r="B890" s="1" t="s">
        <v>1</v>
      </c>
      <c r="C890" s="1" t="s">
        <v>2</v>
      </c>
      <c r="D890" s="1" t="s">
        <v>3</v>
      </c>
      <c r="E890" s="1" t="s">
        <v>4</v>
      </c>
      <c r="F890" s="1" t="s">
        <v>5</v>
      </c>
      <c r="G890" s="1" t="s">
        <v>6</v>
      </c>
      <c r="H890" s="1" t="s">
        <v>7</v>
      </c>
      <c r="I890" s="1" t="s">
        <v>8</v>
      </c>
      <c r="J890" s="1" t="s">
        <v>9</v>
      </c>
      <c r="K890" s="2" t="s">
        <v>10</v>
      </c>
      <c r="L890" s="2" t="s">
        <v>11</v>
      </c>
      <c r="M890" s="3"/>
      <c r="N890" s="3"/>
    </row>
    <row r="891" spans="1:15" x14ac:dyDescent="0.3">
      <c r="A891" s="5" t="s">
        <v>12</v>
      </c>
      <c r="B891" s="4" t="str">
        <f>_xlfn.XLOOKUP($C891,'[1]Basic EMP Data - 2026'!$D$3:$D$224,'[1]Basic EMP Data - 2026'!$C$3:$C$224)</f>
        <v>VB2367</v>
      </c>
      <c r="C891" s="6" t="s">
        <v>61</v>
      </c>
      <c r="D891" s="5" t="str">
        <f>VLOOKUP($B891,'[1]Basic EMP Data - 2026'!$C$3:$F$224,3,0)</f>
        <v>Vikas Malik</v>
      </c>
      <c r="E891" s="5">
        <f>VLOOKUP($B891,'[1]Basic EMP Data - 2026'!$C$3:$I$224,5,0)</f>
        <v>0</v>
      </c>
      <c r="F891" s="5">
        <f>VLOOKUP($B891,'[1]Basic EMP Data - 2026'!$C$3:$I$224,6,0)</f>
        <v>0</v>
      </c>
      <c r="G891" s="7" t="e">
        <f>F891/E891</f>
        <v>#DIV/0!</v>
      </c>
      <c r="H891" s="8">
        <f>SUM(L893:L911)</f>
        <v>0</v>
      </c>
      <c r="I891" s="9" t="e" cm="1">
        <f t="array" ref="I891">_xlfn.IFS($G891&lt;=34%,"No slab",$G891&lt;=75%,"Slab 1",$G891&lt;=120%,"Slab 2",$G891&gt;120%,"Slab 3")</f>
        <v>#DIV/0!</v>
      </c>
      <c r="J891" s="8" cm="1">
        <f t="array" ref="J891">SUMPRODUCT((C893:C911=2026)*M893:M911*2)</f>
        <v>0</v>
      </c>
      <c r="K891" s="5">
        <f>SUM(N893:N911)</f>
        <v>0</v>
      </c>
      <c r="L891" s="8">
        <f>J891-K891</f>
        <v>0</v>
      </c>
      <c r="M891" s="3"/>
      <c r="N891" s="3"/>
    </row>
    <row r="892" spans="1:15" ht="43.2" x14ac:dyDescent="0.3">
      <c r="A892" s="10" t="s">
        <v>2</v>
      </c>
      <c r="B892" s="10" t="s">
        <v>14</v>
      </c>
      <c r="C892" s="10" t="s">
        <v>15</v>
      </c>
      <c r="D892" s="10" t="s">
        <v>16</v>
      </c>
      <c r="E892" s="10" t="s">
        <v>17</v>
      </c>
      <c r="F892" s="10" t="s">
        <v>18</v>
      </c>
      <c r="G892" s="10" t="s">
        <v>19</v>
      </c>
      <c r="H892" s="10" t="s">
        <v>20</v>
      </c>
      <c r="I892" s="10" t="s">
        <v>21</v>
      </c>
      <c r="J892" s="10" t="s">
        <v>22</v>
      </c>
      <c r="K892" s="10" t="s">
        <v>23</v>
      </c>
      <c r="L892" s="10" t="s">
        <v>24</v>
      </c>
      <c r="M892" s="10" t="s">
        <v>25</v>
      </c>
      <c r="N892" s="10" t="s">
        <v>26</v>
      </c>
      <c r="O892" s="10" t="s">
        <v>27</v>
      </c>
    </row>
    <row r="893" spans="1:15" x14ac:dyDescent="0.3">
      <c r="A893" s="11" t="str">
        <f>C891</f>
        <v>Mohd Anas</v>
      </c>
      <c r="B893" s="5" t="e" cm="1" vm="1">
        <f t="array" ref="B893">_xlfn.LET(
  _xlpm.data, _xlfn._xlws.FILTER('[1]Finanace - Incentive Data'!A:CA, '[1]Finanace - Incentive Data'!H:H=$C891),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893" s="12"/>
      <c r="D893" s="13"/>
      <c r="E893" s="13"/>
      <c r="F893" s="5"/>
      <c r="G893" s="14"/>
      <c r="H893" s="15"/>
      <c r="I893" s="12"/>
      <c r="J893" s="5"/>
      <c r="K893" s="5"/>
      <c r="L893" s="8"/>
      <c r="M893" s="8"/>
      <c r="N893" s="8">
        <f>SUMIFS('[1]Finanace - Incentive Data'!BE:BE,'[1]Finanace - Incentive Data'!BS:BS,"Y",'[1]Finanace - Incentive Data'!H:H,$C$891,'[1]Finanace - Incentive Data'!R:R,$B893)</f>
        <v>0</v>
      </c>
      <c r="O893" s="8">
        <f>M893-N893</f>
        <v>0</v>
      </c>
    </row>
    <row r="894" spans="1:15" x14ac:dyDescent="0.3">
      <c r="A894" s="11"/>
      <c r="B894" s="5"/>
      <c r="C894" s="12"/>
      <c r="D894" s="13"/>
      <c r="E894" s="13"/>
      <c r="F894" s="5"/>
      <c r="G894" s="14"/>
      <c r="H894" s="15"/>
      <c r="I894" s="12"/>
      <c r="J894" s="5"/>
      <c r="K894" s="5"/>
      <c r="L894" s="8"/>
      <c r="M894" s="8"/>
      <c r="N894" s="8">
        <f>SUMIFS('[1]Finanace - Incentive Data'!BE:BE,'[1]Finanace - Incentive Data'!BS:BS,"Y",'[1]Finanace - Incentive Data'!H:H,$C$891,'[1]Finanace - Incentive Data'!R:R,$B894)</f>
        <v>0</v>
      </c>
      <c r="O894" s="8">
        <f t="shared" ref="O894:O911" si="36">M894-N894</f>
        <v>0</v>
      </c>
    </row>
    <row r="895" spans="1:15" x14ac:dyDescent="0.3">
      <c r="A895" s="11"/>
      <c r="B895" s="5"/>
      <c r="C895" s="12"/>
      <c r="D895" s="13"/>
      <c r="E895" s="13"/>
      <c r="F895" s="5"/>
      <c r="G895" s="14"/>
      <c r="H895" s="15"/>
      <c r="I895" s="12"/>
      <c r="J895" s="5"/>
      <c r="K895" s="5"/>
      <c r="L895" s="8"/>
      <c r="M895" s="8"/>
      <c r="N895" s="8">
        <f>SUMIFS('[1]Finanace - Incentive Data'!BE:BE,'[1]Finanace - Incentive Data'!BS:BS,"Y",'[1]Finanace - Incentive Data'!H:H,$C$891,'[1]Finanace - Incentive Data'!R:R,$B895)</f>
        <v>0</v>
      </c>
      <c r="O895" s="8">
        <f t="shared" si="36"/>
        <v>0</v>
      </c>
    </row>
    <row r="896" spans="1:15" x14ac:dyDescent="0.3">
      <c r="A896" s="11"/>
      <c r="B896" s="5"/>
      <c r="C896" s="12"/>
      <c r="D896" s="13"/>
      <c r="E896" s="13"/>
      <c r="F896" s="5"/>
      <c r="G896" s="14"/>
      <c r="H896" s="15"/>
      <c r="I896" s="12"/>
      <c r="J896" s="5"/>
      <c r="K896" s="5"/>
      <c r="L896" s="8"/>
      <c r="M896" s="8"/>
      <c r="N896" s="8">
        <f>SUMIFS('[1]Finanace - Incentive Data'!BE:BE,'[1]Finanace - Incentive Data'!BS:BS,"Y",'[1]Finanace - Incentive Data'!H:H,$C$891,'[1]Finanace - Incentive Data'!R:R,$B896)</f>
        <v>0</v>
      </c>
      <c r="O896" s="8">
        <f t="shared" si="36"/>
        <v>0</v>
      </c>
    </row>
    <row r="897" spans="1:15" x14ac:dyDescent="0.3">
      <c r="A897" s="11"/>
      <c r="B897" s="5"/>
      <c r="C897" s="12"/>
      <c r="D897" s="13"/>
      <c r="E897" s="13"/>
      <c r="F897" s="5"/>
      <c r="G897" s="14"/>
      <c r="H897" s="15"/>
      <c r="I897" s="12"/>
      <c r="J897" s="5"/>
      <c r="K897" s="5"/>
      <c r="L897" s="8"/>
      <c r="M897" s="8"/>
      <c r="N897" s="8">
        <f>SUMIFS('[1]Finanace - Incentive Data'!BE:BE,'[1]Finanace - Incentive Data'!BS:BS,"Y",'[1]Finanace - Incentive Data'!H:H,$C$891,'[1]Finanace - Incentive Data'!R:R,$B897)</f>
        <v>0</v>
      </c>
      <c r="O897" s="8">
        <f t="shared" si="36"/>
        <v>0</v>
      </c>
    </row>
    <row r="898" spans="1:15" x14ac:dyDescent="0.3">
      <c r="A898" s="11"/>
      <c r="B898" s="5"/>
      <c r="C898" s="12"/>
      <c r="D898" s="13"/>
      <c r="E898" s="13"/>
      <c r="F898" s="5"/>
      <c r="G898" s="14"/>
      <c r="H898" s="15"/>
      <c r="I898" s="12"/>
      <c r="J898" s="5"/>
      <c r="K898" s="5"/>
      <c r="L898" s="8"/>
      <c r="M898" s="8"/>
      <c r="N898" s="8">
        <f>SUMIFS('[1]Finanace - Incentive Data'!BE:BE,'[1]Finanace - Incentive Data'!BS:BS,"Y",'[1]Finanace - Incentive Data'!H:H,$C$891,'[1]Finanace - Incentive Data'!R:R,$B898)</f>
        <v>0</v>
      </c>
      <c r="O898" s="8">
        <f t="shared" si="36"/>
        <v>0</v>
      </c>
    </row>
    <row r="899" spans="1:15" x14ac:dyDescent="0.3">
      <c r="A899" s="11"/>
      <c r="B899" s="5"/>
      <c r="C899" s="12"/>
      <c r="D899" s="13"/>
      <c r="E899" s="13"/>
      <c r="F899" s="5"/>
      <c r="G899" s="14"/>
      <c r="H899" s="15"/>
      <c r="I899" s="12"/>
      <c r="J899" s="5"/>
      <c r="K899" s="5"/>
      <c r="L899" s="8"/>
      <c r="M899" s="8"/>
      <c r="N899" s="8">
        <f>SUMIFS('[1]Finanace - Incentive Data'!BE:BE,'[1]Finanace - Incentive Data'!BS:BS,"Y",'[1]Finanace - Incentive Data'!H:H,$C$891,'[1]Finanace - Incentive Data'!R:R,$B899)</f>
        <v>0</v>
      </c>
      <c r="O899" s="8">
        <f t="shared" si="36"/>
        <v>0</v>
      </c>
    </row>
    <row r="900" spans="1:15" x14ac:dyDescent="0.3">
      <c r="A900" s="11"/>
      <c r="B900" s="5"/>
      <c r="C900" s="12"/>
      <c r="D900" s="13"/>
      <c r="E900" s="13"/>
      <c r="F900" s="5"/>
      <c r="G900" s="14"/>
      <c r="H900" s="15"/>
      <c r="I900" s="12"/>
      <c r="J900" s="5"/>
      <c r="K900" s="5"/>
      <c r="L900" s="8"/>
      <c r="M900" s="8"/>
      <c r="N900" s="8">
        <f>SUMIFS('[1]Finanace - Incentive Data'!BE:BE,'[1]Finanace - Incentive Data'!BS:BS,"Y",'[1]Finanace - Incentive Data'!H:H,$C$891,'[1]Finanace - Incentive Data'!R:R,$B900)</f>
        <v>0</v>
      </c>
      <c r="O900" s="8">
        <f t="shared" si="36"/>
        <v>0</v>
      </c>
    </row>
    <row r="901" spans="1:15" x14ac:dyDescent="0.3">
      <c r="A901" s="11"/>
      <c r="B901" s="5"/>
      <c r="C901" s="12"/>
      <c r="D901" s="13"/>
      <c r="E901" s="13"/>
      <c r="F901" s="5"/>
      <c r="G901" s="14"/>
      <c r="H901" s="15"/>
      <c r="I901" s="12"/>
      <c r="J901" s="5"/>
      <c r="K901" s="5"/>
      <c r="L901" s="8"/>
      <c r="M901" s="8"/>
      <c r="N901" s="8">
        <f>SUMIFS('[1]Finanace - Incentive Data'!BE:BE,'[1]Finanace - Incentive Data'!BS:BS,"Y",'[1]Finanace - Incentive Data'!H:H,$C$891,'[1]Finanace - Incentive Data'!R:R,$B901)</f>
        <v>0</v>
      </c>
      <c r="O901" s="8">
        <f t="shared" si="36"/>
        <v>0</v>
      </c>
    </row>
    <row r="902" spans="1:15" x14ac:dyDescent="0.3">
      <c r="A902" s="11"/>
      <c r="B902" s="5"/>
      <c r="C902" s="12"/>
      <c r="D902" s="13"/>
      <c r="E902" s="13"/>
      <c r="F902" s="5"/>
      <c r="G902" s="14"/>
      <c r="H902" s="15"/>
      <c r="I902" s="12"/>
      <c r="J902" s="5"/>
      <c r="K902" s="5"/>
      <c r="L902" s="8"/>
      <c r="M902" s="8"/>
      <c r="N902" s="8">
        <f>SUMIFS('[1]Finanace - Incentive Data'!BE:BE,'[1]Finanace - Incentive Data'!BS:BS,"Y",'[1]Finanace - Incentive Data'!H:H,$C$891,'[1]Finanace - Incentive Data'!R:R,$B902)</f>
        <v>0</v>
      </c>
      <c r="O902" s="8">
        <f t="shared" si="36"/>
        <v>0</v>
      </c>
    </row>
    <row r="903" spans="1:15" x14ac:dyDescent="0.3">
      <c r="A903" s="11"/>
      <c r="B903" s="5"/>
      <c r="C903" s="12"/>
      <c r="D903" s="13"/>
      <c r="E903" s="13"/>
      <c r="F903" s="5"/>
      <c r="G903" s="14"/>
      <c r="H903" s="15"/>
      <c r="I903" s="12"/>
      <c r="J903" s="5"/>
      <c r="K903" s="5"/>
      <c r="L903" s="8"/>
      <c r="M903" s="8"/>
      <c r="N903" s="8">
        <f>SUMIFS('[1]Finanace - Incentive Data'!BE:BE,'[1]Finanace - Incentive Data'!BS:BS,"Y",'[1]Finanace - Incentive Data'!H:H,$C$891,'[1]Finanace - Incentive Data'!R:R,$B903)</f>
        <v>0</v>
      </c>
      <c r="O903" s="8">
        <f t="shared" si="36"/>
        <v>0</v>
      </c>
    </row>
    <row r="904" spans="1:15" x14ac:dyDescent="0.3">
      <c r="A904" s="11"/>
      <c r="B904" s="5"/>
      <c r="C904" s="12"/>
      <c r="D904" s="13"/>
      <c r="E904" s="13"/>
      <c r="F904" s="5"/>
      <c r="G904" s="14"/>
      <c r="H904" s="15"/>
      <c r="I904" s="12"/>
      <c r="J904" s="5"/>
      <c r="K904" s="5"/>
      <c r="L904" s="8"/>
      <c r="M904" s="8"/>
      <c r="N904" s="8">
        <f>SUMIFS('[1]Finanace - Incentive Data'!BE:BE,'[1]Finanace - Incentive Data'!BS:BS,"Y",'[1]Finanace - Incentive Data'!H:H,$C$891,'[1]Finanace - Incentive Data'!R:R,$B904)</f>
        <v>0</v>
      </c>
      <c r="O904" s="8">
        <f t="shared" si="36"/>
        <v>0</v>
      </c>
    </row>
    <row r="905" spans="1:15" x14ac:dyDescent="0.3">
      <c r="A905" s="11"/>
      <c r="B905" s="5"/>
      <c r="C905" s="12"/>
      <c r="D905" s="13"/>
      <c r="E905" s="13"/>
      <c r="F905" s="5"/>
      <c r="G905" s="14"/>
      <c r="H905" s="15"/>
      <c r="I905" s="12"/>
      <c r="J905" s="5"/>
      <c r="K905" s="5"/>
      <c r="L905" s="8"/>
      <c r="M905" s="8"/>
      <c r="N905" s="8">
        <f>SUMIFS('[1]Finanace - Incentive Data'!BE:BE,'[1]Finanace - Incentive Data'!BS:BS,"Y",'[1]Finanace - Incentive Data'!H:H,$C$891,'[1]Finanace - Incentive Data'!R:R,$B905)</f>
        <v>0</v>
      </c>
      <c r="O905" s="8">
        <f t="shared" si="36"/>
        <v>0</v>
      </c>
    </row>
    <row r="906" spans="1:15" x14ac:dyDescent="0.3">
      <c r="A906" s="11"/>
      <c r="B906" s="5"/>
      <c r="C906" s="12"/>
      <c r="D906" s="13"/>
      <c r="E906" s="13"/>
      <c r="F906" s="5"/>
      <c r="G906" s="14"/>
      <c r="H906" s="15"/>
      <c r="I906" s="12"/>
      <c r="J906" s="5"/>
      <c r="K906" s="5"/>
      <c r="L906" s="8"/>
      <c r="M906" s="8"/>
      <c r="N906" s="8">
        <f>SUMIFS('[1]Finanace - Incentive Data'!BE:BE,'[1]Finanace - Incentive Data'!BS:BS,"Y",'[1]Finanace - Incentive Data'!H:H,$C$891,'[1]Finanace - Incentive Data'!R:R,$B906)</f>
        <v>0</v>
      </c>
      <c r="O906" s="8">
        <f t="shared" si="36"/>
        <v>0</v>
      </c>
    </row>
    <row r="907" spans="1:15" x14ac:dyDescent="0.3">
      <c r="A907" s="11"/>
      <c r="B907" s="5"/>
      <c r="C907" s="12"/>
      <c r="D907" s="13"/>
      <c r="E907" s="13"/>
      <c r="F907" s="5"/>
      <c r="G907" s="14"/>
      <c r="H907" s="15"/>
      <c r="I907" s="12"/>
      <c r="J907" s="5"/>
      <c r="K907" s="5"/>
      <c r="L907" s="8"/>
      <c r="M907" s="8"/>
      <c r="N907" s="8">
        <f>SUMIFS('[1]Finanace - Incentive Data'!BE:BE,'[1]Finanace - Incentive Data'!BS:BS,"Y",'[1]Finanace - Incentive Data'!H:H,$C$891,'[1]Finanace - Incentive Data'!R:R,$B907)</f>
        <v>0</v>
      </c>
      <c r="O907" s="8">
        <f t="shared" si="36"/>
        <v>0</v>
      </c>
    </row>
    <row r="908" spans="1:15" x14ac:dyDescent="0.3">
      <c r="A908" s="11"/>
      <c r="B908" s="5"/>
      <c r="C908" s="12"/>
      <c r="D908" s="13"/>
      <c r="E908" s="13"/>
      <c r="F908" s="5"/>
      <c r="G908" s="14"/>
      <c r="H908" s="15"/>
      <c r="I908" s="12"/>
      <c r="J908" s="5"/>
      <c r="K908" s="5"/>
      <c r="L908" s="8"/>
      <c r="M908" s="8"/>
      <c r="N908" s="8">
        <f>SUMIFS('[1]Finanace - Incentive Data'!BE:BE,'[1]Finanace - Incentive Data'!BS:BS,"Y",'[1]Finanace - Incentive Data'!H:H,$C$891,'[1]Finanace - Incentive Data'!R:R,$B908)</f>
        <v>0</v>
      </c>
      <c r="O908" s="8">
        <f t="shared" si="36"/>
        <v>0</v>
      </c>
    </row>
    <row r="909" spans="1:15" x14ac:dyDescent="0.3">
      <c r="A909" s="11"/>
      <c r="B909" s="5"/>
      <c r="C909" s="12"/>
      <c r="D909" s="13"/>
      <c r="E909" s="13"/>
      <c r="F909" s="5"/>
      <c r="G909" s="14"/>
      <c r="H909" s="15"/>
      <c r="I909" s="12"/>
      <c r="J909" s="5"/>
      <c r="K909" s="5"/>
      <c r="L909" s="8"/>
      <c r="M909" s="8"/>
      <c r="N909" s="8">
        <f>SUMIFS('[1]Finanace - Incentive Data'!BE:BE,'[1]Finanace - Incentive Data'!BS:BS,"Y",'[1]Finanace - Incentive Data'!H:H,$C$891,'[1]Finanace - Incentive Data'!R:R,$B909)</f>
        <v>0</v>
      </c>
      <c r="O909" s="8">
        <f t="shared" si="36"/>
        <v>0</v>
      </c>
    </row>
    <row r="910" spans="1:15" x14ac:dyDescent="0.3">
      <c r="A910" s="11"/>
      <c r="B910" s="5"/>
      <c r="C910" s="12"/>
      <c r="D910" s="13"/>
      <c r="E910" s="13"/>
      <c r="F910" s="5"/>
      <c r="G910" s="14"/>
      <c r="H910" s="15"/>
      <c r="I910" s="12"/>
      <c r="J910" s="5"/>
      <c r="K910" s="5"/>
      <c r="L910" s="8"/>
      <c r="M910" s="8"/>
      <c r="N910" s="8">
        <f>SUMIFS('[1]Finanace - Incentive Data'!BE:BE,'[1]Finanace - Incentive Data'!BS:BS,"Y",'[1]Finanace - Incentive Data'!H:H,$C$891,'[1]Finanace - Incentive Data'!R:R,$B910)</f>
        <v>0</v>
      </c>
      <c r="O910" s="8">
        <f t="shared" si="36"/>
        <v>0</v>
      </c>
    </row>
    <row r="911" spans="1:15" x14ac:dyDescent="0.3">
      <c r="A911" s="11"/>
      <c r="B911" s="5"/>
      <c r="C911" s="12"/>
      <c r="D911" s="13"/>
      <c r="E911" s="13"/>
      <c r="F911" s="5"/>
      <c r="G911" s="14"/>
      <c r="H911" s="15"/>
      <c r="I911" s="12"/>
      <c r="J911" s="5"/>
      <c r="K911" s="5"/>
      <c r="L911" s="8"/>
      <c r="M911" s="8"/>
      <c r="N911" s="8">
        <f>SUMIFS('[1]Finanace - Incentive Data'!BE:BE,'[1]Finanace - Incentive Data'!BS:BS,"Y",'[1]Finanace - Incentive Data'!H:H,$C$891,'[1]Finanace - Incentive Data'!R:R,$B911)</f>
        <v>0</v>
      </c>
      <c r="O911" s="8">
        <f t="shared" si="36"/>
        <v>0</v>
      </c>
    </row>
    <row r="915" spans="1:15" ht="43.2" x14ac:dyDescent="0.3">
      <c r="A915" s="1" t="s">
        <v>0</v>
      </c>
      <c r="B915" s="1" t="s">
        <v>1</v>
      </c>
      <c r="C915" s="1" t="s">
        <v>2</v>
      </c>
      <c r="D915" s="1" t="s">
        <v>3</v>
      </c>
      <c r="E915" s="1" t="s">
        <v>4</v>
      </c>
      <c r="F915" s="1" t="s">
        <v>5</v>
      </c>
      <c r="G915" s="1" t="s">
        <v>6</v>
      </c>
      <c r="H915" s="1" t="s">
        <v>7</v>
      </c>
      <c r="I915" s="1" t="s">
        <v>8</v>
      </c>
      <c r="J915" s="1" t="s">
        <v>9</v>
      </c>
      <c r="K915" s="2" t="s">
        <v>10</v>
      </c>
      <c r="L915" s="2" t="s">
        <v>11</v>
      </c>
      <c r="M915" s="3"/>
      <c r="N915" s="3"/>
    </row>
    <row r="916" spans="1:15" x14ac:dyDescent="0.3">
      <c r="A916" s="5" t="s">
        <v>12</v>
      </c>
      <c r="B916" s="4" t="str">
        <f>_xlfn.XLOOKUP($C916,'[1]Basic EMP Data - 2026'!$D$3:$D$224,'[1]Basic EMP Data - 2026'!$C$3:$C$224)</f>
        <v>VB2185</v>
      </c>
      <c r="C916" s="6" t="s">
        <v>62</v>
      </c>
      <c r="D916" s="5" t="str">
        <f>VLOOKUP($B916,'[1]Basic EMP Data - 2026'!$C$3:$F$224,3,0)</f>
        <v>Fakhrul</v>
      </c>
      <c r="E916" s="5">
        <f>VLOOKUP($B916,'[1]Basic EMP Data - 2026'!$C$3:$I$224,5,0)</f>
        <v>4</v>
      </c>
      <c r="F916" s="5">
        <f>VLOOKUP($B916,'[1]Basic EMP Data - 2026'!$C$3:$I$224,6,0)</f>
        <v>0</v>
      </c>
      <c r="G916" s="7">
        <f>F916/E916</f>
        <v>0</v>
      </c>
      <c r="H916" s="8">
        <f>SUM(L918:L936)</f>
        <v>0</v>
      </c>
      <c r="I916" s="9" t="str" cm="1">
        <f t="array" ref="I916">_xlfn.IFS($G916&lt;=34%,"No slab",$G916&lt;=75%,"Slab 1",$G916&lt;=120%,"Slab 2",$G916&gt;120%,"Slab 3")</f>
        <v>No slab</v>
      </c>
      <c r="J916" s="8" cm="1">
        <f t="array" ref="J916">SUMPRODUCT((C918:C936=2026)*M918:M936*2)</f>
        <v>0</v>
      </c>
      <c r="K916" s="5">
        <f>SUM(N918:N936)</f>
        <v>0</v>
      </c>
      <c r="L916" s="8">
        <f>J916-K916</f>
        <v>0</v>
      </c>
      <c r="M916" s="3"/>
      <c r="N916" s="3"/>
    </row>
    <row r="917" spans="1:15" ht="43.2" x14ac:dyDescent="0.3">
      <c r="A917" s="10" t="s">
        <v>2</v>
      </c>
      <c r="B917" s="10" t="s">
        <v>14</v>
      </c>
      <c r="C917" s="10" t="s">
        <v>15</v>
      </c>
      <c r="D917" s="10" t="s">
        <v>16</v>
      </c>
      <c r="E917" s="10" t="s">
        <v>17</v>
      </c>
      <c r="F917" s="10" t="s">
        <v>18</v>
      </c>
      <c r="G917" s="10" t="s">
        <v>19</v>
      </c>
      <c r="H917" s="10" t="s">
        <v>20</v>
      </c>
      <c r="I917" s="10" t="s">
        <v>21</v>
      </c>
      <c r="J917" s="10" t="s">
        <v>22</v>
      </c>
      <c r="K917" s="10" t="s">
        <v>23</v>
      </c>
      <c r="L917" s="10" t="s">
        <v>24</v>
      </c>
      <c r="M917" s="10" t="s">
        <v>25</v>
      </c>
      <c r="N917" s="10" t="s">
        <v>26</v>
      </c>
      <c r="O917" s="10" t="s">
        <v>27</v>
      </c>
    </row>
    <row r="918" spans="1:15" x14ac:dyDescent="0.3">
      <c r="A918" s="11" t="str">
        <f>C916</f>
        <v>Muskan Mishra</v>
      </c>
      <c r="B918" s="5" t="e" cm="1" vm="1">
        <f t="array" ref="B918">_xlfn.LET(
  _xlpm.data, _xlfn._xlws.FILTER('[1]Finanace - Incentive Data'!A:CA, '[1]Finanace - Incentive Data'!H:H=$C916),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918" s="12"/>
      <c r="D918" s="13"/>
      <c r="E918" s="13"/>
      <c r="F918" s="5"/>
      <c r="G918" s="14"/>
      <c r="H918" s="15"/>
      <c r="I918" s="12"/>
      <c r="J918" s="5"/>
      <c r="K918" s="5"/>
      <c r="L918" s="8"/>
      <c r="M918" s="8"/>
      <c r="N918" s="8">
        <f>SUMIFS('[1]Finanace - Incentive Data'!BE:BE,'[1]Finanace - Incentive Data'!BS:BS,"Y",'[1]Finanace - Incentive Data'!H:H,$C$891,'[1]Finanace - Incentive Data'!R:R,$B918)</f>
        <v>0</v>
      </c>
      <c r="O918" s="8">
        <f>M918-N918</f>
        <v>0</v>
      </c>
    </row>
    <row r="919" spans="1:15" x14ac:dyDescent="0.3">
      <c r="A919" s="11"/>
      <c r="B919" s="5"/>
      <c r="C919" s="12"/>
      <c r="D919" s="13"/>
      <c r="E919" s="13"/>
      <c r="F919" s="5"/>
      <c r="G919" s="14"/>
      <c r="H919" s="15"/>
      <c r="I919" s="12"/>
      <c r="J919" s="5"/>
      <c r="K919" s="5"/>
      <c r="L919" s="8"/>
      <c r="M919" s="8"/>
      <c r="N919" s="8">
        <f>SUMIFS('[1]Finanace - Incentive Data'!BE:BE,'[1]Finanace - Incentive Data'!BS:BS,"Y",'[1]Finanace - Incentive Data'!H:H,$C$891,'[1]Finanace - Incentive Data'!R:R,$B919)</f>
        <v>0</v>
      </c>
      <c r="O919" s="8">
        <f t="shared" ref="O919:O936" si="37">M919-N919</f>
        <v>0</v>
      </c>
    </row>
    <row r="920" spans="1:15" x14ac:dyDescent="0.3">
      <c r="A920" s="11"/>
      <c r="B920" s="5"/>
      <c r="C920" s="12"/>
      <c r="D920" s="13"/>
      <c r="E920" s="13"/>
      <c r="F920" s="5"/>
      <c r="G920" s="14"/>
      <c r="H920" s="15"/>
      <c r="I920" s="12"/>
      <c r="J920" s="5"/>
      <c r="K920" s="5"/>
      <c r="L920" s="8"/>
      <c r="M920" s="8"/>
      <c r="N920" s="8">
        <f>SUMIFS('[1]Finanace - Incentive Data'!BE:BE,'[1]Finanace - Incentive Data'!BS:BS,"Y",'[1]Finanace - Incentive Data'!H:H,$C$891,'[1]Finanace - Incentive Data'!R:R,$B920)</f>
        <v>0</v>
      </c>
      <c r="O920" s="8">
        <f t="shared" si="37"/>
        <v>0</v>
      </c>
    </row>
    <row r="921" spans="1:15" x14ac:dyDescent="0.3">
      <c r="A921" s="11"/>
      <c r="B921" s="5"/>
      <c r="C921" s="12"/>
      <c r="D921" s="13"/>
      <c r="E921" s="13"/>
      <c r="F921" s="5"/>
      <c r="G921" s="14"/>
      <c r="H921" s="15"/>
      <c r="I921" s="12"/>
      <c r="J921" s="5"/>
      <c r="K921" s="5"/>
      <c r="L921" s="8"/>
      <c r="M921" s="8"/>
      <c r="N921" s="8">
        <f>SUMIFS('[1]Finanace - Incentive Data'!BE:BE,'[1]Finanace - Incentive Data'!BS:BS,"Y",'[1]Finanace - Incentive Data'!H:H,$C$891,'[1]Finanace - Incentive Data'!R:R,$B921)</f>
        <v>0</v>
      </c>
      <c r="O921" s="8">
        <f t="shared" si="37"/>
        <v>0</v>
      </c>
    </row>
    <row r="922" spans="1:15" x14ac:dyDescent="0.3">
      <c r="A922" s="11"/>
      <c r="B922" s="5"/>
      <c r="C922" s="12"/>
      <c r="D922" s="13"/>
      <c r="E922" s="13"/>
      <c r="F922" s="5"/>
      <c r="G922" s="14"/>
      <c r="H922" s="15"/>
      <c r="I922" s="12"/>
      <c r="J922" s="5"/>
      <c r="K922" s="5"/>
      <c r="L922" s="8"/>
      <c r="M922" s="8"/>
      <c r="N922" s="8">
        <f>SUMIFS('[1]Finanace - Incentive Data'!BE:BE,'[1]Finanace - Incentive Data'!BS:BS,"Y",'[1]Finanace - Incentive Data'!H:H,$C$891,'[1]Finanace - Incentive Data'!R:R,$B922)</f>
        <v>0</v>
      </c>
      <c r="O922" s="8">
        <f t="shared" si="37"/>
        <v>0</v>
      </c>
    </row>
    <row r="923" spans="1:15" x14ac:dyDescent="0.3">
      <c r="A923" s="11"/>
      <c r="B923" s="5"/>
      <c r="C923" s="12"/>
      <c r="D923" s="13"/>
      <c r="E923" s="13"/>
      <c r="F923" s="5"/>
      <c r="G923" s="14"/>
      <c r="H923" s="15"/>
      <c r="I923" s="12"/>
      <c r="J923" s="5"/>
      <c r="K923" s="5"/>
      <c r="L923" s="8"/>
      <c r="M923" s="8"/>
      <c r="N923" s="8">
        <f>SUMIFS('[1]Finanace - Incentive Data'!BE:BE,'[1]Finanace - Incentive Data'!BS:BS,"Y",'[1]Finanace - Incentive Data'!H:H,$C$891,'[1]Finanace - Incentive Data'!R:R,$B923)</f>
        <v>0</v>
      </c>
      <c r="O923" s="8">
        <f t="shared" si="37"/>
        <v>0</v>
      </c>
    </row>
    <row r="924" spans="1:15" x14ac:dyDescent="0.3">
      <c r="A924" s="11"/>
      <c r="B924" s="5"/>
      <c r="C924" s="12"/>
      <c r="D924" s="13"/>
      <c r="E924" s="13"/>
      <c r="F924" s="5"/>
      <c r="G924" s="14"/>
      <c r="H924" s="15"/>
      <c r="I924" s="12"/>
      <c r="J924" s="5"/>
      <c r="K924" s="5"/>
      <c r="L924" s="8"/>
      <c r="M924" s="8"/>
      <c r="N924" s="8">
        <f>SUMIFS('[1]Finanace - Incentive Data'!BE:BE,'[1]Finanace - Incentive Data'!BS:BS,"Y",'[1]Finanace - Incentive Data'!H:H,$C$891,'[1]Finanace - Incentive Data'!R:R,$B924)</f>
        <v>0</v>
      </c>
      <c r="O924" s="8">
        <f t="shared" si="37"/>
        <v>0</v>
      </c>
    </row>
    <row r="925" spans="1:15" x14ac:dyDescent="0.3">
      <c r="A925" s="11"/>
      <c r="B925" s="5"/>
      <c r="C925" s="12"/>
      <c r="D925" s="13"/>
      <c r="E925" s="13"/>
      <c r="F925" s="5"/>
      <c r="G925" s="14"/>
      <c r="H925" s="15"/>
      <c r="I925" s="12"/>
      <c r="J925" s="5"/>
      <c r="K925" s="5"/>
      <c r="L925" s="8"/>
      <c r="M925" s="8"/>
      <c r="N925" s="8">
        <f>SUMIFS('[1]Finanace - Incentive Data'!BE:BE,'[1]Finanace - Incentive Data'!BS:BS,"Y",'[1]Finanace - Incentive Data'!H:H,$C$891,'[1]Finanace - Incentive Data'!R:R,$B925)</f>
        <v>0</v>
      </c>
      <c r="O925" s="8">
        <f t="shared" si="37"/>
        <v>0</v>
      </c>
    </row>
    <row r="926" spans="1:15" x14ac:dyDescent="0.3">
      <c r="A926" s="11"/>
      <c r="B926" s="5"/>
      <c r="C926" s="12"/>
      <c r="D926" s="13"/>
      <c r="E926" s="13"/>
      <c r="F926" s="5"/>
      <c r="G926" s="14"/>
      <c r="H926" s="15"/>
      <c r="I926" s="12"/>
      <c r="J926" s="5"/>
      <c r="K926" s="5"/>
      <c r="L926" s="8"/>
      <c r="M926" s="8"/>
      <c r="N926" s="8">
        <f>SUMIFS('[1]Finanace - Incentive Data'!BE:BE,'[1]Finanace - Incentive Data'!BS:BS,"Y",'[1]Finanace - Incentive Data'!H:H,$C$891,'[1]Finanace - Incentive Data'!R:R,$B926)</f>
        <v>0</v>
      </c>
      <c r="O926" s="8">
        <f t="shared" si="37"/>
        <v>0</v>
      </c>
    </row>
    <row r="927" spans="1:15" x14ac:dyDescent="0.3">
      <c r="A927" s="11"/>
      <c r="B927" s="5"/>
      <c r="C927" s="12"/>
      <c r="D927" s="13"/>
      <c r="E927" s="13"/>
      <c r="F927" s="5"/>
      <c r="G927" s="14"/>
      <c r="H927" s="15"/>
      <c r="I927" s="12"/>
      <c r="J927" s="5"/>
      <c r="K927" s="5"/>
      <c r="L927" s="8"/>
      <c r="M927" s="8"/>
      <c r="N927" s="8">
        <f>SUMIFS('[1]Finanace - Incentive Data'!BE:BE,'[1]Finanace - Incentive Data'!BS:BS,"Y",'[1]Finanace - Incentive Data'!H:H,$C$891,'[1]Finanace - Incentive Data'!R:R,$B927)</f>
        <v>0</v>
      </c>
      <c r="O927" s="8">
        <f t="shared" si="37"/>
        <v>0</v>
      </c>
    </row>
    <row r="928" spans="1:15" x14ac:dyDescent="0.3">
      <c r="A928" s="11"/>
      <c r="B928" s="5"/>
      <c r="C928" s="12"/>
      <c r="D928" s="13"/>
      <c r="E928" s="13"/>
      <c r="F928" s="5"/>
      <c r="G928" s="14"/>
      <c r="H928" s="15"/>
      <c r="I928" s="12"/>
      <c r="J928" s="5"/>
      <c r="K928" s="5"/>
      <c r="L928" s="8"/>
      <c r="M928" s="8"/>
      <c r="N928" s="8">
        <f>SUMIFS('[1]Finanace - Incentive Data'!BE:BE,'[1]Finanace - Incentive Data'!BS:BS,"Y",'[1]Finanace - Incentive Data'!H:H,$C$891,'[1]Finanace - Incentive Data'!R:R,$B928)</f>
        <v>0</v>
      </c>
      <c r="O928" s="8">
        <f t="shared" si="37"/>
        <v>0</v>
      </c>
    </row>
    <row r="929" spans="1:15" x14ac:dyDescent="0.3">
      <c r="A929" s="11"/>
      <c r="B929" s="5"/>
      <c r="C929" s="12"/>
      <c r="D929" s="13"/>
      <c r="E929" s="13"/>
      <c r="F929" s="5"/>
      <c r="G929" s="14"/>
      <c r="H929" s="15"/>
      <c r="I929" s="12"/>
      <c r="J929" s="5"/>
      <c r="K929" s="5"/>
      <c r="L929" s="8"/>
      <c r="M929" s="8"/>
      <c r="N929" s="8">
        <f>SUMIFS('[1]Finanace - Incentive Data'!BE:BE,'[1]Finanace - Incentive Data'!BS:BS,"Y",'[1]Finanace - Incentive Data'!H:H,$C$891,'[1]Finanace - Incentive Data'!R:R,$B929)</f>
        <v>0</v>
      </c>
      <c r="O929" s="8">
        <f t="shared" si="37"/>
        <v>0</v>
      </c>
    </row>
    <row r="930" spans="1:15" x14ac:dyDescent="0.3">
      <c r="A930" s="11"/>
      <c r="B930" s="5"/>
      <c r="C930" s="12"/>
      <c r="D930" s="13"/>
      <c r="E930" s="13"/>
      <c r="F930" s="5"/>
      <c r="G930" s="14"/>
      <c r="H930" s="15"/>
      <c r="I930" s="12"/>
      <c r="J930" s="5"/>
      <c r="K930" s="5"/>
      <c r="L930" s="8"/>
      <c r="M930" s="8"/>
      <c r="N930" s="8">
        <f>SUMIFS('[1]Finanace - Incentive Data'!BE:BE,'[1]Finanace - Incentive Data'!BS:BS,"Y",'[1]Finanace - Incentive Data'!H:H,$C$891,'[1]Finanace - Incentive Data'!R:R,$B930)</f>
        <v>0</v>
      </c>
      <c r="O930" s="8">
        <f t="shared" si="37"/>
        <v>0</v>
      </c>
    </row>
    <row r="931" spans="1:15" x14ac:dyDescent="0.3">
      <c r="A931" s="11"/>
      <c r="B931" s="5"/>
      <c r="C931" s="12"/>
      <c r="D931" s="13"/>
      <c r="E931" s="13"/>
      <c r="F931" s="5"/>
      <c r="G931" s="14"/>
      <c r="H931" s="15"/>
      <c r="I931" s="12"/>
      <c r="J931" s="5"/>
      <c r="K931" s="5"/>
      <c r="L931" s="8"/>
      <c r="M931" s="8"/>
      <c r="N931" s="8">
        <f>SUMIFS('[1]Finanace - Incentive Data'!BE:BE,'[1]Finanace - Incentive Data'!BS:BS,"Y",'[1]Finanace - Incentive Data'!H:H,$C$891,'[1]Finanace - Incentive Data'!R:R,$B931)</f>
        <v>0</v>
      </c>
      <c r="O931" s="8">
        <f t="shared" si="37"/>
        <v>0</v>
      </c>
    </row>
    <row r="932" spans="1:15" x14ac:dyDescent="0.3">
      <c r="A932" s="11"/>
      <c r="B932" s="5"/>
      <c r="C932" s="12"/>
      <c r="D932" s="13"/>
      <c r="E932" s="13"/>
      <c r="F932" s="5"/>
      <c r="G932" s="14"/>
      <c r="H932" s="15"/>
      <c r="I932" s="12"/>
      <c r="J932" s="5"/>
      <c r="K932" s="5"/>
      <c r="L932" s="8"/>
      <c r="M932" s="8"/>
      <c r="N932" s="8">
        <f>SUMIFS('[1]Finanace - Incentive Data'!BE:BE,'[1]Finanace - Incentive Data'!BS:BS,"Y",'[1]Finanace - Incentive Data'!H:H,$C$891,'[1]Finanace - Incentive Data'!R:R,$B932)</f>
        <v>0</v>
      </c>
      <c r="O932" s="8">
        <f t="shared" si="37"/>
        <v>0</v>
      </c>
    </row>
    <row r="933" spans="1:15" x14ac:dyDescent="0.3">
      <c r="A933" s="11"/>
      <c r="B933" s="5"/>
      <c r="C933" s="12"/>
      <c r="D933" s="13"/>
      <c r="E933" s="13"/>
      <c r="F933" s="5"/>
      <c r="G933" s="14"/>
      <c r="H933" s="15"/>
      <c r="I933" s="12"/>
      <c r="J933" s="5"/>
      <c r="K933" s="5"/>
      <c r="L933" s="8"/>
      <c r="M933" s="8"/>
      <c r="N933" s="8">
        <f>SUMIFS('[1]Finanace - Incentive Data'!BE:BE,'[1]Finanace - Incentive Data'!BS:BS,"Y",'[1]Finanace - Incentive Data'!H:H,$C$891,'[1]Finanace - Incentive Data'!R:R,$B933)</f>
        <v>0</v>
      </c>
      <c r="O933" s="8">
        <f t="shared" si="37"/>
        <v>0</v>
      </c>
    </row>
    <row r="934" spans="1:15" x14ac:dyDescent="0.3">
      <c r="A934" s="11"/>
      <c r="B934" s="5"/>
      <c r="C934" s="12"/>
      <c r="D934" s="13"/>
      <c r="E934" s="13"/>
      <c r="F934" s="5"/>
      <c r="G934" s="14"/>
      <c r="H934" s="15"/>
      <c r="I934" s="12"/>
      <c r="J934" s="5"/>
      <c r="K934" s="5"/>
      <c r="L934" s="8"/>
      <c r="M934" s="8"/>
      <c r="N934" s="8">
        <f>SUMIFS('[1]Finanace - Incentive Data'!BE:BE,'[1]Finanace - Incentive Data'!BS:BS,"Y",'[1]Finanace - Incentive Data'!H:H,$C$891,'[1]Finanace - Incentive Data'!R:R,$B934)</f>
        <v>0</v>
      </c>
      <c r="O934" s="8">
        <f t="shared" si="37"/>
        <v>0</v>
      </c>
    </row>
    <row r="935" spans="1:15" x14ac:dyDescent="0.3">
      <c r="A935" s="11"/>
      <c r="B935" s="5"/>
      <c r="C935" s="12"/>
      <c r="D935" s="13"/>
      <c r="E935" s="13"/>
      <c r="F935" s="5"/>
      <c r="G935" s="14"/>
      <c r="H935" s="15"/>
      <c r="I935" s="12"/>
      <c r="J935" s="5"/>
      <c r="K935" s="5"/>
      <c r="L935" s="8"/>
      <c r="M935" s="8"/>
      <c r="N935" s="8">
        <f>SUMIFS('[1]Finanace - Incentive Data'!BE:BE,'[1]Finanace - Incentive Data'!BS:BS,"Y",'[1]Finanace - Incentive Data'!H:H,$C$891,'[1]Finanace - Incentive Data'!R:R,$B935)</f>
        <v>0</v>
      </c>
      <c r="O935" s="8">
        <f t="shared" si="37"/>
        <v>0</v>
      </c>
    </row>
    <row r="936" spans="1:15" x14ac:dyDescent="0.3">
      <c r="A936" s="11"/>
      <c r="B936" s="5"/>
      <c r="C936" s="12"/>
      <c r="D936" s="13"/>
      <c r="E936" s="13"/>
      <c r="F936" s="5"/>
      <c r="G936" s="14"/>
      <c r="H936" s="15"/>
      <c r="I936" s="12"/>
      <c r="J936" s="5"/>
      <c r="K936" s="5"/>
      <c r="L936" s="8"/>
      <c r="M936" s="8"/>
      <c r="N936" s="8">
        <f>SUMIFS('[1]Finanace - Incentive Data'!BE:BE,'[1]Finanace - Incentive Data'!BS:BS,"Y",'[1]Finanace - Incentive Data'!H:H,$C$891,'[1]Finanace - Incentive Data'!R:R,$B936)</f>
        <v>0</v>
      </c>
      <c r="O936" s="8">
        <f t="shared" si="37"/>
        <v>0</v>
      </c>
    </row>
  </sheetData>
  <mergeCells count="39">
    <mergeCell ref="A869:A887"/>
    <mergeCell ref="A893:A911"/>
    <mergeCell ref="A918:A936"/>
    <mergeCell ref="A724:A742"/>
    <mergeCell ref="A748:A766"/>
    <mergeCell ref="A772:A790"/>
    <mergeCell ref="A796:A814"/>
    <mergeCell ref="A820:A838"/>
    <mergeCell ref="A844:A862"/>
    <mergeCell ref="A580:A598"/>
    <mergeCell ref="A604:A622"/>
    <mergeCell ref="A628:A646"/>
    <mergeCell ref="A652:A670"/>
    <mergeCell ref="A676:A694"/>
    <mergeCell ref="A700:A718"/>
    <mergeCell ref="A437:A455"/>
    <mergeCell ref="A460:A478"/>
    <mergeCell ref="A484:A502"/>
    <mergeCell ref="A508:A526"/>
    <mergeCell ref="A532:A550"/>
    <mergeCell ref="A556:A574"/>
    <mergeCell ref="A293:A311"/>
    <mergeCell ref="A317:A335"/>
    <mergeCell ref="A341:A359"/>
    <mergeCell ref="A365:A383"/>
    <mergeCell ref="A389:A407"/>
    <mergeCell ref="A413:A431"/>
    <mergeCell ref="A149:A167"/>
    <mergeCell ref="A173:A191"/>
    <mergeCell ref="A198:A216"/>
    <mergeCell ref="A222:A240"/>
    <mergeCell ref="A246:A264"/>
    <mergeCell ref="A269:A287"/>
    <mergeCell ref="A4:A22"/>
    <mergeCell ref="A30:A48"/>
    <mergeCell ref="A54:A72"/>
    <mergeCell ref="A78:A96"/>
    <mergeCell ref="A102:A120"/>
    <mergeCell ref="A125:A143"/>
  </mergeCells>
  <conditionalFormatting sqref="B4">
    <cfRule type="duplicateValues" dxfId="433" priority="159"/>
  </conditionalFormatting>
  <conditionalFormatting sqref="B5:B22">
    <cfRule type="duplicateValues" dxfId="432" priority="508"/>
  </conditionalFormatting>
  <conditionalFormatting sqref="B23:B26 B49:B50 B73:B74 B97:B98 B121 B144:B145 B168:B169 B192:B194 B217:B218 B241:B242 B265 B288:B289 B312:B313 B336:B337 B360:B361 B384:B385 B408:B409 B432:B433 B456 B479:B480 B503:B504 B527:B528 B551:B552 B575:B576 B599:B600 B623:B624 B647:B648 B671:B672 B695:B696 B719:B720 B743:B744 B767:B768 B791:B792 B815:B816 B839:B840 B863:B865 B888:B889 B912:B914 B937:B1048576">
    <cfRule type="duplicateValues" dxfId="431" priority="512"/>
  </conditionalFormatting>
  <conditionalFormatting sqref="B30">
    <cfRule type="duplicateValues" dxfId="430" priority="128"/>
  </conditionalFormatting>
  <conditionalFormatting sqref="B31:B48">
    <cfRule type="duplicateValues" dxfId="429" priority="498"/>
  </conditionalFormatting>
  <conditionalFormatting sqref="B54">
    <cfRule type="duplicateValues" dxfId="428" priority="127"/>
  </conditionalFormatting>
  <conditionalFormatting sqref="B55:B72">
    <cfRule type="duplicateValues" dxfId="427" priority="488"/>
  </conditionalFormatting>
  <conditionalFormatting sqref="B78">
    <cfRule type="duplicateValues" dxfId="426" priority="126"/>
  </conditionalFormatting>
  <conditionalFormatting sqref="B79:B96">
    <cfRule type="duplicateValues" dxfId="425" priority="478"/>
  </conditionalFormatting>
  <conditionalFormatting sqref="B102">
    <cfRule type="duplicateValues" dxfId="424" priority="125"/>
  </conditionalFormatting>
  <conditionalFormatting sqref="B103:B120">
    <cfRule type="duplicateValues" dxfId="423" priority="468"/>
  </conditionalFormatting>
  <conditionalFormatting sqref="B125">
    <cfRule type="duplicateValues" dxfId="422" priority="124"/>
  </conditionalFormatting>
  <conditionalFormatting sqref="B126:B143">
    <cfRule type="duplicateValues" dxfId="421" priority="458"/>
  </conditionalFormatting>
  <conditionalFormatting sqref="B149">
    <cfRule type="duplicateValues" dxfId="420" priority="123"/>
  </conditionalFormatting>
  <conditionalFormatting sqref="B150:B167">
    <cfRule type="duplicateValues" dxfId="419" priority="448"/>
  </conditionalFormatting>
  <conditionalFormatting sqref="B173">
    <cfRule type="duplicateValues" dxfId="418" priority="122"/>
  </conditionalFormatting>
  <conditionalFormatting sqref="B174:B191">
    <cfRule type="duplicateValues" dxfId="417" priority="438"/>
  </conditionalFormatting>
  <conditionalFormatting sqref="B198">
    <cfRule type="duplicateValues" dxfId="416" priority="121"/>
  </conditionalFormatting>
  <conditionalFormatting sqref="B199:B216">
    <cfRule type="duplicateValues" dxfId="415" priority="428"/>
  </conditionalFormatting>
  <conditionalFormatting sqref="B222">
    <cfRule type="duplicateValues" dxfId="414" priority="120"/>
  </conditionalFormatting>
  <conditionalFormatting sqref="B223:B240">
    <cfRule type="duplicateValues" dxfId="413" priority="418"/>
  </conditionalFormatting>
  <conditionalFormatting sqref="B246">
    <cfRule type="duplicateValues" dxfId="412" priority="119"/>
  </conditionalFormatting>
  <conditionalFormatting sqref="B247:B264">
    <cfRule type="duplicateValues" dxfId="411" priority="408"/>
  </conditionalFormatting>
  <conditionalFormatting sqref="B269">
    <cfRule type="duplicateValues" dxfId="410" priority="118"/>
  </conditionalFormatting>
  <conditionalFormatting sqref="B270:B287">
    <cfRule type="duplicateValues" dxfId="409" priority="398"/>
  </conditionalFormatting>
  <conditionalFormatting sqref="B293">
    <cfRule type="duplicateValues" dxfId="408" priority="117"/>
  </conditionalFormatting>
  <conditionalFormatting sqref="B294:B311">
    <cfRule type="duplicateValues" dxfId="407" priority="388"/>
  </conditionalFormatting>
  <conditionalFormatting sqref="B317">
    <cfRule type="duplicateValues" dxfId="406" priority="116"/>
  </conditionalFormatting>
  <conditionalFormatting sqref="B318:B335">
    <cfRule type="duplicateValues" dxfId="405" priority="378"/>
  </conditionalFormatting>
  <conditionalFormatting sqref="B341">
    <cfRule type="duplicateValues" dxfId="404" priority="115"/>
  </conditionalFormatting>
  <conditionalFormatting sqref="B342:B359">
    <cfRule type="duplicateValues" dxfId="403" priority="368"/>
  </conditionalFormatting>
  <conditionalFormatting sqref="B365">
    <cfRule type="duplicateValues" dxfId="402" priority="114"/>
  </conditionalFormatting>
  <conditionalFormatting sqref="B366:B383">
    <cfRule type="duplicateValues" dxfId="401" priority="358"/>
  </conditionalFormatting>
  <conditionalFormatting sqref="B389">
    <cfRule type="duplicateValues" dxfId="400" priority="113"/>
  </conditionalFormatting>
  <conditionalFormatting sqref="B390:B407">
    <cfRule type="duplicateValues" dxfId="399" priority="348"/>
  </conditionalFormatting>
  <conditionalFormatting sqref="B413">
    <cfRule type="duplicateValues" dxfId="398" priority="112"/>
  </conditionalFormatting>
  <conditionalFormatting sqref="B414:B431">
    <cfRule type="duplicateValues" dxfId="397" priority="338"/>
  </conditionalFormatting>
  <conditionalFormatting sqref="B437">
    <cfRule type="duplicateValues" dxfId="396" priority="111"/>
  </conditionalFormatting>
  <conditionalFormatting sqref="B438:B455">
    <cfRule type="duplicateValues" dxfId="395" priority="328"/>
  </conditionalFormatting>
  <conditionalFormatting sqref="B460">
    <cfRule type="duplicateValues" dxfId="394" priority="110"/>
  </conditionalFormatting>
  <conditionalFormatting sqref="B461:B478">
    <cfRule type="duplicateValues" dxfId="393" priority="318"/>
  </conditionalFormatting>
  <conditionalFormatting sqref="B484">
    <cfRule type="duplicateValues" dxfId="392" priority="109"/>
  </conditionalFormatting>
  <conditionalFormatting sqref="B485:B502">
    <cfRule type="duplicateValues" dxfId="391" priority="308"/>
  </conditionalFormatting>
  <conditionalFormatting sqref="B508">
    <cfRule type="duplicateValues" dxfId="390" priority="108"/>
  </conditionalFormatting>
  <conditionalFormatting sqref="B509:B526">
    <cfRule type="duplicateValues" dxfId="389" priority="298"/>
  </conditionalFormatting>
  <conditionalFormatting sqref="B532">
    <cfRule type="duplicateValues" dxfId="388" priority="107"/>
  </conditionalFormatting>
  <conditionalFormatting sqref="B533:B550">
    <cfRule type="duplicateValues" dxfId="387" priority="288"/>
  </conditionalFormatting>
  <conditionalFormatting sqref="B556">
    <cfRule type="duplicateValues" dxfId="386" priority="106"/>
  </conditionalFormatting>
  <conditionalFormatting sqref="B557:B574">
    <cfRule type="duplicateValues" dxfId="385" priority="278"/>
  </conditionalFormatting>
  <conditionalFormatting sqref="B580">
    <cfRule type="duplicateValues" dxfId="384" priority="105"/>
  </conditionalFormatting>
  <conditionalFormatting sqref="B581:B598">
    <cfRule type="duplicateValues" dxfId="383" priority="266"/>
  </conditionalFormatting>
  <conditionalFormatting sqref="B604">
    <cfRule type="duplicateValues" dxfId="382" priority="104"/>
  </conditionalFormatting>
  <conditionalFormatting sqref="B605:B622">
    <cfRule type="duplicateValues" dxfId="381" priority="256"/>
  </conditionalFormatting>
  <conditionalFormatting sqref="B628">
    <cfRule type="duplicateValues" dxfId="380" priority="103"/>
  </conditionalFormatting>
  <conditionalFormatting sqref="B629:B646">
    <cfRule type="duplicateValues" dxfId="379" priority="246"/>
  </conditionalFormatting>
  <conditionalFormatting sqref="B652">
    <cfRule type="duplicateValues" dxfId="378" priority="102"/>
  </conditionalFormatting>
  <conditionalFormatting sqref="B653:B670">
    <cfRule type="duplicateValues" dxfId="377" priority="236"/>
  </conditionalFormatting>
  <conditionalFormatting sqref="B676">
    <cfRule type="duplicateValues" dxfId="376" priority="101"/>
  </conditionalFormatting>
  <conditionalFormatting sqref="B677:B694">
    <cfRule type="duplicateValues" dxfId="375" priority="226"/>
  </conditionalFormatting>
  <conditionalFormatting sqref="B700">
    <cfRule type="duplicateValues" dxfId="374" priority="100"/>
  </conditionalFormatting>
  <conditionalFormatting sqref="B701:B718">
    <cfRule type="duplicateValues" dxfId="373" priority="216"/>
  </conditionalFormatting>
  <conditionalFormatting sqref="B724">
    <cfRule type="duplicateValues" dxfId="372" priority="99"/>
  </conditionalFormatting>
  <conditionalFormatting sqref="B725:B742">
    <cfRule type="duplicateValues" dxfId="371" priority="206"/>
  </conditionalFormatting>
  <conditionalFormatting sqref="B748">
    <cfRule type="duplicateValues" dxfId="370" priority="98"/>
  </conditionalFormatting>
  <conditionalFormatting sqref="B749:B766">
    <cfRule type="duplicateValues" dxfId="369" priority="196"/>
  </conditionalFormatting>
  <conditionalFormatting sqref="B772">
    <cfRule type="duplicateValues" dxfId="368" priority="97"/>
  </conditionalFormatting>
  <conditionalFormatting sqref="B773:B790">
    <cfRule type="duplicateValues" dxfId="367" priority="186"/>
  </conditionalFormatting>
  <conditionalFormatting sqref="B796">
    <cfRule type="duplicateValues" dxfId="366" priority="96"/>
  </conditionalFormatting>
  <conditionalFormatting sqref="B797:B814">
    <cfRule type="duplicateValues" dxfId="365" priority="176"/>
  </conditionalFormatting>
  <conditionalFormatting sqref="B820">
    <cfRule type="duplicateValues" dxfId="364" priority="95"/>
  </conditionalFormatting>
  <conditionalFormatting sqref="B821:B838">
    <cfRule type="duplicateValues" dxfId="363" priority="166"/>
  </conditionalFormatting>
  <conditionalFormatting sqref="B844">
    <cfRule type="duplicateValues" dxfId="362" priority="94"/>
  </conditionalFormatting>
  <conditionalFormatting sqref="B845:B862">
    <cfRule type="duplicateValues" dxfId="361" priority="155"/>
  </conditionalFormatting>
  <conditionalFormatting sqref="B869">
    <cfRule type="duplicateValues" dxfId="360" priority="93"/>
  </conditionalFormatting>
  <conditionalFormatting sqref="B870:B887">
    <cfRule type="duplicateValues" dxfId="359" priority="145"/>
  </conditionalFormatting>
  <conditionalFormatting sqref="B893">
    <cfRule type="duplicateValues" dxfId="358" priority="92"/>
  </conditionalFormatting>
  <conditionalFormatting sqref="B894:B911">
    <cfRule type="duplicateValues" dxfId="357" priority="135"/>
  </conditionalFormatting>
  <conditionalFormatting sqref="B918">
    <cfRule type="duplicateValues" dxfId="356" priority="3"/>
  </conditionalFormatting>
  <conditionalFormatting sqref="B919:B936">
    <cfRule type="duplicateValues" dxfId="355" priority="10"/>
  </conditionalFormatting>
  <conditionalFormatting sqref="H4:H22">
    <cfRule type="containsText" dxfId="353" priority="504" operator="containsText" text="No Bill No Pay">
      <formula>NOT(ISERROR(SEARCH("No Bill No Pay",H4)))</formula>
    </cfRule>
    <cfRule type="cellIs" priority="505" operator="equal">
      <formula>"No Bill No Pay"</formula>
    </cfRule>
    <cfRule type="containsText" dxfId="354" priority="506" operator="containsText" text="Pending">
      <formula>NOT(ISERROR(SEARCH("Pending",H4)))</formula>
    </cfRule>
    <cfRule type="containsText" dxfId="352" priority="507" operator="containsText" text="Done">
      <formula>NOT(ISERROR(SEARCH("Done",H4)))</formula>
    </cfRule>
  </conditionalFormatting>
  <conditionalFormatting sqref="H30:H48">
    <cfRule type="containsText" dxfId="349" priority="494" operator="containsText" text="No Bill No Pay">
      <formula>NOT(ISERROR(SEARCH("No Bill No Pay",H30)))</formula>
    </cfRule>
    <cfRule type="cellIs" priority="495" operator="equal">
      <formula>"No Bill No Pay"</formula>
    </cfRule>
    <cfRule type="containsText" dxfId="350" priority="496" operator="containsText" text="Pending">
      <formula>NOT(ISERROR(SEARCH("Pending",H30)))</formula>
    </cfRule>
    <cfRule type="containsText" dxfId="351" priority="497" operator="containsText" text="Done">
      <formula>NOT(ISERROR(SEARCH("Done",H30)))</formula>
    </cfRule>
  </conditionalFormatting>
  <conditionalFormatting sqref="H54:H72">
    <cfRule type="containsText" dxfId="347" priority="484" operator="containsText" text="No Bill No Pay">
      <formula>NOT(ISERROR(SEARCH("No Bill No Pay",H54)))</formula>
    </cfRule>
    <cfRule type="cellIs" priority="485" operator="equal">
      <formula>"No Bill No Pay"</formula>
    </cfRule>
    <cfRule type="containsText" dxfId="348" priority="486" operator="containsText" text="Pending">
      <formula>NOT(ISERROR(SEARCH("Pending",H54)))</formula>
    </cfRule>
    <cfRule type="containsText" dxfId="346" priority="487" operator="containsText" text="Done">
      <formula>NOT(ISERROR(SEARCH("Done",H54)))</formula>
    </cfRule>
  </conditionalFormatting>
  <conditionalFormatting sqref="H78:H96">
    <cfRule type="containsText" dxfId="345" priority="474" operator="containsText" text="No Bill No Pay">
      <formula>NOT(ISERROR(SEARCH("No Bill No Pay",H78)))</formula>
    </cfRule>
    <cfRule type="cellIs" priority="475" operator="equal">
      <formula>"No Bill No Pay"</formula>
    </cfRule>
    <cfRule type="containsText" dxfId="344" priority="476" operator="containsText" text="Pending">
      <formula>NOT(ISERROR(SEARCH("Pending",H78)))</formula>
    </cfRule>
    <cfRule type="containsText" dxfId="343" priority="477" operator="containsText" text="Done">
      <formula>NOT(ISERROR(SEARCH("Done",H78)))</formula>
    </cfRule>
  </conditionalFormatting>
  <conditionalFormatting sqref="H102:H120">
    <cfRule type="containsText" dxfId="342" priority="464" operator="containsText" text="No Bill No Pay">
      <formula>NOT(ISERROR(SEARCH("No Bill No Pay",H102)))</formula>
    </cfRule>
    <cfRule type="cellIs" priority="465" operator="equal">
      <formula>"No Bill No Pay"</formula>
    </cfRule>
    <cfRule type="containsText" dxfId="341" priority="466" operator="containsText" text="Pending">
      <formula>NOT(ISERROR(SEARCH("Pending",H102)))</formula>
    </cfRule>
    <cfRule type="containsText" dxfId="340" priority="467" operator="containsText" text="Done">
      <formula>NOT(ISERROR(SEARCH("Done",H102)))</formula>
    </cfRule>
  </conditionalFormatting>
  <conditionalFormatting sqref="H125:H143">
    <cfRule type="containsText" dxfId="337" priority="454" operator="containsText" text="No Bill No Pay">
      <formula>NOT(ISERROR(SEARCH("No Bill No Pay",H125)))</formula>
    </cfRule>
    <cfRule type="cellIs" priority="455" operator="equal">
      <formula>"No Bill No Pay"</formula>
    </cfRule>
    <cfRule type="containsText" dxfId="338" priority="456" operator="containsText" text="Pending">
      <formula>NOT(ISERROR(SEARCH("Pending",H125)))</formula>
    </cfRule>
    <cfRule type="containsText" dxfId="339" priority="457" operator="containsText" text="Done">
      <formula>NOT(ISERROR(SEARCH("Done",H125)))</formula>
    </cfRule>
  </conditionalFormatting>
  <conditionalFormatting sqref="H149:H167">
    <cfRule type="containsText" dxfId="336" priority="444" operator="containsText" text="No Bill No Pay">
      <formula>NOT(ISERROR(SEARCH("No Bill No Pay",H149)))</formula>
    </cfRule>
    <cfRule type="cellIs" priority="445" operator="equal">
      <formula>"No Bill No Pay"</formula>
    </cfRule>
    <cfRule type="containsText" dxfId="335" priority="446" operator="containsText" text="Pending">
      <formula>NOT(ISERROR(SEARCH("Pending",H149)))</formula>
    </cfRule>
    <cfRule type="containsText" dxfId="334" priority="447" operator="containsText" text="Done">
      <formula>NOT(ISERROR(SEARCH("Done",H149)))</formula>
    </cfRule>
  </conditionalFormatting>
  <conditionalFormatting sqref="H173:H191">
    <cfRule type="containsText" dxfId="331" priority="434" operator="containsText" text="No Bill No Pay">
      <formula>NOT(ISERROR(SEARCH("No Bill No Pay",H173)))</formula>
    </cfRule>
    <cfRule type="cellIs" priority="435" operator="equal">
      <formula>"No Bill No Pay"</formula>
    </cfRule>
    <cfRule type="containsText" dxfId="333" priority="436" operator="containsText" text="Pending">
      <formula>NOT(ISERROR(SEARCH("Pending",H173)))</formula>
    </cfRule>
    <cfRule type="containsText" dxfId="332" priority="437" operator="containsText" text="Done">
      <formula>NOT(ISERROR(SEARCH("Done",H173)))</formula>
    </cfRule>
  </conditionalFormatting>
  <conditionalFormatting sqref="H198:H216">
    <cfRule type="containsText" dxfId="330" priority="424" operator="containsText" text="No Bill No Pay">
      <formula>NOT(ISERROR(SEARCH("No Bill No Pay",H198)))</formula>
    </cfRule>
    <cfRule type="cellIs" priority="425" operator="equal">
      <formula>"No Bill No Pay"</formula>
    </cfRule>
    <cfRule type="containsText" dxfId="329" priority="426" operator="containsText" text="Pending">
      <formula>NOT(ISERROR(SEARCH("Pending",H198)))</formula>
    </cfRule>
    <cfRule type="containsText" dxfId="328" priority="427" operator="containsText" text="Done">
      <formula>NOT(ISERROR(SEARCH("Done",H198)))</formula>
    </cfRule>
  </conditionalFormatting>
  <conditionalFormatting sqref="H222:H240">
    <cfRule type="containsText" dxfId="327" priority="414" operator="containsText" text="No Bill No Pay">
      <formula>NOT(ISERROR(SEARCH("No Bill No Pay",H222)))</formula>
    </cfRule>
    <cfRule type="cellIs" priority="415" operator="equal">
      <formula>"No Bill No Pay"</formula>
    </cfRule>
    <cfRule type="containsText" dxfId="326" priority="416" operator="containsText" text="Pending">
      <formula>NOT(ISERROR(SEARCH("Pending",H222)))</formula>
    </cfRule>
    <cfRule type="containsText" dxfId="325" priority="417" operator="containsText" text="Done">
      <formula>NOT(ISERROR(SEARCH("Done",H222)))</formula>
    </cfRule>
  </conditionalFormatting>
  <conditionalFormatting sqref="H246:H264">
    <cfRule type="containsText" dxfId="324" priority="404" operator="containsText" text="No Bill No Pay">
      <formula>NOT(ISERROR(SEARCH("No Bill No Pay",H246)))</formula>
    </cfRule>
    <cfRule type="cellIs" priority="405" operator="equal">
      <formula>"No Bill No Pay"</formula>
    </cfRule>
    <cfRule type="containsText" dxfId="323" priority="406" operator="containsText" text="Pending">
      <formula>NOT(ISERROR(SEARCH("Pending",H246)))</formula>
    </cfRule>
    <cfRule type="containsText" dxfId="322" priority="407" operator="containsText" text="Done">
      <formula>NOT(ISERROR(SEARCH("Done",H246)))</formula>
    </cfRule>
  </conditionalFormatting>
  <conditionalFormatting sqref="H269:H287">
    <cfRule type="containsText" dxfId="320" priority="394" operator="containsText" text="No Bill No Pay">
      <formula>NOT(ISERROR(SEARCH("No Bill No Pay",H269)))</formula>
    </cfRule>
    <cfRule type="cellIs" priority="395" operator="equal">
      <formula>"No Bill No Pay"</formula>
    </cfRule>
    <cfRule type="containsText" dxfId="319" priority="396" operator="containsText" text="Pending">
      <formula>NOT(ISERROR(SEARCH("Pending",H269)))</formula>
    </cfRule>
    <cfRule type="containsText" dxfId="321" priority="397" operator="containsText" text="Done">
      <formula>NOT(ISERROR(SEARCH("Done",H269)))</formula>
    </cfRule>
  </conditionalFormatting>
  <conditionalFormatting sqref="H293:H311">
    <cfRule type="containsText" dxfId="318" priority="384" operator="containsText" text="No Bill No Pay">
      <formula>NOT(ISERROR(SEARCH("No Bill No Pay",H293)))</formula>
    </cfRule>
    <cfRule type="cellIs" priority="385" operator="equal">
      <formula>"No Bill No Pay"</formula>
    </cfRule>
    <cfRule type="containsText" dxfId="316" priority="386" operator="containsText" text="Pending">
      <formula>NOT(ISERROR(SEARCH("Pending",H293)))</formula>
    </cfRule>
    <cfRule type="containsText" dxfId="317" priority="387" operator="containsText" text="Done">
      <formula>NOT(ISERROR(SEARCH("Done",H293)))</formula>
    </cfRule>
  </conditionalFormatting>
  <conditionalFormatting sqref="H317:H335">
    <cfRule type="containsText" dxfId="313" priority="374" operator="containsText" text="No Bill No Pay">
      <formula>NOT(ISERROR(SEARCH("No Bill No Pay",H317)))</formula>
    </cfRule>
    <cfRule type="cellIs" priority="375" operator="equal">
      <formula>"No Bill No Pay"</formula>
    </cfRule>
    <cfRule type="containsText" dxfId="314" priority="376" operator="containsText" text="Pending">
      <formula>NOT(ISERROR(SEARCH("Pending",H317)))</formula>
    </cfRule>
    <cfRule type="containsText" dxfId="315" priority="377" operator="containsText" text="Done">
      <formula>NOT(ISERROR(SEARCH("Done",H317)))</formula>
    </cfRule>
  </conditionalFormatting>
  <conditionalFormatting sqref="H341:H359">
    <cfRule type="containsText" dxfId="310" priority="364" operator="containsText" text="No Bill No Pay">
      <formula>NOT(ISERROR(SEARCH("No Bill No Pay",H341)))</formula>
    </cfRule>
    <cfRule type="cellIs" priority="365" operator="equal">
      <formula>"No Bill No Pay"</formula>
    </cfRule>
    <cfRule type="containsText" dxfId="311" priority="366" operator="containsText" text="Pending">
      <formula>NOT(ISERROR(SEARCH("Pending",H341)))</formula>
    </cfRule>
    <cfRule type="containsText" dxfId="312" priority="367" operator="containsText" text="Done">
      <formula>NOT(ISERROR(SEARCH("Done",H341)))</formula>
    </cfRule>
  </conditionalFormatting>
  <conditionalFormatting sqref="H365:H383">
    <cfRule type="containsText" dxfId="308" priority="354" operator="containsText" text="No Bill No Pay">
      <formula>NOT(ISERROR(SEARCH("No Bill No Pay",H365)))</formula>
    </cfRule>
    <cfRule type="cellIs" priority="355" operator="equal">
      <formula>"No Bill No Pay"</formula>
    </cfRule>
    <cfRule type="containsText" dxfId="309" priority="356" operator="containsText" text="Pending">
      <formula>NOT(ISERROR(SEARCH("Pending",H365)))</formula>
    </cfRule>
    <cfRule type="containsText" dxfId="307" priority="357" operator="containsText" text="Done">
      <formula>NOT(ISERROR(SEARCH("Done",H365)))</formula>
    </cfRule>
  </conditionalFormatting>
  <conditionalFormatting sqref="H389:H407">
    <cfRule type="containsText" dxfId="304" priority="344" operator="containsText" text="No Bill No Pay">
      <formula>NOT(ISERROR(SEARCH("No Bill No Pay",H389)))</formula>
    </cfRule>
    <cfRule type="cellIs" priority="345" operator="equal">
      <formula>"No Bill No Pay"</formula>
    </cfRule>
    <cfRule type="containsText" dxfId="305" priority="346" operator="containsText" text="Pending">
      <formula>NOT(ISERROR(SEARCH("Pending",H389)))</formula>
    </cfRule>
    <cfRule type="containsText" dxfId="306" priority="347" operator="containsText" text="Done">
      <formula>NOT(ISERROR(SEARCH("Done",H389)))</formula>
    </cfRule>
  </conditionalFormatting>
  <conditionalFormatting sqref="H413:H431">
    <cfRule type="containsText" dxfId="303" priority="334" operator="containsText" text="No Bill No Pay">
      <formula>NOT(ISERROR(SEARCH("No Bill No Pay",H413)))</formula>
    </cfRule>
    <cfRule type="cellIs" priority="335" operator="equal">
      <formula>"No Bill No Pay"</formula>
    </cfRule>
    <cfRule type="containsText" dxfId="302" priority="336" operator="containsText" text="Pending">
      <formula>NOT(ISERROR(SEARCH("Pending",H413)))</formula>
    </cfRule>
    <cfRule type="containsText" dxfId="301" priority="337" operator="containsText" text="Done">
      <formula>NOT(ISERROR(SEARCH("Done",H413)))</formula>
    </cfRule>
  </conditionalFormatting>
  <conditionalFormatting sqref="H437:H455">
    <cfRule type="containsText" dxfId="298" priority="324" operator="containsText" text="No Bill No Pay">
      <formula>NOT(ISERROR(SEARCH("No Bill No Pay",H437)))</formula>
    </cfRule>
    <cfRule type="cellIs" priority="325" operator="equal">
      <formula>"No Bill No Pay"</formula>
    </cfRule>
    <cfRule type="containsText" dxfId="300" priority="326" operator="containsText" text="Pending">
      <formula>NOT(ISERROR(SEARCH("Pending",H437)))</formula>
    </cfRule>
    <cfRule type="containsText" dxfId="299" priority="327" operator="containsText" text="Done">
      <formula>NOT(ISERROR(SEARCH("Done",H437)))</formula>
    </cfRule>
  </conditionalFormatting>
  <conditionalFormatting sqref="H460:H478">
    <cfRule type="containsText" dxfId="295" priority="314" operator="containsText" text="No Bill No Pay">
      <formula>NOT(ISERROR(SEARCH("No Bill No Pay",H460)))</formula>
    </cfRule>
    <cfRule type="cellIs" priority="315" operator="equal">
      <formula>"No Bill No Pay"</formula>
    </cfRule>
    <cfRule type="containsText" dxfId="296" priority="316" operator="containsText" text="Pending">
      <formula>NOT(ISERROR(SEARCH("Pending",H460)))</formula>
    </cfRule>
    <cfRule type="containsText" dxfId="297" priority="317" operator="containsText" text="Done">
      <formula>NOT(ISERROR(SEARCH("Done",H460)))</formula>
    </cfRule>
  </conditionalFormatting>
  <conditionalFormatting sqref="H484:H502">
    <cfRule type="containsText" dxfId="292" priority="304" operator="containsText" text="No Bill No Pay">
      <formula>NOT(ISERROR(SEARCH("No Bill No Pay",H484)))</formula>
    </cfRule>
    <cfRule type="cellIs" priority="305" operator="equal">
      <formula>"No Bill No Pay"</formula>
    </cfRule>
    <cfRule type="containsText" dxfId="293" priority="306" operator="containsText" text="Pending">
      <formula>NOT(ISERROR(SEARCH("Pending",H484)))</formula>
    </cfRule>
    <cfRule type="containsText" dxfId="294" priority="307" operator="containsText" text="Done">
      <formula>NOT(ISERROR(SEARCH("Done",H484)))</formula>
    </cfRule>
  </conditionalFormatting>
  <conditionalFormatting sqref="H508:H526">
    <cfRule type="containsText" dxfId="291" priority="294" operator="containsText" text="No Bill No Pay">
      <formula>NOT(ISERROR(SEARCH("No Bill No Pay",H508)))</formula>
    </cfRule>
    <cfRule type="cellIs" priority="295" operator="equal">
      <formula>"No Bill No Pay"</formula>
    </cfRule>
    <cfRule type="containsText" dxfId="290" priority="296" operator="containsText" text="Pending">
      <formula>NOT(ISERROR(SEARCH("Pending",H508)))</formula>
    </cfRule>
    <cfRule type="containsText" dxfId="289" priority="297" operator="containsText" text="Done">
      <formula>NOT(ISERROR(SEARCH("Done",H508)))</formula>
    </cfRule>
  </conditionalFormatting>
  <conditionalFormatting sqref="H532:H550">
    <cfRule type="containsText" dxfId="288" priority="284" operator="containsText" text="No Bill No Pay">
      <formula>NOT(ISERROR(SEARCH("No Bill No Pay",H532)))</formula>
    </cfRule>
    <cfRule type="cellIs" priority="285" operator="equal">
      <formula>"No Bill No Pay"</formula>
    </cfRule>
    <cfRule type="containsText" dxfId="287" priority="286" operator="containsText" text="Pending">
      <formula>NOT(ISERROR(SEARCH("Pending",H532)))</formula>
    </cfRule>
    <cfRule type="containsText" dxfId="286" priority="287" operator="containsText" text="Done">
      <formula>NOT(ISERROR(SEARCH("Done",H532)))</formula>
    </cfRule>
  </conditionalFormatting>
  <conditionalFormatting sqref="H556:H574">
    <cfRule type="containsText" dxfId="283" priority="274" operator="containsText" text="No Bill No Pay">
      <formula>NOT(ISERROR(SEARCH("No Bill No Pay",H556)))</formula>
    </cfRule>
    <cfRule type="cellIs" priority="275" operator="equal">
      <formula>"No Bill No Pay"</formula>
    </cfRule>
    <cfRule type="containsText" dxfId="284" priority="276" operator="containsText" text="Pending">
      <formula>NOT(ISERROR(SEARCH("Pending",H556)))</formula>
    </cfRule>
    <cfRule type="containsText" dxfId="285" priority="277" operator="containsText" text="Done">
      <formula>NOT(ISERROR(SEARCH("Done",H556)))</formula>
    </cfRule>
  </conditionalFormatting>
  <conditionalFormatting sqref="H580:H598">
    <cfRule type="containsText" dxfId="282" priority="262" operator="containsText" text="No Bill No Pay">
      <formula>NOT(ISERROR(SEARCH("No Bill No Pay",H580)))</formula>
    </cfRule>
    <cfRule type="cellIs" priority="263" operator="equal">
      <formula>"No Bill No Pay"</formula>
    </cfRule>
    <cfRule type="containsText" dxfId="280" priority="264" operator="containsText" text="Pending">
      <formula>NOT(ISERROR(SEARCH("Pending",H580)))</formula>
    </cfRule>
    <cfRule type="containsText" dxfId="281" priority="265" operator="containsText" text="Done">
      <formula>NOT(ISERROR(SEARCH("Done",H580)))</formula>
    </cfRule>
  </conditionalFormatting>
  <conditionalFormatting sqref="H604:H622">
    <cfRule type="containsText" dxfId="277" priority="252" operator="containsText" text="No Bill No Pay">
      <formula>NOT(ISERROR(SEARCH("No Bill No Pay",H604)))</formula>
    </cfRule>
    <cfRule type="cellIs" priority="253" operator="equal">
      <formula>"No Bill No Pay"</formula>
    </cfRule>
    <cfRule type="containsText" dxfId="279" priority="254" operator="containsText" text="Pending">
      <formula>NOT(ISERROR(SEARCH("Pending",H604)))</formula>
    </cfRule>
    <cfRule type="containsText" dxfId="278" priority="255" operator="containsText" text="Done">
      <formula>NOT(ISERROR(SEARCH("Done",H604)))</formula>
    </cfRule>
  </conditionalFormatting>
  <conditionalFormatting sqref="H628:H646">
    <cfRule type="containsText" dxfId="275" priority="242" operator="containsText" text="No Bill No Pay">
      <formula>NOT(ISERROR(SEARCH("No Bill No Pay",H628)))</formula>
    </cfRule>
    <cfRule type="cellIs" priority="243" operator="equal">
      <formula>"No Bill No Pay"</formula>
    </cfRule>
    <cfRule type="containsText" dxfId="274" priority="244" operator="containsText" text="Pending">
      <formula>NOT(ISERROR(SEARCH("Pending",H628)))</formula>
    </cfRule>
    <cfRule type="containsText" dxfId="276" priority="245" operator="containsText" text="Done">
      <formula>NOT(ISERROR(SEARCH("Done",H628)))</formula>
    </cfRule>
  </conditionalFormatting>
  <conditionalFormatting sqref="H652:H670">
    <cfRule type="containsText" dxfId="272" priority="232" operator="containsText" text="No Bill No Pay">
      <formula>NOT(ISERROR(SEARCH("No Bill No Pay",H652)))</formula>
    </cfRule>
    <cfRule type="cellIs" priority="233" operator="equal">
      <formula>"No Bill No Pay"</formula>
    </cfRule>
    <cfRule type="containsText" dxfId="273" priority="234" operator="containsText" text="Pending">
      <formula>NOT(ISERROR(SEARCH("Pending",H652)))</formula>
    </cfRule>
    <cfRule type="containsText" dxfId="271" priority="235" operator="containsText" text="Done">
      <formula>NOT(ISERROR(SEARCH("Done",H652)))</formula>
    </cfRule>
  </conditionalFormatting>
  <conditionalFormatting sqref="H676:H694">
    <cfRule type="containsText" dxfId="270" priority="222" operator="containsText" text="No Bill No Pay">
      <formula>NOT(ISERROR(SEARCH("No Bill No Pay",H676)))</formula>
    </cfRule>
    <cfRule type="cellIs" priority="223" operator="equal">
      <formula>"No Bill No Pay"</formula>
    </cfRule>
    <cfRule type="containsText" dxfId="268" priority="224" operator="containsText" text="Pending">
      <formula>NOT(ISERROR(SEARCH("Pending",H676)))</formula>
    </cfRule>
    <cfRule type="containsText" dxfId="269" priority="225" operator="containsText" text="Done">
      <formula>NOT(ISERROR(SEARCH("Done",H676)))</formula>
    </cfRule>
  </conditionalFormatting>
  <conditionalFormatting sqref="H700:H718">
    <cfRule type="containsText" dxfId="267" priority="212" operator="containsText" text="No Bill No Pay">
      <formula>NOT(ISERROR(SEARCH("No Bill No Pay",H700)))</formula>
    </cfRule>
    <cfRule type="cellIs" priority="213" operator="equal">
      <formula>"No Bill No Pay"</formula>
    </cfRule>
    <cfRule type="containsText" dxfId="266" priority="214" operator="containsText" text="Pending">
      <formula>NOT(ISERROR(SEARCH("Pending",H700)))</formula>
    </cfRule>
    <cfRule type="containsText" dxfId="265" priority="215" operator="containsText" text="Done">
      <formula>NOT(ISERROR(SEARCH("Done",H700)))</formula>
    </cfRule>
  </conditionalFormatting>
  <conditionalFormatting sqref="H724:H742">
    <cfRule type="containsText" dxfId="262" priority="202" operator="containsText" text="No Bill No Pay">
      <formula>NOT(ISERROR(SEARCH("No Bill No Pay",H724)))</formula>
    </cfRule>
    <cfRule type="cellIs" priority="203" operator="equal">
      <formula>"No Bill No Pay"</formula>
    </cfRule>
    <cfRule type="containsText" dxfId="264" priority="204" operator="containsText" text="Pending">
      <formula>NOT(ISERROR(SEARCH("Pending",H724)))</formula>
    </cfRule>
    <cfRule type="containsText" dxfId="263" priority="205" operator="containsText" text="Done">
      <formula>NOT(ISERROR(SEARCH("Done",H724)))</formula>
    </cfRule>
  </conditionalFormatting>
  <conditionalFormatting sqref="H748:H766">
    <cfRule type="containsText" dxfId="260" priority="192" operator="containsText" text="No Bill No Pay">
      <formula>NOT(ISERROR(SEARCH("No Bill No Pay",H748)))</formula>
    </cfRule>
    <cfRule type="cellIs" priority="193" operator="equal">
      <formula>"No Bill No Pay"</formula>
    </cfRule>
    <cfRule type="containsText" dxfId="261" priority="194" operator="containsText" text="Pending">
      <formula>NOT(ISERROR(SEARCH("Pending",H748)))</formula>
    </cfRule>
    <cfRule type="containsText" dxfId="259" priority="195" operator="containsText" text="Done">
      <formula>NOT(ISERROR(SEARCH("Done",H748)))</formula>
    </cfRule>
  </conditionalFormatting>
  <conditionalFormatting sqref="H772:H790">
    <cfRule type="containsText" dxfId="256" priority="182" operator="containsText" text="No Bill No Pay">
      <formula>NOT(ISERROR(SEARCH("No Bill No Pay",H772)))</formula>
    </cfRule>
    <cfRule type="cellIs" priority="183" operator="equal">
      <formula>"No Bill No Pay"</formula>
    </cfRule>
    <cfRule type="containsText" dxfId="257" priority="184" operator="containsText" text="Pending">
      <formula>NOT(ISERROR(SEARCH("Pending",H772)))</formula>
    </cfRule>
    <cfRule type="containsText" dxfId="258" priority="185" operator="containsText" text="Done">
      <formula>NOT(ISERROR(SEARCH("Done",H772)))</formula>
    </cfRule>
  </conditionalFormatting>
  <conditionalFormatting sqref="H796:H814">
    <cfRule type="containsText" dxfId="255" priority="172" operator="containsText" text="No Bill No Pay">
      <formula>NOT(ISERROR(SEARCH("No Bill No Pay",H796)))</formula>
    </cfRule>
    <cfRule type="cellIs" priority="173" operator="equal">
      <formula>"No Bill No Pay"</formula>
    </cfRule>
    <cfRule type="containsText" dxfId="254" priority="174" operator="containsText" text="Pending">
      <formula>NOT(ISERROR(SEARCH("Pending",H796)))</formula>
    </cfRule>
    <cfRule type="containsText" dxfId="253" priority="175" operator="containsText" text="Done">
      <formula>NOT(ISERROR(SEARCH("Done",H796)))</formula>
    </cfRule>
  </conditionalFormatting>
  <conditionalFormatting sqref="H820:H838">
    <cfRule type="containsText" dxfId="252" priority="162" operator="containsText" text="No Bill No Pay">
      <formula>NOT(ISERROR(SEARCH("No Bill No Pay",H820)))</formula>
    </cfRule>
    <cfRule type="cellIs" priority="163" operator="equal">
      <formula>"No Bill No Pay"</formula>
    </cfRule>
    <cfRule type="containsText" dxfId="250" priority="164" operator="containsText" text="Pending">
      <formula>NOT(ISERROR(SEARCH("Pending",H820)))</formula>
    </cfRule>
    <cfRule type="containsText" dxfId="251" priority="165" operator="containsText" text="Done">
      <formula>NOT(ISERROR(SEARCH("Done",H820)))</formula>
    </cfRule>
  </conditionalFormatting>
  <conditionalFormatting sqref="H844:H862">
    <cfRule type="containsText" dxfId="249" priority="151" operator="containsText" text="No Bill No Pay">
      <formula>NOT(ISERROR(SEARCH("No Bill No Pay",H844)))</formula>
    </cfRule>
    <cfRule type="cellIs" priority="152" operator="equal">
      <formula>"No Bill No Pay"</formula>
    </cfRule>
    <cfRule type="containsText" dxfId="248" priority="153" operator="containsText" text="Pending">
      <formula>NOT(ISERROR(SEARCH("Pending",H844)))</formula>
    </cfRule>
    <cfRule type="containsText" dxfId="247" priority="154" operator="containsText" text="Done">
      <formula>NOT(ISERROR(SEARCH("Done",H844)))</formula>
    </cfRule>
  </conditionalFormatting>
  <conditionalFormatting sqref="H869:H887">
    <cfRule type="containsText" dxfId="246" priority="141" operator="containsText" text="No Bill No Pay">
      <formula>NOT(ISERROR(SEARCH("No Bill No Pay",H869)))</formula>
    </cfRule>
    <cfRule type="cellIs" priority="142" operator="equal">
      <formula>"No Bill No Pay"</formula>
    </cfRule>
    <cfRule type="containsText" dxfId="245" priority="143" operator="containsText" text="Pending">
      <formula>NOT(ISERROR(SEARCH("Pending",H869)))</formula>
    </cfRule>
    <cfRule type="containsText" dxfId="244" priority="144" operator="containsText" text="Done">
      <formula>NOT(ISERROR(SEARCH("Done",H869)))</formula>
    </cfRule>
  </conditionalFormatting>
  <conditionalFormatting sqref="H893:H911">
    <cfRule type="containsText" dxfId="243" priority="131" operator="containsText" text="No Bill No Pay">
      <formula>NOT(ISERROR(SEARCH("No Bill No Pay",H893)))</formula>
    </cfRule>
    <cfRule type="cellIs" priority="132" operator="equal">
      <formula>"No Bill No Pay"</formula>
    </cfRule>
    <cfRule type="containsText" dxfId="242" priority="133" operator="containsText" text="Pending">
      <formula>NOT(ISERROR(SEARCH("Pending",H893)))</formula>
    </cfRule>
    <cfRule type="containsText" dxfId="241" priority="134" operator="containsText" text="Done">
      <formula>NOT(ISERROR(SEARCH("Done",H893)))</formula>
    </cfRule>
  </conditionalFormatting>
  <conditionalFormatting sqref="H918:H936">
    <cfRule type="containsText" dxfId="238" priority="6" operator="containsText" text="No Bill No Pay">
      <formula>NOT(ISERROR(SEARCH("No Bill No Pay",H918)))</formula>
    </cfRule>
    <cfRule type="cellIs" priority="7" operator="equal">
      <formula>"No Bill No Pay"</formula>
    </cfRule>
    <cfRule type="containsText" dxfId="240" priority="8" operator="containsText" text="Pending">
      <formula>NOT(ISERROR(SEARCH("Pending",H918)))</formula>
    </cfRule>
    <cfRule type="containsText" dxfId="239" priority="9" operator="containsText" text="Done">
      <formula>NOT(ISERROR(SEARCH("Done",H918)))</formula>
    </cfRule>
  </conditionalFormatting>
  <conditionalFormatting sqref="J3:L3">
    <cfRule type="containsText" dxfId="237" priority="509" operator="containsText" text="No Bill No Pay">
      <formula>NOT(ISERROR(SEARCH("No Bill No Pay",J3)))</formula>
    </cfRule>
    <cfRule type="cellIs" priority="510" operator="equal">
      <formula>"No Bill No Pay"</formula>
    </cfRule>
    <cfRule type="containsText" dxfId="236" priority="511" operator="containsText" text="Pending">
      <formula>NOT(ISERROR(SEARCH("Pending",J3)))</formula>
    </cfRule>
  </conditionalFormatting>
  <conditionalFormatting sqref="J29:L29">
    <cfRule type="containsText" dxfId="234" priority="499" operator="containsText" text="No Bill No Pay">
      <formula>NOT(ISERROR(SEARCH("No Bill No Pay",J29)))</formula>
    </cfRule>
    <cfRule type="cellIs" priority="500" operator="equal">
      <formula>"No Bill No Pay"</formula>
    </cfRule>
    <cfRule type="containsText" dxfId="235" priority="501" operator="containsText" text="Pending">
      <formula>NOT(ISERROR(SEARCH("Pending",J29)))</formula>
    </cfRule>
  </conditionalFormatting>
  <conditionalFormatting sqref="J53:L53">
    <cfRule type="containsText" dxfId="233" priority="489" operator="containsText" text="No Bill No Pay">
      <formula>NOT(ISERROR(SEARCH("No Bill No Pay",J53)))</formula>
    </cfRule>
    <cfRule type="cellIs" priority="490" operator="equal">
      <formula>"No Bill No Pay"</formula>
    </cfRule>
    <cfRule type="containsText" dxfId="232" priority="491" operator="containsText" text="Pending">
      <formula>NOT(ISERROR(SEARCH("Pending",J53)))</formula>
    </cfRule>
  </conditionalFormatting>
  <conditionalFormatting sqref="J77:L77">
    <cfRule type="containsText" dxfId="231" priority="479" operator="containsText" text="No Bill No Pay">
      <formula>NOT(ISERROR(SEARCH("No Bill No Pay",J77)))</formula>
    </cfRule>
    <cfRule type="cellIs" priority="480" operator="equal">
      <formula>"No Bill No Pay"</formula>
    </cfRule>
    <cfRule type="containsText" dxfId="230" priority="481" operator="containsText" text="Pending">
      <formula>NOT(ISERROR(SEARCH("Pending",J77)))</formula>
    </cfRule>
  </conditionalFormatting>
  <conditionalFormatting sqref="J101:L101">
    <cfRule type="containsText" dxfId="229" priority="469" operator="containsText" text="No Bill No Pay">
      <formula>NOT(ISERROR(SEARCH("No Bill No Pay",J101)))</formula>
    </cfRule>
    <cfRule type="cellIs" priority="470" operator="equal">
      <formula>"No Bill No Pay"</formula>
    </cfRule>
    <cfRule type="containsText" dxfId="228" priority="471" operator="containsText" text="Pending">
      <formula>NOT(ISERROR(SEARCH("Pending",J101)))</formula>
    </cfRule>
  </conditionalFormatting>
  <conditionalFormatting sqref="J124:L124">
    <cfRule type="containsText" dxfId="226" priority="459" operator="containsText" text="No Bill No Pay">
      <formula>NOT(ISERROR(SEARCH("No Bill No Pay",J124)))</formula>
    </cfRule>
    <cfRule type="cellIs" priority="460" operator="equal">
      <formula>"No Bill No Pay"</formula>
    </cfRule>
    <cfRule type="containsText" dxfId="227" priority="461" operator="containsText" text="Pending">
      <formula>NOT(ISERROR(SEARCH("Pending",J124)))</formula>
    </cfRule>
  </conditionalFormatting>
  <conditionalFormatting sqref="J148:L148">
    <cfRule type="containsText" dxfId="225" priority="449" operator="containsText" text="No Bill No Pay">
      <formula>NOT(ISERROR(SEARCH("No Bill No Pay",J148)))</formula>
    </cfRule>
    <cfRule type="cellIs" priority="450" operator="equal">
      <formula>"No Bill No Pay"</formula>
    </cfRule>
    <cfRule type="containsText" dxfId="224" priority="451" operator="containsText" text="Pending">
      <formula>NOT(ISERROR(SEARCH("Pending",J148)))</formula>
    </cfRule>
  </conditionalFormatting>
  <conditionalFormatting sqref="J172:L172">
    <cfRule type="containsText" dxfId="223" priority="439" operator="containsText" text="No Bill No Pay">
      <formula>NOT(ISERROR(SEARCH("No Bill No Pay",J172)))</formula>
    </cfRule>
    <cfRule type="cellIs" priority="440" operator="equal">
      <formula>"No Bill No Pay"</formula>
    </cfRule>
    <cfRule type="containsText" dxfId="222" priority="441" operator="containsText" text="Pending">
      <formula>NOT(ISERROR(SEARCH("Pending",J172)))</formula>
    </cfRule>
  </conditionalFormatting>
  <conditionalFormatting sqref="J197:L197">
    <cfRule type="containsText" dxfId="220" priority="429" operator="containsText" text="No Bill No Pay">
      <formula>NOT(ISERROR(SEARCH("No Bill No Pay",J197)))</formula>
    </cfRule>
    <cfRule type="cellIs" priority="430" operator="equal">
      <formula>"No Bill No Pay"</formula>
    </cfRule>
    <cfRule type="containsText" dxfId="221" priority="431" operator="containsText" text="Pending">
      <formula>NOT(ISERROR(SEARCH("Pending",J197)))</formula>
    </cfRule>
  </conditionalFormatting>
  <conditionalFormatting sqref="J221:L221">
    <cfRule type="containsText" dxfId="218" priority="419" operator="containsText" text="No Bill No Pay">
      <formula>NOT(ISERROR(SEARCH("No Bill No Pay",J221)))</formula>
    </cfRule>
    <cfRule type="cellIs" priority="420" operator="equal">
      <formula>"No Bill No Pay"</formula>
    </cfRule>
    <cfRule type="containsText" dxfId="219" priority="421" operator="containsText" text="Pending">
      <formula>NOT(ISERROR(SEARCH("Pending",J221)))</formula>
    </cfRule>
  </conditionalFormatting>
  <conditionalFormatting sqref="J245:L245">
    <cfRule type="containsText" dxfId="217" priority="409" operator="containsText" text="No Bill No Pay">
      <formula>NOT(ISERROR(SEARCH("No Bill No Pay",J245)))</formula>
    </cfRule>
    <cfRule type="cellIs" priority="410" operator="equal">
      <formula>"No Bill No Pay"</formula>
    </cfRule>
    <cfRule type="containsText" dxfId="216" priority="411" operator="containsText" text="Pending">
      <formula>NOT(ISERROR(SEARCH("Pending",J245)))</formula>
    </cfRule>
  </conditionalFormatting>
  <conditionalFormatting sqref="J268:L268">
    <cfRule type="containsText" dxfId="215" priority="399" operator="containsText" text="No Bill No Pay">
      <formula>NOT(ISERROR(SEARCH("No Bill No Pay",J268)))</formula>
    </cfRule>
    <cfRule type="cellIs" priority="400" operator="equal">
      <formula>"No Bill No Pay"</formula>
    </cfRule>
    <cfRule type="containsText" dxfId="214" priority="401" operator="containsText" text="Pending">
      <formula>NOT(ISERROR(SEARCH("Pending",J268)))</formula>
    </cfRule>
  </conditionalFormatting>
  <conditionalFormatting sqref="J292:L292">
    <cfRule type="containsText" dxfId="212" priority="389" operator="containsText" text="No Bill No Pay">
      <formula>NOT(ISERROR(SEARCH("No Bill No Pay",J292)))</formula>
    </cfRule>
    <cfRule type="cellIs" priority="390" operator="equal">
      <formula>"No Bill No Pay"</formula>
    </cfRule>
    <cfRule type="containsText" dxfId="213" priority="391" operator="containsText" text="Pending">
      <formula>NOT(ISERROR(SEARCH("Pending",J292)))</formula>
    </cfRule>
  </conditionalFormatting>
  <conditionalFormatting sqref="J316:L316">
    <cfRule type="containsText" dxfId="211" priority="379" operator="containsText" text="No Bill No Pay">
      <formula>NOT(ISERROR(SEARCH("No Bill No Pay",J316)))</formula>
    </cfRule>
    <cfRule type="cellIs" priority="380" operator="equal">
      <formula>"No Bill No Pay"</formula>
    </cfRule>
    <cfRule type="containsText" dxfId="210" priority="381" operator="containsText" text="Pending">
      <formula>NOT(ISERROR(SEARCH("Pending",J316)))</formula>
    </cfRule>
  </conditionalFormatting>
  <conditionalFormatting sqref="J340:L340">
    <cfRule type="containsText" dxfId="208" priority="369" operator="containsText" text="No Bill No Pay">
      <formula>NOT(ISERROR(SEARCH("No Bill No Pay",J340)))</formula>
    </cfRule>
    <cfRule type="cellIs" priority="370" operator="equal">
      <formula>"No Bill No Pay"</formula>
    </cfRule>
    <cfRule type="containsText" dxfId="209" priority="371" operator="containsText" text="Pending">
      <formula>NOT(ISERROR(SEARCH("Pending",J340)))</formula>
    </cfRule>
  </conditionalFormatting>
  <conditionalFormatting sqref="J364:L364">
    <cfRule type="containsText" dxfId="207" priority="359" operator="containsText" text="No Bill No Pay">
      <formula>NOT(ISERROR(SEARCH("No Bill No Pay",J364)))</formula>
    </cfRule>
    <cfRule type="cellIs" priority="360" operator="equal">
      <formula>"No Bill No Pay"</formula>
    </cfRule>
    <cfRule type="containsText" dxfId="206" priority="361" operator="containsText" text="Pending">
      <formula>NOT(ISERROR(SEARCH("Pending",J364)))</formula>
    </cfRule>
  </conditionalFormatting>
  <conditionalFormatting sqref="J388:L388">
    <cfRule type="containsText" dxfId="205" priority="349" operator="containsText" text="No Bill No Pay">
      <formula>NOT(ISERROR(SEARCH("No Bill No Pay",J388)))</formula>
    </cfRule>
    <cfRule type="cellIs" priority="350" operator="equal">
      <formula>"No Bill No Pay"</formula>
    </cfRule>
    <cfRule type="containsText" dxfId="204" priority="351" operator="containsText" text="Pending">
      <formula>NOT(ISERROR(SEARCH("Pending",J388)))</formula>
    </cfRule>
  </conditionalFormatting>
  <conditionalFormatting sqref="J412:L412">
    <cfRule type="containsText" dxfId="203" priority="339" operator="containsText" text="No Bill No Pay">
      <formula>NOT(ISERROR(SEARCH("No Bill No Pay",J412)))</formula>
    </cfRule>
    <cfRule type="cellIs" priority="340" operator="equal">
      <formula>"No Bill No Pay"</formula>
    </cfRule>
    <cfRule type="containsText" dxfId="202" priority="341" operator="containsText" text="Pending">
      <formula>NOT(ISERROR(SEARCH("Pending",J412)))</formula>
    </cfRule>
  </conditionalFormatting>
  <conditionalFormatting sqref="J436:L436">
    <cfRule type="containsText" dxfId="200" priority="329" operator="containsText" text="No Bill No Pay">
      <formula>NOT(ISERROR(SEARCH("No Bill No Pay",J436)))</formula>
    </cfRule>
    <cfRule type="cellIs" priority="330" operator="equal">
      <formula>"No Bill No Pay"</formula>
    </cfRule>
    <cfRule type="containsText" dxfId="201" priority="331" operator="containsText" text="Pending">
      <formula>NOT(ISERROR(SEARCH("Pending",J436)))</formula>
    </cfRule>
  </conditionalFormatting>
  <conditionalFormatting sqref="J459:L459">
    <cfRule type="containsText" dxfId="198" priority="319" operator="containsText" text="No Bill No Pay">
      <formula>NOT(ISERROR(SEARCH("No Bill No Pay",J459)))</formula>
    </cfRule>
    <cfRule type="cellIs" priority="320" operator="equal">
      <formula>"No Bill No Pay"</formula>
    </cfRule>
    <cfRule type="containsText" dxfId="199" priority="321" operator="containsText" text="Pending">
      <formula>NOT(ISERROR(SEARCH("Pending",J459)))</formula>
    </cfRule>
  </conditionalFormatting>
  <conditionalFormatting sqref="J483:L483">
    <cfRule type="containsText" dxfId="197" priority="309" operator="containsText" text="No Bill No Pay">
      <formula>NOT(ISERROR(SEARCH("No Bill No Pay",J483)))</formula>
    </cfRule>
    <cfRule type="cellIs" priority="310" operator="equal">
      <formula>"No Bill No Pay"</formula>
    </cfRule>
    <cfRule type="containsText" dxfId="196" priority="311" operator="containsText" text="Pending">
      <formula>NOT(ISERROR(SEARCH("Pending",J483)))</formula>
    </cfRule>
  </conditionalFormatting>
  <conditionalFormatting sqref="J507:L507">
    <cfRule type="containsText" dxfId="195" priority="299" operator="containsText" text="No Bill No Pay">
      <formula>NOT(ISERROR(SEARCH("No Bill No Pay",J507)))</formula>
    </cfRule>
    <cfRule type="cellIs" priority="300" operator="equal">
      <formula>"No Bill No Pay"</formula>
    </cfRule>
    <cfRule type="containsText" dxfId="194" priority="301" operator="containsText" text="Pending">
      <formula>NOT(ISERROR(SEARCH("Pending",J507)))</formula>
    </cfRule>
  </conditionalFormatting>
  <conditionalFormatting sqref="J531:L531">
    <cfRule type="containsText" dxfId="192" priority="289" operator="containsText" text="No Bill No Pay">
      <formula>NOT(ISERROR(SEARCH("No Bill No Pay",J531)))</formula>
    </cfRule>
    <cfRule type="cellIs" priority="290" operator="equal">
      <formula>"No Bill No Pay"</formula>
    </cfRule>
    <cfRule type="containsText" dxfId="193" priority="291" operator="containsText" text="Pending">
      <formula>NOT(ISERROR(SEARCH("Pending",J531)))</formula>
    </cfRule>
  </conditionalFormatting>
  <conditionalFormatting sqref="J555:L555">
    <cfRule type="containsText" dxfId="190" priority="279" operator="containsText" text="No Bill No Pay">
      <formula>NOT(ISERROR(SEARCH("No Bill No Pay",J555)))</formula>
    </cfRule>
    <cfRule type="cellIs" priority="280" operator="equal">
      <formula>"No Bill No Pay"</formula>
    </cfRule>
    <cfRule type="containsText" dxfId="191" priority="281" operator="containsText" text="Pending">
      <formula>NOT(ISERROR(SEARCH("Pending",J555)))</formula>
    </cfRule>
  </conditionalFormatting>
  <conditionalFormatting sqref="J579:L579">
    <cfRule type="containsText" dxfId="189" priority="267" operator="containsText" text="No Bill No Pay">
      <formula>NOT(ISERROR(SEARCH("No Bill No Pay",J579)))</formula>
    </cfRule>
    <cfRule type="cellIs" priority="268" operator="equal">
      <formula>"No Bill No Pay"</formula>
    </cfRule>
    <cfRule type="containsText" dxfId="188" priority="269" operator="containsText" text="Pending">
      <formula>NOT(ISERROR(SEARCH("Pending",J579)))</formula>
    </cfRule>
  </conditionalFormatting>
  <conditionalFormatting sqref="J603:L603">
    <cfRule type="containsText" dxfId="186" priority="257" operator="containsText" text="No Bill No Pay">
      <formula>NOT(ISERROR(SEARCH("No Bill No Pay",J603)))</formula>
    </cfRule>
    <cfRule type="cellIs" priority="258" operator="equal">
      <formula>"No Bill No Pay"</formula>
    </cfRule>
    <cfRule type="containsText" dxfId="187" priority="259" operator="containsText" text="Pending">
      <formula>NOT(ISERROR(SEARCH("Pending",J603)))</formula>
    </cfRule>
  </conditionalFormatting>
  <conditionalFormatting sqref="J627:L627">
    <cfRule type="containsText" dxfId="184" priority="247" operator="containsText" text="No Bill No Pay">
      <formula>NOT(ISERROR(SEARCH("No Bill No Pay",J627)))</formula>
    </cfRule>
    <cfRule type="cellIs" priority="248" operator="equal">
      <formula>"No Bill No Pay"</formula>
    </cfRule>
    <cfRule type="containsText" dxfId="185" priority="249" operator="containsText" text="Pending">
      <formula>NOT(ISERROR(SEARCH("Pending",J627)))</formula>
    </cfRule>
  </conditionalFormatting>
  <conditionalFormatting sqref="J651:L651">
    <cfRule type="containsText" dxfId="182" priority="237" operator="containsText" text="No Bill No Pay">
      <formula>NOT(ISERROR(SEARCH("No Bill No Pay",J651)))</formula>
    </cfRule>
    <cfRule type="cellIs" priority="238" operator="equal">
      <formula>"No Bill No Pay"</formula>
    </cfRule>
    <cfRule type="containsText" dxfId="183" priority="239" operator="containsText" text="Pending">
      <formula>NOT(ISERROR(SEARCH("Pending",J651)))</formula>
    </cfRule>
  </conditionalFormatting>
  <conditionalFormatting sqref="J675:L675">
    <cfRule type="containsText" dxfId="181" priority="227" operator="containsText" text="No Bill No Pay">
      <formula>NOT(ISERROR(SEARCH("No Bill No Pay",J675)))</formula>
    </cfRule>
    <cfRule type="cellIs" priority="228" operator="equal">
      <formula>"No Bill No Pay"</formula>
    </cfRule>
    <cfRule type="containsText" dxfId="180" priority="229" operator="containsText" text="Pending">
      <formula>NOT(ISERROR(SEARCH("Pending",J675)))</formula>
    </cfRule>
  </conditionalFormatting>
  <conditionalFormatting sqref="J699:L699">
    <cfRule type="containsText" dxfId="179" priority="217" operator="containsText" text="No Bill No Pay">
      <formula>NOT(ISERROR(SEARCH("No Bill No Pay",J699)))</formula>
    </cfRule>
    <cfRule type="cellIs" priority="218" operator="equal">
      <formula>"No Bill No Pay"</formula>
    </cfRule>
    <cfRule type="containsText" dxfId="178" priority="219" operator="containsText" text="Pending">
      <formula>NOT(ISERROR(SEARCH("Pending",J699)))</formula>
    </cfRule>
  </conditionalFormatting>
  <conditionalFormatting sqref="J723:L723">
    <cfRule type="containsText" dxfId="176" priority="207" operator="containsText" text="No Bill No Pay">
      <formula>NOT(ISERROR(SEARCH("No Bill No Pay",J723)))</formula>
    </cfRule>
    <cfRule type="cellIs" priority="208" operator="equal">
      <formula>"No Bill No Pay"</formula>
    </cfRule>
    <cfRule type="containsText" dxfId="177" priority="209" operator="containsText" text="Pending">
      <formula>NOT(ISERROR(SEARCH("Pending",J723)))</formula>
    </cfRule>
  </conditionalFormatting>
  <conditionalFormatting sqref="J747:L747">
    <cfRule type="containsText" dxfId="174" priority="197" operator="containsText" text="No Bill No Pay">
      <formula>NOT(ISERROR(SEARCH("No Bill No Pay",J747)))</formula>
    </cfRule>
    <cfRule type="cellIs" priority="198" operator="equal">
      <formula>"No Bill No Pay"</formula>
    </cfRule>
    <cfRule type="containsText" dxfId="175" priority="199" operator="containsText" text="Pending">
      <formula>NOT(ISERROR(SEARCH("Pending",J747)))</formula>
    </cfRule>
  </conditionalFormatting>
  <conditionalFormatting sqref="J771:L771">
    <cfRule type="containsText" dxfId="172" priority="187" operator="containsText" text="No Bill No Pay">
      <formula>NOT(ISERROR(SEARCH("No Bill No Pay",J771)))</formula>
    </cfRule>
    <cfRule type="cellIs" priority="188" operator="equal">
      <formula>"No Bill No Pay"</formula>
    </cfRule>
    <cfRule type="containsText" dxfId="173" priority="189" operator="containsText" text="Pending">
      <formula>NOT(ISERROR(SEARCH("Pending",J771)))</formula>
    </cfRule>
  </conditionalFormatting>
  <conditionalFormatting sqref="J795:L795">
    <cfRule type="containsText" dxfId="170" priority="177" operator="containsText" text="No Bill No Pay">
      <formula>NOT(ISERROR(SEARCH("No Bill No Pay",J795)))</formula>
    </cfRule>
    <cfRule type="cellIs" priority="178" operator="equal">
      <formula>"No Bill No Pay"</formula>
    </cfRule>
    <cfRule type="containsText" dxfId="171" priority="179" operator="containsText" text="Pending">
      <formula>NOT(ISERROR(SEARCH("Pending",J795)))</formula>
    </cfRule>
  </conditionalFormatting>
  <conditionalFormatting sqref="J819:L819">
    <cfRule type="containsText" dxfId="168" priority="167" operator="containsText" text="No Bill No Pay">
      <formula>NOT(ISERROR(SEARCH("No Bill No Pay",J819)))</formula>
    </cfRule>
    <cfRule type="cellIs" priority="168" operator="equal">
      <formula>"No Bill No Pay"</formula>
    </cfRule>
    <cfRule type="containsText" dxfId="169" priority="169" operator="containsText" text="Pending">
      <formula>NOT(ISERROR(SEARCH("Pending",J819)))</formula>
    </cfRule>
  </conditionalFormatting>
  <conditionalFormatting sqref="J843:L843">
    <cfRule type="containsText" dxfId="166" priority="156" operator="containsText" text="No Bill No Pay">
      <formula>NOT(ISERROR(SEARCH("No Bill No Pay",J843)))</formula>
    </cfRule>
    <cfRule type="cellIs" priority="157" operator="equal">
      <formula>"No Bill No Pay"</formula>
    </cfRule>
    <cfRule type="containsText" dxfId="167" priority="158" operator="containsText" text="Pending">
      <formula>NOT(ISERROR(SEARCH("Pending",J843)))</formula>
    </cfRule>
  </conditionalFormatting>
  <conditionalFormatting sqref="J868:L868">
    <cfRule type="containsText" dxfId="164" priority="146" operator="containsText" text="No Bill No Pay">
      <formula>NOT(ISERROR(SEARCH("No Bill No Pay",J868)))</formula>
    </cfRule>
    <cfRule type="cellIs" priority="147" operator="equal">
      <formula>"No Bill No Pay"</formula>
    </cfRule>
    <cfRule type="containsText" dxfId="165" priority="148" operator="containsText" text="Pending">
      <formula>NOT(ISERROR(SEARCH("Pending",J868)))</formula>
    </cfRule>
  </conditionalFormatting>
  <conditionalFormatting sqref="J892:L892">
    <cfRule type="containsText" dxfId="162" priority="136" operator="containsText" text="No Bill No Pay">
      <formula>NOT(ISERROR(SEARCH("No Bill No Pay",J892)))</formula>
    </cfRule>
    <cfRule type="cellIs" priority="137" operator="equal">
      <formula>"No Bill No Pay"</formula>
    </cfRule>
    <cfRule type="containsText" dxfId="163" priority="138" operator="containsText" text="Pending">
      <formula>NOT(ISERROR(SEARCH("Pending",J892)))</formula>
    </cfRule>
  </conditionalFormatting>
  <conditionalFormatting sqref="J917:L917">
    <cfRule type="containsText" dxfId="161" priority="11" operator="containsText" text="No Bill No Pay">
      <formula>NOT(ISERROR(SEARCH("No Bill No Pay",J917)))</formula>
    </cfRule>
    <cfRule type="cellIs" priority="12" operator="equal">
      <formula>"No Bill No Pay"</formula>
    </cfRule>
    <cfRule type="containsText" dxfId="160" priority="13" operator="containsText" text="Pending">
      <formula>NOT(ISERROR(SEARCH("Pending",J917)))</formula>
    </cfRule>
  </conditionalFormatting>
  <conditionalFormatting sqref="K4:K22">
    <cfRule type="containsText" dxfId="159" priority="502" operator="containsText" text="No">
      <formula>NOT(ISERROR(SEARCH("No",K4)))</formula>
    </cfRule>
    <cfRule type="containsText" dxfId="158" priority="503" operator="containsText" text="Yes">
      <formula>NOT(ISERROR(SEARCH("Yes",K4)))</formula>
    </cfRule>
  </conditionalFormatting>
  <conditionalFormatting sqref="K30:K48">
    <cfRule type="containsText" dxfId="156" priority="492" operator="containsText" text="No">
      <formula>NOT(ISERROR(SEARCH("No",K30)))</formula>
    </cfRule>
    <cfRule type="containsText" dxfId="157" priority="493" operator="containsText" text="Yes">
      <formula>NOT(ISERROR(SEARCH("Yes",K30)))</formula>
    </cfRule>
  </conditionalFormatting>
  <conditionalFormatting sqref="K54:K72">
    <cfRule type="containsText" dxfId="155" priority="482" operator="containsText" text="No">
      <formula>NOT(ISERROR(SEARCH("No",K54)))</formula>
    </cfRule>
    <cfRule type="containsText" dxfId="154" priority="483" operator="containsText" text="Yes">
      <formula>NOT(ISERROR(SEARCH("Yes",K54)))</formula>
    </cfRule>
  </conditionalFormatting>
  <conditionalFormatting sqref="K78:K96">
    <cfRule type="containsText" dxfId="152" priority="472" operator="containsText" text="No">
      <formula>NOT(ISERROR(SEARCH("No",K78)))</formula>
    </cfRule>
    <cfRule type="containsText" dxfId="153" priority="473" operator="containsText" text="Yes">
      <formula>NOT(ISERROR(SEARCH("Yes",K78)))</formula>
    </cfRule>
  </conditionalFormatting>
  <conditionalFormatting sqref="K102:K120">
    <cfRule type="containsText" dxfId="151" priority="462" operator="containsText" text="No">
      <formula>NOT(ISERROR(SEARCH("No",K102)))</formula>
    </cfRule>
    <cfRule type="containsText" dxfId="150" priority="463" operator="containsText" text="Yes">
      <formula>NOT(ISERROR(SEARCH("Yes",K102)))</formula>
    </cfRule>
  </conditionalFormatting>
  <conditionalFormatting sqref="K125:K143">
    <cfRule type="containsText" dxfId="148" priority="452" operator="containsText" text="No">
      <formula>NOT(ISERROR(SEARCH("No",K125)))</formula>
    </cfRule>
    <cfRule type="containsText" dxfId="149" priority="453" operator="containsText" text="Yes">
      <formula>NOT(ISERROR(SEARCH("Yes",K125)))</formula>
    </cfRule>
  </conditionalFormatting>
  <conditionalFormatting sqref="K149:K167">
    <cfRule type="containsText" dxfId="147" priority="442" operator="containsText" text="No">
      <formula>NOT(ISERROR(SEARCH("No",K149)))</formula>
    </cfRule>
    <cfRule type="containsText" dxfId="146" priority="443" operator="containsText" text="Yes">
      <formula>NOT(ISERROR(SEARCH("Yes",K149)))</formula>
    </cfRule>
  </conditionalFormatting>
  <conditionalFormatting sqref="K173:K191">
    <cfRule type="containsText" dxfId="145" priority="432" operator="containsText" text="No">
      <formula>NOT(ISERROR(SEARCH("No",K173)))</formula>
    </cfRule>
    <cfRule type="containsText" dxfId="144" priority="433" operator="containsText" text="Yes">
      <formula>NOT(ISERROR(SEARCH("Yes",K173)))</formula>
    </cfRule>
  </conditionalFormatting>
  <conditionalFormatting sqref="K198:K216">
    <cfRule type="containsText" dxfId="143" priority="422" operator="containsText" text="No">
      <formula>NOT(ISERROR(SEARCH("No",K198)))</formula>
    </cfRule>
    <cfRule type="containsText" dxfId="142" priority="423" operator="containsText" text="Yes">
      <formula>NOT(ISERROR(SEARCH("Yes",K198)))</formula>
    </cfRule>
  </conditionalFormatting>
  <conditionalFormatting sqref="K222:K240">
    <cfRule type="containsText" dxfId="141" priority="412" operator="containsText" text="No">
      <formula>NOT(ISERROR(SEARCH("No",K222)))</formula>
    </cfRule>
    <cfRule type="containsText" dxfId="140" priority="413" operator="containsText" text="Yes">
      <formula>NOT(ISERROR(SEARCH("Yes",K222)))</formula>
    </cfRule>
  </conditionalFormatting>
  <conditionalFormatting sqref="K246:K264">
    <cfRule type="containsText" dxfId="138" priority="402" operator="containsText" text="No">
      <formula>NOT(ISERROR(SEARCH("No",K246)))</formula>
    </cfRule>
    <cfRule type="containsText" dxfId="139" priority="403" operator="containsText" text="Yes">
      <formula>NOT(ISERROR(SEARCH("Yes",K246)))</formula>
    </cfRule>
  </conditionalFormatting>
  <conditionalFormatting sqref="K269:K287">
    <cfRule type="containsText" dxfId="137" priority="392" operator="containsText" text="No">
      <formula>NOT(ISERROR(SEARCH("No",K269)))</formula>
    </cfRule>
    <cfRule type="containsText" dxfId="136" priority="393" operator="containsText" text="Yes">
      <formula>NOT(ISERROR(SEARCH("Yes",K269)))</formula>
    </cfRule>
  </conditionalFormatting>
  <conditionalFormatting sqref="K293:K311">
    <cfRule type="containsText" dxfId="134" priority="382" operator="containsText" text="No">
      <formula>NOT(ISERROR(SEARCH("No",K293)))</formula>
    </cfRule>
    <cfRule type="containsText" dxfId="135" priority="383" operator="containsText" text="Yes">
      <formula>NOT(ISERROR(SEARCH("Yes",K293)))</formula>
    </cfRule>
  </conditionalFormatting>
  <conditionalFormatting sqref="K317:K335">
    <cfRule type="containsText" dxfId="133" priority="372" operator="containsText" text="No">
      <formula>NOT(ISERROR(SEARCH("No",K317)))</formula>
    </cfRule>
    <cfRule type="containsText" dxfId="132" priority="373" operator="containsText" text="Yes">
      <formula>NOT(ISERROR(SEARCH("Yes",K317)))</formula>
    </cfRule>
  </conditionalFormatting>
  <conditionalFormatting sqref="K341:K359">
    <cfRule type="containsText" dxfId="131" priority="362" operator="containsText" text="No">
      <formula>NOT(ISERROR(SEARCH("No",K341)))</formula>
    </cfRule>
    <cfRule type="containsText" dxfId="130" priority="363" operator="containsText" text="Yes">
      <formula>NOT(ISERROR(SEARCH("Yes",K341)))</formula>
    </cfRule>
  </conditionalFormatting>
  <conditionalFormatting sqref="K365:K383">
    <cfRule type="containsText" dxfId="129" priority="352" operator="containsText" text="No">
      <formula>NOT(ISERROR(SEARCH("No",K365)))</formula>
    </cfRule>
    <cfRule type="containsText" dxfId="128" priority="353" operator="containsText" text="Yes">
      <formula>NOT(ISERROR(SEARCH("Yes",K365)))</formula>
    </cfRule>
  </conditionalFormatting>
  <conditionalFormatting sqref="K389:K407">
    <cfRule type="containsText" dxfId="126" priority="342" operator="containsText" text="No">
      <formula>NOT(ISERROR(SEARCH("No",K389)))</formula>
    </cfRule>
    <cfRule type="containsText" dxfId="127" priority="343" operator="containsText" text="Yes">
      <formula>NOT(ISERROR(SEARCH("Yes",K389)))</formula>
    </cfRule>
  </conditionalFormatting>
  <conditionalFormatting sqref="K413:K431">
    <cfRule type="containsText" dxfId="124" priority="332" operator="containsText" text="No">
      <formula>NOT(ISERROR(SEARCH("No",K413)))</formula>
    </cfRule>
    <cfRule type="containsText" dxfId="125" priority="333" operator="containsText" text="Yes">
      <formula>NOT(ISERROR(SEARCH("Yes",K413)))</formula>
    </cfRule>
  </conditionalFormatting>
  <conditionalFormatting sqref="K437:K455">
    <cfRule type="containsText" dxfId="122" priority="322" operator="containsText" text="No">
      <formula>NOT(ISERROR(SEARCH("No",K437)))</formula>
    </cfRule>
    <cfRule type="containsText" dxfId="123" priority="323" operator="containsText" text="Yes">
      <formula>NOT(ISERROR(SEARCH("Yes",K437)))</formula>
    </cfRule>
  </conditionalFormatting>
  <conditionalFormatting sqref="K460:K478">
    <cfRule type="containsText" dxfId="121" priority="312" operator="containsText" text="No">
      <formula>NOT(ISERROR(SEARCH("No",K460)))</formula>
    </cfRule>
    <cfRule type="containsText" dxfId="120" priority="313" operator="containsText" text="Yes">
      <formula>NOT(ISERROR(SEARCH("Yes",K460)))</formula>
    </cfRule>
  </conditionalFormatting>
  <conditionalFormatting sqref="K484:K502">
    <cfRule type="containsText" dxfId="118" priority="302" operator="containsText" text="No">
      <formula>NOT(ISERROR(SEARCH("No",K484)))</formula>
    </cfRule>
    <cfRule type="containsText" dxfId="119" priority="303" operator="containsText" text="Yes">
      <formula>NOT(ISERROR(SEARCH("Yes",K484)))</formula>
    </cfRule>
  </conditionalFormatting>
  <conditionalFormatting sqref="K508:K526">
    <cfRule type="containsText" dxfId="116" priority="292" operator="containsText" text="No">
      <formula>NOT(ISERROR(SEARCH("No",K508)))</formula>
    </cfRule>
    <cfRule type="containsText" dxfId="117" priority="293" operator="containsText" text="Yes">
      <formula>NOT(ISERROR(SEARCH("Yes",K508)))</formula>
    </cfRule>
  </conditionalFormatting>
  <conditionalFormatting sqref="K532:K550">
    <cfRule type="containsText" dxfId="114" priority="282" operator="containsText" text="No">
      <formula>NOT(ISERROR(SEARCH("No",K532)))</formula>
    </cfRule>
    <cfRule type="containsText" dxfId="115" priority="283" operator="containsText" text="Yes">
      <formula>NOT(ISERROR(SEARCH("Yes",K532)))</formula>
    </cfRule>
  </conditionalFormatting>
  <conditionalFormatting sqref="K556:K574">
    <cfRule type="containsText" dxfId="113" priority="272" operator="containsText" text="No">
      <formula>NOT(ISERROR(SEARCH("No",K556)))</formula>
    </cfRule>
    <cfRule type="containsText" dxfId="112" priority="273" operator="containsText" text="Yes">
      <formula>NOT(ISERROR(SEARCH("Yes",K556)))</formula>
    </cfRule>
  </conditionalFormatting>
  <conditionalFormatting sqref="K580:K598">
    <cfRule type="containsText" dxfId="111" priority="260" operator="containsText" text="No">
      <formula>NOT(ISERROR(SEARCH("No",K580)))</formula>
    </cfRule>
    <cfRule type="containsText" dxfId="110" priority="261" operator="containsText" text="Yes">
      <formula>NOT(ISERROR(SEARCH("Yes",K580)))</formula>
    </cfRule>
  </conditionalFormatting>
  <conditionalFormatting sqref="K604:K622">
    <cfRule type="containsText" dxfId="108" priority="250" operator="containsText" text="No">
      <formula>NOT(ISERROR(SEARCH("No",K604)))</formula>
    </cfRule>
    <cfRule type="containsText" dxfId="109" priority="251" operator="containsText" text="Yes">
      <formula>NOT(ISERROR(SEARCH("Yes",K604)))</formula>
    </cfRule>
  </conditionalFormatting>
  <conditionalFormatting sqref="K628:K646">
    <cfRule type="containsText" dxfId="107" priority="240" operator="containsText" text="No">
      <formula>NOT(ISERROR(SEARCH("No",K628)))</formula>
    </cfRule>
    <cfRule type="containsText" dxfId="106" priority="241" operator="containsText" text="Yes">
      <formula>NOT(ISERROR(SEARCH("Yes",K628)))</formula>
    </cfRule>
  </conditionalFormatting>
  <conditionalFormatting sqref="K652:K670">
    <cfRule type="containsText" dxfId="104" priority="230" operator="containsText" text="No">
      <formula>NOT(ISERROR(SEARCH("No",K652)))</formula>
    </cfRule>
    <cfRule type="containsText" dxfId="105" priority="231" operator="containsText" text="Yes">
      <formula>NOT(ISERROR(SEARCH("Yes",K652)))</formula>
    </cfRule>
  </conditionalFormatting>
  <conditionalFormatting sqref="K676:K694">
    <cfRule type="containsText" dxfId="103" priority="220" operator="containsText" text="No">
      <formula>NOT(ISERROR(SEARCH("No",K676)))</formula>
    </cfRule>
    <cfRule type="containsText" dxfId="102" priority="221" operator="containsText" text="Yes">
      <formula>NOT(ISERROR(SEARCH("Yes",K676)))</formula>
    </cfRule>
  </conditionalFormatting>
  <conditionalFormatting sqref="K700:K718">
    <cfRule type="containsText" dxfId="100" priority="210" operator="containsText" text="No">
      <formula>NOT(ISERROR(SEARCH("No",K700)))</formula>
    </cfRule>
    <cfRule type="containsText" dxfId="101" priority="211" operator="containsText" text="Yes">
      <formula>NOT(ISERROR(SEARCH("Yes",K700)))</formula>
    </cfRule>
  </conditionalFormatting>
  <conditionalFormatting sqref="K724:K742">
    <cfRule type="containsText" dxfId="98" priority="200" operator="containsText" text="No">
      <formula>NOT(ISERROR(SEARCH("No",K724)))</formula>
    </cfRule>
    <cfRule type="containsText" dxfId="99" priority="201" operator="containsText" text="Yes">
      <formula>NOT(ISERROR(SEARCH("Yes",K724)))</formula>
    </cfRule>
  </conditionalFormatting>
  <conditionalFormatting sqref="K748:K766">
    <cfRule type="containsText" dxfId="97" priority="190" operator="containsText" text="No">
      <formula>NOT(ISERROR(SEARCH("No",K748)))</formula>
    </cfRule>
    <cfRule type="containsText" dxfId="96" priority="191" operator="containsText" text="Yes">
      <formula>NOT(ISERROR(SEARCH("Yes",K748)))</formula>
    </cfRule>
  </conditionalFormatting>
  <conditionalFormatting sqref="K772:K790">
    <cfRule type="containsText" dxfId="94" priority="180" operator="containsText" text="No">
      <formula>NOT(ISERROR(SEARCH("No",K772)))</formula>
    </cfRule>
    <cfRule type="containsText" dxfId="95" priority="181" operator="containsText" text="Yes">
      <formula>NOT(ISERROR(SEARCH("Yes",K772)))</formula>
    </cfRule>
  </conditionalFormatting>
  <conditionalFormatting sqref="K796:K814">
    <cfRule type="containsText" dxfId="92" priority="170" operator="containsText" text="No">
      <formula>NOT(ISERROR(SEARCH("No",K796)))</formula>
    </cfRule>
    <cfRule type="containsText" dxfId="93" priority="171" operator="containsText" text="Yes">
      <formula>NOT(ISERROR(SEARCH("Yes",K796)))</formula>
    </cfRule>
  </conditionalFormatting>
  <conditionalFormatting sqref="K820:K838">
    <cfRule type="containsText" dxfId="90" priority="160" operator="containsText" text="No">
      <formula>NOT(ISERROR(SEARCH("No",K820)))</formula>
    </cfRule>
    <cfRule type="containsText" dxfId="91" priority="161" operator="containsText" text="Yes">
      <formula>NOT(ISERROR(SEARCH("Yes",K820)))</formula>
    </cfRule>
  </conditionalFormatting>
  <conditionalFormatting sqref="K844:K862">
    <cfRule type="containsText" dxfId="89" priority="149" operator="containsText" text="No">
      <formula>NOT(ISERROR(SEARCH("No",K844)))</formula>
    </cfRule>
    <cfRule type="containsText" dxfId="88" priority="150" operator="containsText" text="Yes">
      <formula>NOT(ISERROR(SEARCH("Yes",K844)))</formula>
    </cfRule>
  </conditionalFormatting>
  <conditionalFormatting sqref="K869:K887">
    <cfRule type="containsText" dxfId="86" priority="139" operator="containsText" text="No">
      <formula>NOT(ISERROR(SEARCH("No",K869)))</formula>
    </cfRule>
    <cfRule type="containsText" dxfId="87" priority="140" operator="containsText" text="Yes">
      <formula>NOT(ISERROR(SEARCH("Yes",K869)))</formula>
    </cfRule>
  </conditionalFormatting>
  <conditionalFormatting sqref="K893:K911">
    <cfRule type="containsText" dxfId="85" priority="129" operator="containsText" text="No">
      <formula>NOT(ISERROR(SEARCH("No",K893)))</formula>
    </cfRule>
    <cfRule type="containsText" dxfId="84" priority="130" operator="containsText" text="Yes">
      <formula>NOT(ISERROR(SEARCH("Yes",K893)))</formula>
    </cfRule>
  </conditionalFormatting>
  <conditionalFormatting sqref="K918:K936">
    <cfRule type="containsText" dxfId="82" priority="4" operator="containsText" text="No">
      <formula>NOT(ISERROR(SEARCH("No",K918)))</formula>
    </cfRule>
    <cfRule type="containsText" dxfId="83" priority="5" operator="containsText" text="Yes">
      <formula>NOT(ISERROR(SEARCH("Yes",K918)))</formula>
    </cfRule>
  </conditionalFormatting>
  <conditionalFormatting sqref="N558:N574">
    <cfRule type="containsText" dxfId="80" priority="270" operator="containsText" text="No">
      <formula>NOT(ISERROR(SEARCH("No",N558)))</formula>
    </cfRule>
    <cfRule type="containsText" dxfId="81" priority="271" operator="containsText" text="Yes">
      <formula>NOT(ISERROR(SEARCH("Yes",N558)))</formula>
    </cfRule>
  </conditionalFormatting>
  <conditionalFormatting sqref="O4:O22">
    <cfRule type="containsText" dxfId="78" priority="88" operator="containsText" text="No">
      <formula>NOT(ISERROR(SEARCH("No",O4)))</formula>
    </cfRule>
    <cfRule type="containsText" dxfId="79" priority="89" operator="containsText" text="Yes">
      <formula>NOT(ISERROR(SEARCH("Yes",O4)))</formula>
    </cfRule>
  </conditionalFormatting>
  <conditionalFormatting sqref="O30:O48">
    <cfRule type="containsText" dxfId="77" priority="86" operator="containsText" text="No">
      <formula>NOT(ISERROR(SEARCH("No",O30)))</formula>
    </cfRule>
    <cfRule type="containsText" dxfId="76" priority="87" operator="containsText" text="Yes">
      <formula>NOT(ISERROR(SEARCH("Yes",O30)))</formula>
    </cfRule>
  </conditionalFormatting>
  <conditionalFormatting sqref="O54:O72">
    <cfRule type="containsText" dxfId="75" priority="84" operator="containsText" text="No">
      <formula>NOT(ISERROR(SEARCH("No",O54)))</formula>
    </cfRule>
    <cfRule type="containsText" dxfId="74" priority="85" operator="containsText" text="Yes">
      <formula>NOT(ISERROR(SEARCH("Yes",O54)))</formula>
    </cfRule>
  </conditionalFormatting>
  <conditionalFormatting sqref="O78:O96">
    <cfRule type="containsText" dxfId="73" priority="82" operator="containsText" text="No">
      <formula>NOT(ISERROR(SEARCH("No",O78)))</formula>
    </cfRule>
    <cfRule type="containsText" dxfId="72" priority="83" operator="containsText" text="Yes">
      <formula>NOT(ISERROR(SEARCH("Yes",O78)))</formula>
    </cfRule>
  </conditionalFormatting>
  <conditionalFormatting sqref="O102:O120">
    <cfRule type="containsText" dxfId="70" priority="80" operator="containsText" text="No">
      <formula>NOT(ISERROR(SEARCH("No",O102)))</formula>
    </cfRule>
    <cfRule type="containsText" dxfId="71" priority="81" operator="containsText" text="Yes">
      <formula>NOT(ISERROR(SEARCH("Yes",O102)))</formula>
    </cfRule>
  </conditionalFormatting>
  <conditionalFormatting sqref="O125:O143">
    <cfRule type="containsText" dxfId="68" priority="78" operator="containsText" text="No">
      <formula>NOT(ISERROR(SEARCH("No",O125)))</formula>
    </cfRule>
    <cfRule type="containsText" dxfId="69" priority="79" operator="containsText" text="Yes">
      <formula>NOT(ISERROR(SEARCH("Yes",O125)))</formula>
    </cfRule>
  </conditionalFormatting>
  <conditionalFormatting sqref="O149:O167">
    <cfRule type="containsText" dxfId="67" priority="76" operator="containsText" text="No">
      <formula>NOT(ISERROR(SEARCH("No",O149)))</formula>
    </cfRule>
    <cfRule type="containsText" dxfId="66" priority="77" operator="containsText" text="Yes">
      <formula>NOT(ISERROR(SEARCH("Yes",O149)))</formula>
    </cfRule>
  </conditionalFormatting>
  <conditionalFormatting sqref="O173:O191">
    <cfRule type="containsText" dxfId="64" priority="74" operator="containsText" text="No">
      <formula>NOT(ISERROR(SEARCH("No",O173)))</formula>
    </cfRule>
    <cfRule type="containsText" dxfId="65" priority="75" operator="containsText" text="Yes">
      <formula>NOT(ISERROR(SEARCH("Yes",O173)))</formula>
    </cfRule>
  </conditionalFormatting>
  <conditionalFormatting sqref="O198:O216">
    <cfRule type="containsText" dxfId="63" priority="72" operator="containsText" text="No">
      <formula>NOT(ISERROR(SEARCH("No",O198)))</formula>
    </cfRule>
    <cfRule type="containsText" dxfId="62" priority="73" operator="containsText" text="Yes">
      <formula>NOT(ISERROR(SEARCH("Yes",O198)))</formula>
    </cfRule>
  </conditionalFormatting>
  <conditionalFormatting sqref="O222:O240">
    <cfRule type="containsText" dxfId="61" priority="70" operator="containsText" text="No">
      <formula>NOT(ISERROR(SEARCH("No",O222)))</formula>
    </cfRule>
    <cfRule type="containsText" dxfId="60" priority="71" operator="containsText" text="Yes">
      <formula>NOT(ISERROR(SEARCH("Yes",O222)))</formula>
    </cfRule>
  </conditionalFormatting>
  <conditionalFormatting sqref="O246:O264">
    <cfRule type="containsText" dxfId="59" priority="68" operator="containsText" text="No">
      <formula>NOT(ISERROR(SEARCH("No",O246)))</formula>
    </cfRule>
    <cfRule type="containsText" dxfId="58" priority="69" operator="containsText" text="Yes">
      <formula>NOT(ISERROR(SEARCH("Yes",O246)))</formula>
    </cfRule>
  </conditionalFormatting>
  <conditionalFormatting sqref="O269:O287">
    <cfRule type="containsText" dxfId="56" priority="66" operator="containsText" text="No">
      <formula>NOT(ISERROR(SEARCH("No",O269)))</formula>
    </cfRule>
    <cfRule type="containsText" dxfId="57" priority="67" operator="containsText" text="Yes">
      <formula>NOT(ISERROR(SEARCH("Yes",O269)))</formula>
    </cfRule>
  </conditionalFormatting>
  <conditionalFormatting sqref="O293:O311">
    <cfRule type="containsText" dxfId="55" priority="64" operator="containsText" text="No">
      <formula>NOT(ISERROR(SEARCH("No",O293)))</formula>
    </cfRule>
    <cfRule type="containsText" dxfId="54" priority="65" operator="containsText" text="Yes">
      <formula>NOT(ISERROR(SEARCH("Yes",O293)))</formula>
    </cfRule>
  </conditionalFormatting>
  <conditionalFormatting sqref="O317:O335">
    <cfRule type="containsText" dxfId="53" priority="62" operator="containsText" text="No">
      <formula>NOT(ISERROR(SEARCH("No",O317)))</formula>
    </cfRule>
    <cfRule type="containsText" dxfId="52" priority="63" operator="containsText" text="Yes">
      <formula>NOT(ISERROR(SEARCH("Yes",O317)))</formula>
    </cfRule>
  </conditionalFormatting>
  <conditionalFormatting sqref="O341:O359">
    <cfRule type="containsText" dxfId="51" priority="60" operator="containsText" text="No">
      <formula>NOT(ISERROR(SEARCH("No",O341)))</formula>
    </cfRule>
    <cfRule type="containsText" dxfId="50" priority="61" operator="containsText" text="Yes">
      <formula>NOT(ISERROR(SEARCH("Yes",O341)))</formula>
    </cfRule>
  </conditionalFormatting>
  <conditionalFormatting sqref="O365:O383">
    <cfRule type="containsText" dxfId="48" priority="58" operator="containsText" text="No">
      <formula>NOT(ISERROR(SEARCH("No",O365)))</formula>
    </cfRule>
    <cfRule type="containsText" dxfId="49" priority="59" operator="containsText" text="Yes">
      <formula>NOT(ISERROR(SEARCH("Yes",O365)))</formula>
    </cfRule>
  </conditionalFormatting>
  <conditionalFormatting sqref="O389:O407">
    <cfRule type="containsText" dxfId="46" priority="56" operator="containsText" text="No">
      <formula>NOT(ISERROR(SEARCH("No",O389)))</formula>
    </cfRule>
    <cfRule type="containsText" dxfId="47" priority="57" operator="containsText" text="Yes">
      <formula>NOT(ISERROR(SEARCH("Yes",O389)))</formula>
    </cfRule>
  </conditionalFormatting>
  <conditionalFormatting sqref="O413:O431">
    <cfRule type="containsText" dxfId="44" priority="54" operator="containsText" text="No">
      <formula>NOT(ISERROR(SEARCH("No",O413)))</formula>
    </cfRule>
    <cfRule type="containsText" dxfId="45" priority="55" operator="containsText" text="Yes">
      <formula>NOT(ISERROR(SEARCH("Yes",O413)))</formula>
    </cfRule>
  </conditionalFormatting>
  <conditionalFormatting sqref="O437:O455">
    <cfRule type="containsText" dxfId="42" priority="52" operator="containsText" text="No">
      <formula>NOT(ISERROR(SEARCH("No",O437)))</formula>
    </cfRule>
    <cfRule type="containsText" dxfId="43" priority="53" operator="containsText" text="Yes">
      <formula>NOT(ISERROR(SEARCH("Yes",O437)))</formula>
    </cfRule>
  </conditionalFormatting>
  <conditionalFormatting sqref="O460:O478">
    <cfRule type="containsText" dxfId="41" priority="50" operator="containsText" text="No">
      <formula>NOT(ISERROR(SEARCH("No",O460)))</formula>
    </cfRule>
    <cfRule type="containsText" dxfId="40" priority="51" operator="containsText" text="Yes">
      <formula>NOT(ISERROR(SEARCH("Yes",O460)))</formula>
    </cfRule>
  </conditionalFormatting>
  <conditionalFormatting sqref="O484:O502">
    <cfRule type="containsText" dxfId="39" priority="48" operator="containsText" text="No">
      <formula>NOT(ISERROR(SEARCH("No",O484)))</formula>
    </cfRule>
    <cfRule type="containsText" dxfId="38" priority="49" operator="containsText" text="Yes">
      <formula>NOT(ISERROR(SEARCH("Yes",O484)))</formula>
    </cfRule>
  </conditionalFormatting>
  <conditionalFormatting sqref="O508:O526">
    <cfRule type="containsText" dxfId="37" priority="46" operator="containsText" text="No">
      <formula>NOT(ISERROR(SEARCH("No",O508)))</formula>
    </cfRule>
    <cfRule type="containsText" dxfId="36" priority="47" operator="containsText" text="Yes">
      <formula>NOT(ISERROR(SEARCH("Yes",O508)))</formula>
    </cfRule>
  </conditionalFormatting>
  <conditionalFormatting sqref="O532:O550">
    <cfRule type="containsText" dxfId="35" priority="44" operator="containsText" text="No">
      <formula>NOT(ISERROR(SEARCH("No",O532)))</formula>
    </cfRule>
    <cfRule type="containsText" dxfId="34" priority="45" operator="containsText" text="Yes">
      <formula>NOT(ISERROR(SEARCH("Yes",O532)))</formula>
    </cfRule>
  </conditionalFormatting>
  <conditionalFormatting sqref="O556:O559">
    <cfRule type="containsText" dxfId="33" priority="42" operator="containsText" text="No">
      <formula>NOT(ISERROR(SEARCH("No",O556)))</formula>
    </cfRule>
    <cfRule type="containsText" dxfId="32" priority="43" operator="containsText" text="Yes">
      <formula>NOT(ISERROR(SEARCH("Yes",O556)))</formula>
    </cfRule>
  </conditionalFormatting>
  <conditionalFormatting sqref="O573:O574">
    <cfRule type="containsText" dxfId="31" priority="90" operator="containsText" text="No">
      <formula>NOT(ISERROR(SEARCH("No",O573)))</formula>
    </cfRule>
    <cfRule type="containsText" dxfId="30" priority="91" operator="containsText" text="Yes">
      <formula>NOT(ISERROR(SEARCH("Yes",O573)))</formula>
    </cfRule>
  </conditionalFormatting>
  <conditionalFormatting sqref="O580:O598">
    <cfRule type="containsText" dxfId="29" priority="40" operator="containsText" text="No">
      <formula>NOT(ISERROR(SEARCH("No",O580)))</formula>
    </cfRule>
    <cfRule type="containsText" dxfId="28" priority="41" operator="containsText" text="Yes">
      <formula>NOT(ISERROR(SEARCH("Yes",O580)))</formula>
    </cfRule>
  </conditionalFormatting>
  <conditionalFormatting sqref="O604:O622">
    <cfRule type="containsText" dxfId="27" priority="38" operator="containsText" text="No">
      <formula>NOT(ISERROR(SEARCH("No",O604)))</formula>
    </cfRule>
    <cfRule type="containsText" dxfId="26" priority="39" operator="containsText" text="Yes">
      <formula>NOT(ISERROR(SEARCH("Yes",O604)))</formula>
    </cfRule>
  </conditionalFormatting>
  <conditionalFormatting sqref="O628:O646">
    <cfRule type="containsText" dxfId="25" priority="36" operator="containsText" text="No">
      <formula>NOT(ISERROR(SEARCH("No",O628)))</formula>
    </cfRule>
    <cfRule type="containsText" dxfId="24" priority="37" operator="containsText" text="Yes">
      <formula>NOT(ISERROR(SEARCH("Yes",O628)))</formula>
    </cfRule>
  </conditionalFormatting>
  <conditionalFormatting sqref="O652:O670">
    <cfRule type="containsText" dxfId="23" priority="34" operator="containsText" text="No">
      <formula>NOT(ISERROR(SEARCH("No",O652)))</formula>
    </cfRule>
    <cfRule type="containsText" dxfId="22" priority="35" operator="containsText" text="Yes">
      <formula>NOT(ISERROR(SEARCH("Yes",O652)))</formula>
    </cfRule>
  </conditionalFormatting>
  <conditionalFormatting sqref="O676:O694">
    <cfRule type="containsText" dxfId="21" priority="32" operator="containsText" text="No">
      <formula>NOT(ISERROR(SEARCH("No",O676)))</formula>
    </cfRule>
    <cfRule type="containsText" dxfId="20" priority="33" operator="containsText" text="Yes">
      <formula>NOT(ISERROR(SEARCH("Yes",O676)))</formula>
    </cfRule>
  </conditionalFormatting>
  <conditionalFormatting sqref="O700:O718">
    <cfRule type="containsText" dxfId="19" priority="30" operator="containsText" text="No">
      <formula>NOT(ISERROR(SEARCH("No",O700)))</formula>
    </cfRule>
    <cfRule type="containsText" dxfId="18" priority="31" operator="containsText" text="Yes">
      <formula>NOT(ISERROR(SEARCH("Yes",O700)))</formula>
    </cfRule>
  </conditionalFormatting>
  <conditionalFormatting sqref="O724:O742">
    <cfRule type="containsText" dxfId="17" priority="28" operator="containsText" text="No">
      <formula>NOT(ISERROR(SEARCH("No",O724)))</formula>
    </cfRule>
    <cfRule type="containsText" dxfId="16" priority="29" operator="containsText" text="Yes">
      <formula>NOT(ISERROR(SEARCH("Yes",O724)))</formula>
    </cfRule>
  </conditionalFormatting>
  <conditionalFormatting sqref="O748:O766">
    <cfRule type="containsText" dxfId="15" priority="26" operator="containsText" text="No">
      <formula>NOT(ISERROR(SEARCH("No",O748)))</formula>
    </cfRule>
    <cfRule type="containsText" dxfId="14" priority="27" operator="containsText" text="Yes">
      <formula>NOT(ISERROR(SEARCH("Yes",O748)))</formula>
    </cfRule>
  </conditionalFormatting>
  <conditionalFormatting sqref="O772:O790">
    <cfRule type="containsText" dxfId="12" priority="24" operator="containsText" text="No">
      <formula>NOT(ISERROR(SEARCH("No",O772)))</formula>
    </cfRule>
    <cfRule type="containsText" dxfId="13" priority="25" operator="containsText" text="Yes">
      <formula>NOT(ISERROR(SEARCH("Yes",O772)))</formula>
    </cfRule>
  </conditionalFormatting>
  <conditionalFormatting sqref="O796:O814">
    <cfRule type="containsText" dxfId="11" priority="22" operator="containsText" text="No">
      <formula>NOT(ISERROR(SEARCH("No",O796)))</formula>
    </cfRule>
    <cfRule type="containsText" dxfId="10" priority="23" operator="containsText" text="Yes">
      <formula>NOT(ISERROR(SEARCH("Yes",O796)))</formula>
    </cfRule>
  </conditionalFormatting>
  <conditionalFormatting sqref="O820:O838">
    <cfRule type="containsText" dxfId="8" priority="20" operator="containsText" text="No">
      <formula>NOT(ISERROR(SEARCH("No",O820)))</formula>
    </cfRule>
    <cfRule type="containsText" dxfId="9" priority="21" operator="containsText" text="Yes">
      <formula>NOT(ISERROR(SEARCH("Yes",O820)))</formula>
    </cfRule>
  </conditionalFormatting>
  <conditionalFormatting sqref="O844:O862">
    <cfRule type="containsText" dxfId="7" priority="18" operator="containsText" text="No">
      <formula>NOT(ISERROR(SEARCH("No",O844)))</formula>
    </cfRule>
    <cfRule type="containsText" dxfId="6" priority="19" operator="containsText" text="Yes">
      <formula>NOT(ISERROR(SEARCH("Yes",O844)))</formula>
    </cfRule>
  </conditionalFormatting>
  <conditionalFormatting sqref="O869:O887">
    <cfRule type="containsText" dxfId="5" priority="16" operator="containsText" text="No">
      <formula>NOT(ISERROR(SEARCH("No",O869)))</formula>
    </cfRule>
    <cfRule type="containsText" dxfId="4" priority="17" operator="containsText" text="Yes">
      <formula>NOT(ISERROR(SEARCH("Yes",O869)))</formula>
    </cfRule>
  </conditionalFormatting>
  <conditionalFormatting sqref="O893:O911">
    <cfRule type="containsText" dxfId="3" priority="14" operator="containsText" text="No">
      <formula>NOT(ISERROR(SEARCH("No",O893)))</formula>
    </cfRule>
    <cfRule type="containsText" dxfId="2" priority="15" operator="containsText" text="Yes">
      <formula>NOT(ISERROR(SEARCH("Yes",O893)))</formula>
    </cfRule>
  </conditionalFormatting>
  <conditionalFormatting sqref="O918:O936">
    <cfRule type="containsText" dxfId="0" priority="1" operator="containsText" text="No">
      <formula>NOT(ISERROR(SEARCH("No",O918)))</formula>
    </cfRule>
    <cfRule type="containsText" dxfId="1" priority="2" operator="containsText" text="Yes">
      <formula>NOT(ISERROR(SEARCH("Yes",O918)))</formula>
    </cfRule>
  </conditionalFormatting>
  <dataValidations count="2">
    <dataValidation type="list" allowBlank="1" showInputMessage="1" showErrorMessage="1" errorTitle="Recruiter Name not correct" error="Please enter correct recruiter name" sqref="C2 C28 C52 C76 C100 C123 C147 C171 C196 C220 C244 C267 C291 C315 C339 C363 C387 C411 C435 C458 C482 C506 C530 C554 C578 C602 C626 C650 C674 C698 C722 C746 C770 C794 C818 C842 C867 C891 C916" xr:uid="{729DD7B1-3F40-45AE-9900-77A1C106838B}">
      <formula1>INDIRECT($A$2)</formula1>
    </dataValidation>
    <dataValidation type="list" allowBlank="1" showInputMessage="1" showErrorMessage="1" errorTitle="Wrong Team Name" error="Please enter correct name" sqref="A2 A28 A52 A76 A100 A123 A147 A171 A196 A220 A244 A267 A291 A315 A339 A363 A387 A411 A435 A458 A482 A506 A530 A554 A578 A602 A626 A650 A674 A698 A722 A746 A770 A794 A818 A842 A867 A891 A916" xr:uid="{A5657154-65CC-4F17-8988-4D17F6F75424}">
      <formula1>TeamName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Mavericks - Recruiters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Deepti Pandey</dc:creator>
  <cp:lastModifiedBy>Deepti Pandey</cp:lastModifiedBy>
  <dcterms:created xsi:type="dcterms:W3CDTF">2026-07-06T17:32:00Z</dcterms:created>
  <dcterms:modified xsi:type="dcterms:W3CDTF">2026-07-06T17:32:41Z</dcterms:modified>
</cp:coreProperties>
</file>